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ham\upGrad_ Financila Modelling Course\"/>
    </mc:Choice>
  </mc:AlternateContent>
  <xr:revisionPtr revIDLastSave="0" documentId="8_{068CCBD8-8364-41EF-9FB9-30378F050276}" xr6:coauthVersionLast="47" xr6:coauthVersionMax="47" xr10:uidLastSave="{00000000-0000-0000-0000-000000000000}"/>
  <bookViews>
    <workbookView xWindow="-108" yWindow="-108" windowWidth="23256" windowHeight="12456" xr2:uid="{B4A1CAA4-2EB9-4F7B-AED0-A004636A3B8C}"/>
  </bookViews>
  <sheets>
    <sheet name="Financial Model" sheetId="2" r:id="rId1"/>
    <sheet name="BV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3" l="1"/>
  <c r="B43" i="3" s="1"/>
  <c r="B44" i="3" s="1"/>
  <c r="B46" i="3" s="1"/>
  <c r="F32" i="3"/>
  <c r="E32" i="3"/>
  <c r="F31" i="3"/>
  <c r="E31" i="3"/>
  <c r="D31" i="3"/>
  <c r="C31" i="3"/>
  <c r="B31" i="3"/>
  <c r="F30" i="3"/>
  <c r="F33" i="3" s="1"/>
  <c r="E30" i="3"/>
  <c r="E33" i="3" s="1"/>
  <c r="D30" i="3"/>
  <c r="D33" i="3" s="1"/>
  <c r="C30" i="3"/>
  <c r="C33" i="3" s="1"/>
  <c r="F24" i="3"/>
  <c r="E24" i="3"/>
  <c r="D24" i="3"/>
  <c r="C24" i="3"/>
  <c r="B24" i="3"/>
  <c r="F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B30" i="3" s="1"/>
  <c r="B33" i="3" s="1"/>
  <c r="F18" i="3"/>
  <c r="E18" i="3"/>
  <c r="D18" i="3"/>
  <c r="C18" i="3"/>
  <c r="B18" i="3"/>
  <c r="G15" i="3"/>
  <c r="G14" i="3"/>
  <c r="F13" i="3"/>
  <c r="F25" i="3" s="1"/>
  <c r="E13" i="3"/>
  <c r="E22" i="3" s="1"/>
  <c r="D13" i="3"/>
  <c r="D32" i="3" s="1"/>
  <c r="C13" i="3"/>
  <c r="C32" i="3" s="1"/>
  <c r="B13" i="3"/>
  <c r="B32" i="3" s="1"/>
  <c r="G11" i="3"/>
  <c r="G10" i="3"/>
  <c r="G9" i="3"/>
  <c r="G8" i="3"/>
  <c r="B37" i="3" s="1"/>
  <c r="G7" i="3"/>
  <c r="G6" i="3"/>
  <c r="G5" i="3"/>
  <c r="C3" i="3"/>
  <c r="D3" i="3" s="1"/>
  <c r="E3" i="3" s="1"/>
  <c r="F3" i="3" s="1"/>
  <c r="B228" i="2"/>
  <c r="B226" i="2"/>
  <c r="B223" i="2"/>
  <c r="B221" i="2"/>
  <c r="W216" i="2"/>
  <c r="J215" i="2"/>
  <c r="K213" i="2"/>
  <c r="J211" i="2"/>
  <c r="I211" i="2"/>
  <c r="H211" i="2"/>
  <c r="G211" i="2"/>
  <c r="F211" i="2"/>
  <c r="E211" i="2"/>
  <c r="D211" i="2"/>
  <c r="C211" i="2"/>
  <c r="B211" i="2"/>
  <c r="B210" i="2"/>
  <c r="J209" i="2"/>
  <c r="I209" i="2"/>
  <c r="H209" i="2"/>
  <c r="G209" i="2"/>
  <c r="F209" i="2"/>
  <c r="E209" i="2"/>
  <c r="D209" i="2"/>
  <c r="C209" i="2"/>
  <c r="J208" i="2"/>
  <c r="I208" i="2"/>
  <c r="H208" i="2"/>
  <c r="G208" i="2"/>
  <c r="F208" i="2"/>
  <c r="E208" i="2"/>
  <c r="D208" i="2"/>
  <c r="C208" i="2"/>
  <c r="B208" i="2"/>
  <c r="L204" i="2"/>
  <c r="M204" i="2" s="1"/>
  <c r="N204" i="2" s="1"/>
  <c r="O204" i="2" s="1"/>
  <c r="P204" i="2" s="1"/>
  <c r="F204" i="2"/>
  <c r="E204" i="2"/>
  <c r="K203" i="2"/>
  <c r="K20" i="2" s="1"/>
  <c r="K208" i="2" s="1"/>
  <c r="J203" i="2"/>
  <c r="J204" i="2" s="1"/>
  <c r="I203" i="2"/>
  <c r="H203" i="2"/>
  <c r="G203" i="2"/>
  <c r="F203" i="2"/>
  <c r="E203" i="2"/>
  <c r="D203" i="2"/>
  <c r="C203" i="2"/>
  <c r="C204" i="2" s="1"/>
  <c r="B203" i="2"/>
  <c r="L200" i="2"/>
  <c r="K199" i="2"/>
  <c r="L197" i="2"/>
  <c r="M197" i="2" s="1"/>
  <c r="N197" i="2" s="1"/>
  <c r="O197" i="2" s="1"/>
  <c r="P197" i="2" s="1"/>
  <c r="J197" i="2"/>
  <c r="F197" i="2"/>
  <c r="E197" i="2"/>
  <c r="D197" i="2"/>
  <c r="K195" i="2"/>
  <c r="B195" i="2"/>
  <c r="B197" i="2" s="1"/>
  <c r="J194" i="2"/>
  <c r="J195" i="2" s="1"/>
  <c r="I194" i="2"/>
  <c r="I195" i="2" s="1"/>
  <c r="H194" i="2"/>
  <c r="G194" i="2"/>
  <c r="F194" i="2"/>
  <c r="E194" i="2"/>
  <c r="D194" i="2"/>
  <c r="C194" i="2"/>
  <c r="B194" i="2"/>
  <c r="J193" i="2"/>
  <c r="I193" i="2"/>
  <c r="H193" i="2"/>
  <c r="G193" i="2"/>
  <c r="F193" i="2"/>
  <c r="F195" i="2" s="1"/>
  <c r="E193" i="2"/>
  <c r="E195" i="2" s="1"/>
  <c r="D193" i="2"/>
  <c r="D195" i="2" s="1"/>
  <c r="D204" i="2" s="1"/>
  <c r="C193" i="2"/>
  <c r="C195" i="2" s="1"/>
  <c r="C197" i="2" s="1"/>
  <c r="B193" i="2"/>
  <c r="L187" i="2"/>
  <c r="M187" i="2" s="1"/>
  <c r="N187" i="2" s="1"/>
  <c r="O187" i="2" s="1"/>
  <c r="P187" i="2" s="1"/>
  <c r="J187" i="2"/>
  <c r="H187" i="2"/>
  <c r="B187" i="2"/>
  <c r="M186" i="2"/>
  <c r="N186" i="2" s="1"/>
  <c r="O186" i="2" s="1"/>
  <c r="P186" i="2" s="1"/>
  <c r="L186" i="2"/>
  <c r="M185" i="2"/>
  <c r="N185" i="2" s="1"/>
  <c r="O185" i="2" s="1"/>
  <c r="P185" i="2" s="1"/>
  <c r="L185" i="2"/>
  <c r="G185" i="2"/>
  <c r="F185" i="2"/>
  <c r="E185" i="2"/>
  <c r="L184" i="2"/>
  <c r="M184" i="2" s="1"/>
  <c r="N184" i="2" s="1"/>
  <c r="O184" i="2" s="1"/>
  <c r="P184" i="2" s="1"/>
  <c r="I184" i="2"/>
  <c r="H184" i="2"/>
  <c r="G184" i="2"/>
  <c r="L183" i="2"/>
  <c r="M183" i="2" s="1"/>
  <c r="N183" i="2" s="1"/>
  <c r="O183" i="2" s="1"/>
  <c r="P183" i="2" s="1"/>
  <c r="J183" i="2"/>
  <c r="H183" i="2"/>
  <c r="E183" i="2"/>
  <c r="N182" i="2"/>
  <c r="O182" i="2" s="1"/>
  <c r="P182" i="2" s="1"/>
  <c r="M182" i="2"/>
  <c r="L182" i="2"/>
  <c r="G182" i="2"/>
  <c r="F182" i="2"/>
  <c r="L179" i="2"/>
  <c r="M179" i="2" s="1"/>
  <c r="N179" i="2" s="1"/>
  <c r="O179" i="2" s="1"/>
  <c r="P179" i="2" s="1"/>
  <c r="J179" i="2"/>
  <c r="I179" i="2"/>
  <c r="H179" i="2"/>
  <c r="L178" i="2"/>
  <c r="M178" i="2" s="1"/>
  <c r="N178" i="2" s="1"/>
  <c r="O178" i="2" s="1"/>
  <c r="P178" i="2" s="1"/>
  <c r="K178" i="2"/>
  <c r="N177" i="2"/>
  <c r="O177" i="2" s="1"/>
  <c r="P177" i="2" s="1"/>
  <c r="M177" i="2"/>
  <c r="L177" i="2"/>
  <c r="H177" i="2"/>
  <c r="G177" i="2"/>
  <c r="F177" i="2"/>
  <c r="G176" i="2"/>
  <c r="F176" i="2"/>
  <c r="N175" i="2"/>
  <c r="O175" i="2" s="1"/>
  <c r="P175" i="2" s="1"/>
  <c r="M175" i="2"/>
  <c r="L175" i="2"/>
  <c r="J175" i="2"/>
  <c r="I175" i="2"/>
  <c r="H175" i="2"/>
  <c r="G175" i="2"/>
  <c r="L174" i="2"/>
  <c r="M174" i="2" s="1"/>
  <c r="N174" i="2" s="1"/>
  <c r="O174" i="2" s="1"/>
  <c r="P174" i="2" s="1"/>
  <c r="J174" i="2"/>
  <c r="B174" i="2"/>
  <c r="J170" i="2"/>
  <c r="I170" i="2"/>
  <c r="H170" i="2"/>
  <c r="G170" i="2"/>
  <c r="F170" i="2"/>
  <c r="E170" i="2"/>
  <c r="E186" i="2" s="1"/>
  <c r="B170" i="2"/>
  <c r="J168" i="2"/>
  <c r="I168" i="2"/>
  <c r="I187" i="2" s="1"/>
  <c r="H168" i="2"/>
  <c r="G168" i="2"/>
  <c r="G187" i="2" s="1"/>
  <c r="F168" i="2"/>
  <c r="E168" i="2"/>
  <c r="D168" i="2"/>
  <c r="C168" i="2"/>
  <c r="B168" i="2"/>
  <c r="J167" i="2"/>
  <c r="J186" i="2" s="1"/>
  <c r="I167" i="2"/>
  <c r="I186" i="2" s="1"/>
  <c r="H167" i="2"/>
  <c r="H186" i="2" s="1"/>
  <c r="G167" i="2"/>
  <c r="G186" i="2" s="1"/>
  <c r="F167" i="2"/>
  <c r="E167" i="2"/>
  <c r="D167" i="2"/>
  <c r="C167" i="2"/>
  <c r="B167" i="2"/>
  <c r="J166" i="2"/>
  <c r="J185" i="2" s="1"/>
  <c r="I166" i="2"/>
  <c r="I185" i="2" s="1"/>
  <c r="H166" i="2"/>
  <c r="H185" i="2" s="1"/>
  <c r="G166" i="2"/>
  <c r="F166" i="2"/>
  <c r="E166" i="2"/>
  <c r="D166" i="2"/>
  <c r="C166" i="2"/>
  <c r="B166" i="2"/>
  <c r="B185" i="2" s="1"/>
  <c r="J165" i="2"/>
  <c r="J184" i="2" s="1"/>
  <c r="I165" i="2"/>
  <c r="H165" i="2"/>
  <c r="G165" i="2"/>
  <c r="F165" i="2"/>
  <c r="F184" i="2" s="1"/>
  <c r="E165" i="2"/>
  <c r="E184" i="2" s="1"/>
  <c r="D165" i="2"/>
  <c r="C165" i="2"/>
  <c r="C162" i="2" s="1"/>
  <c r="B165" i="2"/>
  <c r="B184" i="2" s="1"/>
  <c r="J164" i="2"/>
  <c r="I164" i="2"/>
  <c r="I183" i="2" s="1"/>
  <c r="H164" i="2"/>
  <c r="G164" i="2"/>
  <c r="G183" i="2" s="1"/>
  <c r="F164" i="2"/>
  <c r="F183" i="2" s="1"/>
  <c r="E164" i="2"/>
  <c r="D164" i="2"/>
  <c r="C164" i="2"/>
  <c r="B164" i="2"/>
  <c r="J163" i="2"/>
  <c r="J182" i="2" s="1"/>
  <c r="I163" i="2"/>
  <c r="I182" i="2" s="1"/>
  <c r="H163" i="2"/>
  <c r="G163" i="2"/>
  <c r="F163" i="2"/>
  <c r="E163" i="2"/>
  <c r="D163" i="2"/>
  <c r="C163" i="2"/>
  <c r="B163" i="2"/>
  <c r="J160" i="2"/>
  <c r="I160" i="2"/>
  <c r="H160" i="2"/>
  <c r="G160" i="2"/>
  <c r="G179" i="2" s="1"/>
  <c r="F160" i="2"/>
  <c r="F179" i="2" s="1"/>
  <c r="E160" i="2"/>
  <c r="D160" i="2"/>
  <c r="C160" i="2"/>
  <c r="B160" i="2"/>
  <c r="J159" i="2"/>
  <c r="J178" i="2" s="1"/>
  <c r="I159" i="2"/>
  <c r="I178" i="2" s="1"/>
  <c r="H159" i="2"/>
  <c r="H178" i="2" s="1"/>
  <c r="G159" i="2"/>
  <c r="G178" i="2" s="1"/>
  <c r="F159" i="2"/>
  <c r="F178" i="2" s="1"/>
  <c r="E159" i="2"/>
  <c r="D159" i="2"/>
  <c r="C159" i="2"/>
  <c r="B159" i="2"/>
  <c r="J158" i="2"/>
  <c r="J177" i="2" s="1"/>
  <c r="I158" i="2"/>
  <c r="I177" i="2" s="1"/>
  <c r="H158" i="2"/>
  <c r="G158" i="2"/>
  <c r="F158" i="2"/>
  <c r="E158" i="2"/>
  <c r="E177" i="2" s="1"/>
  <c r="D158" i="2"/>
  <c r="C158" i="2"/>
  <c r="B158" i="2"/>
  <c r="J157" i="2"/>
  <c r="J154" i="2" s="1"/>
  <c r="I157" i="2"/>
  <c r="I176" i="2" s="1"/>
  <c r="H157" i="2"/>
  <c r="H176" i="2" s="1"/>
  <c r="G157" i="2"/>
  <c r="F157" i="2"/>
  <c r="E157" i="2"/>
  <c r="D157" i="2"/>
  <c r="C157" i="2"/>
  <c r="B157" i="2"/>
  <c r="J156" i="2"/>
  <c r="I156" i="2"/>
  <c r="H156" i="2"/>
  <c r="G156" i="2"/>
  <c r="F156" i="2"/>
  <c r="F175" i="2" s="1"/>
  <c r="E156" i="2"/>
  <c r="D156" i="2"/>
  <c r="C156" i="2"/>
  <c r="B156" i="2"/>
  <c r="J155" i="2"/>
  <c r="I155" i="2"/>
  <c r="H155" i="2"/>
  <c r="H174" i="2" s="1"/>
  <c r="G155" i="2"/>
  <c r="G174" i="2" s="1"/>
  <c r="F155" i="2"/>
  <c r="F174" i="2" s="1"/>
  <c r="E155" i="2"/>
  <c r="D155" i="2"/>
  <c r="C155" i="2"/>
  <c r="B155" i="2"/>
  <c r="H154" i="2"/>
  <c r="G154" i="2"/>
  <c r="F154" i="2"/>
  <c r="K130" i="2"/>
  <c r="L130" i="2" s="1"/>
  <c r="M130" i="2" s="1"/>
  <c r="N130" i="2" s="1"/>
  <c r="O130" i="2" s="1"/>
  <c r="P130" i="2" s="1"/>
  <c r="J130" i="2"/>
  <c r="I130" i="2"/>
  <c r="H130" i="2"/>
  <c r="G130" i="2"/>
  <c r="F130" i="2"/>
  <c r="E130" i="2"/>
  <c r="C130" i="2"/>
  <c r="K129" i="2"/>
  <c r="L129" i="2" s="1"/>
  <c r="M129" i="2" s="1"/>
  <c r="N129" i="2" s="1"/>
  <c r="O129" i="2" s="1"/>
  <c r="P129" i="2" s="1"/>
  <c r="J129" i="2"/>
  <c r="I129" i="2"/>
  <c r="H129" i="2"/>
  <c r="G129" i="2"/>
  <c r="F129" i="2"/>
  <c r="E129" i="2"/>
  <c r="N128" i="2"/>
  <c r="O128" i="2" s="1"/>
  <c r="P128" i="2" s="1"/>
  <c r="M128" i="2"/>
  <c r="L128" i="2"/>
  <c r="J128" i="2"/>
  <c r="I128" i="2"/>
  <c r="H128" i="2"/>
  <c r="G128" i="2"/>
  <c r="F128" i="2"/>
  <c r="E128" i="2"/>
  <c r="J127" i="2"/>
  <c r="K127" i="2" s="1"/>
  <c r="L127" i="2" s="1"/>
  <c r="M127" i="2" s="1"/>
  <c r="N127" i="2" s="1"/>
  <c r="O127" i="2" s="1"/>
  <c r="P127" i="2" s="1"/>
  <c r="I127" i="2"/>
  <c r="H127" i="2"/>
  <c r="G127" i="2"/>
  <c r="F127" i="2"/>
  <c r="E127" i="2"/>
  <c r="M126" i="2"/>
  <c r="N126" i="2" s="1"/>
  <c r="O126" i="2" s="1"/>
  <c r="P126" i="2" s="1"/>
  <c r="L126" i="2"/>
  <c r="J126" i="2"/>
  <c r="I126" i="2"/>
  <c r="H126" i="2"/>
  <c r="G126" i="2"/>
  <c r="F126" i="2"/>
  <c r="E126" i="2"/>
  <c r="L125" i="2"/>
  <c r="M125" i="2" s="1"/>
  <c r="N125" i="2" s="1"/>
  <c r="O125" i="2" s="1"/>
  <c r="P125" i="2" s="1"/>
  <c r="J125" i="2"/>
  <c r="I125" i="2"/>
  <c r="H125" i="2"/>
  <c r="G125" i="2"/>
  <c r="F125" i="2"/>
  <c r="E125" i="2"/>
  <c r="M121" i="2"/>
  <c r="N121" i="2" s="1"/>
  <c r="O121" i="2" s="1"/>
  <c r="P121" i="2" s="1"/>
  <c r="L121" i="2"/>
  <c r="G120" i="2"/>
  <c r="F120" i="2"/>
  <c r="F121" i="2" s="1"/>
  <c r="E120" i="2"/>
  <c r="L118" i="2"/>
  <c r="M118" i="2" s="1"/>
  <c r="N118" i="2" s="1"/>
  <c r="O118" i="2" s="1"/>
  <c r="P118" i="2" s="1"/>
  <c r="F118" i="2"/>
  <c r="E118" i="2"/>
  <c r="J117" i="2"/>
  <c r="I117" i="2"/>
  <c r="H117" i="2"/>
  <c r="G117" i="2"/>
  <c r="F117" i="2"/>
  <c r="E117" i="2"/>
  <c r="D117" i="2"/>
  <c r="C117" i="2"/>
  <c r="B117" i="2"/>
  <c r="J116" i="2"/>
  <c r="I116" i="2"/>
  <c r="H116" i="2"/>
  <c r="G116" i="2"/>
  <c r="F116" i="2"/>
  <c r="E116" i="2"/>
  <c r="D116" i="2"/>
  <c r="B116" i="2"/>
  <c r="N113" i="2"/>
  <c r="O113" i="2" s="1"/>
  <c r="P113" i="2" s="1"/>
  <c r="L113" i="2"/>
  <c r="M113" i="2" s="1"/>
  <c r="J113" i="2"/>
  <c r="I113" i="2"/>
  <c r="H113" i="2"/>
  <c r="G113" i="2"/>
  <c r="F113" i="2"/>
  <c r="E113" i="2"/>
  <c r="D113" i="2"/>
  <c r="C113" i="2"/>
  <c r="L112" i="2"/>
  <c r="M112" i="2" s="1"/>
  <c r="N112" i="2" s="1"/>
  <c r="O112" i="2" s="1"/>
  <c r="P112" i="2" s="1"/>
  <c r="J112" i="2"/>
  <c r="I112" i="2"/>
  <c r="H112" i="2"/>
  <c r="G112" i="2"/>
  <c r="F112" i="2"/>
  <c r="E112" i="2"/>
  <c r="D112" i="2"/>
  <c r="C112" i="2"/>
  <c r="J111" i="2"/>
  <c r="I111" i="2"/>
  <c r="H111" i="2"/>
  <c r="G111" i="2"/>
  <c r="G118" i="2" s="1"/>
  <c r="F111" i="2"/>
  <c r="E111" i="2"/>
  <c r="D111" i="2"/>
  <c r="D118" i="2" s="1"/>
  <c r="C111" i="2"/>
  <c r="C118" i="2" s="1"/>
  <c r="B111" i="2"/>
  <c r="B118" i="2" s="1"/>
  <c r="K110" i="2"/>
  <c r="L110" i="2" s="1"/>
  <c r="K109" i="2"/>
  <c r="E106" i="2"/>
  <c r="D106" i="2"/>
  <c r="C106" i="2"/>
  <c r="J105" i="2"/>
  <c r="I105" i="2"/>
  <c r="H105" i="2"/>
  <c r="G105" i="2"/>
  <c r="F105" i="2"/>
  <c r="D105" i="2"/>
  <c r="C105" i="2"/>
  <c r="J104" i="2"/>
  <c r="I104" i="2"/>
  <c r="H104" i="2"/>
  <c r="G104" i="2"/>
  <c r="F104" i="2"/>
  <c r="E104" i="2"/>
  <c r="C104" i="2"/>
  <c r="J102" i="2"/>
  <c r="F102" i="2"/>
  <c r="E102" i="2"/>
  <c r="D102" i="2"/>
  <c r="C102" i="2"/>
  <c r="J100" i="2"/>
  <c r="I100" i="2"/>
  <c r="H100" i="2"/>
  <c r="H118" i="2" s="1"/>
  <c r="G100" i="2"/>
  <c r="G106" i="2" s="1"/>
  <c r="F100" i="2"/>
  <c r="F106" i="2" s="1"/>
  <c r="D100" i="2"/>
  <c r="B100" i="2"/>
  <c r="B102" i="2" s="1"/>
  <c r="E99" i="2"/>
  <c r="E105" i="2" s="1"/>
  <c r="C98" i="2"/>
  <c r="C116" i="2" s="1"/>
  <c r="L96" i="2"/>
  <c r="L95" i="2" s="1"/>
  <c r="L195" i="2" s="1"/>
  <c r="L203" i="2" s="1"/>
  <c r="J96" i="2"/>
  <c r="I96" i="2"/>
  <c r="H96" i="2"/>
  <c r="G96" i="2"/>
  <c r="F96" i="2"/>
  <c r="E96" i="2"/>
  <c r="D96" i="2"/>
  <c r="C96" i="2"/>
  <c r="K95" i="2"/>
  <c r="I92" i="2"/>
  <c r="B92" i="2"/>
  <c r="J81" i="2"/>
  <c r="J92" i="2" s="1"/>
  <c r="I81" i="2"/>
  <c r="H81" i="2"/>
  <c r="G81" i="2"/>
  <c r="F81" i="2"/>
  <c r="F92" i="2" s="1"/>
  <c r="F93" i="2" s="1"/>
  <c r="E81" i="2"/>
  <c r="E92" i="2" s="1"/>
  <c r="E93" i="2" s="1"/>
  <c r="D81" i="2"/>
  <c r="D92" i="2" s="1"/>
  <c r="D93" i="2" s="1"/>
  <c r="C81" i="2"/>
  <c r="B81" i="2"/>
  <c r="L79" i="2"/>
  <c r="M79" i="2" s="1"/>
  <c r="N79" i="2" s="1"/>
  <c r="O79" i="2" s="1"/>
  <c r="P79" i="2" s="1"/>
  <c r="K79" i="2"/>
  <c r="K78" i="2"/>
  <c r="L78" i="2" s="1"/>
  <c r="M78" i="2" s="1"/>
  <c r="N78" i="2" s="1"/>
  <c r="O78" i="2" s="1"/>
  <c r="P78" i="2" s="1"/>
  <c r="K77" i="2"/>
  <c r="L77" i="2" s="1"/>
  <c r="M77" i="2" s="1"/>
  <c r="N77" i="2" s="1"/>
  <c r="O77" i="2" s="1"/>
  <c r="P77" i="2" s="1"/>
  <c r="K76" i="2"/>
  <c r="L76" i="2" s="1"/>
  <c r="M76" i="2" s="1"/>
  <c r="N76" i="2" s="1"/>
  <c r="O76" i="2" s="1"/>
  <c r="P76" i="2" s="1"/>
  <c r="L75" i="2"/>
  <c r="M75" i="2" s="1"/>
  <c r="N75" i="2" s="1"/>
  <c r="O75" i="2" s="1"/>
  <c r="P75" i="2" s="1"/>
  <c r="K75" i="2"/>
  <c r="L74" i="2"/>
  <c r="M74" i="2" s="1"/>
  <c r="N74" i="2" s="1"/>
  <c r="O74" i="2" s="1"/>
  <c r="P74" i="2" s="1"/>
  <c r="K74" i="2"/>
  <c r="J68" i="2"/>
  <c r="I68" i="2"/>
  <c r="H68" i="2"/>
  <c r="G68" i="2"/>
  <c r="F68" i="2"/>
  <c r="E68" i="2"/>
  <c r="D68" i="2"/>
  <c r="C68" i="2"/>
  <c r="C92" i="2" s="1"/>
  <c r="B68" i="2"/>
  <c r="G63" i="2"/>
  <c r="F63" i="2"/>
  <c r="J55" i="2"/>
  <c r="I55" i="2"/>
  <c r="H55" i="2"/>
  <c r="G55" i="2"/>
  <c r="F55" i="2"/>
  <c r="E55" i="2"/>
  <c r="D55" i="2"/>
  <c r="D63" i="2" s="1"/>
  <c r="C55" i="2"/>
  <c r="B55" i="2"/>
  <c r="B63" i="2" s="1"/>
  <c r="O53" i="2"/>
  <c r="P53" i="2" s="1"/>
  <c r="N53" i="2"/>
  <c r="M53" i="2"/>
  <c r="L53" i="2"/>
  <c r="K53" i="2"/>
  <c r="K52" i="2"/>
  <c r="L52" i="2" s="1"/>
  <c r="M52" i="2" s="1"/>
  <c r="N52" i="2" s="1"/>
  <c r="O52" i="2" s="1"/>
  <c r="P52" i="2" s="1"/>
  <c r="K51" i="2"/>
  <c r="L51" i="2" s="1"/>
  <c r="M51" i="2" s="1"/>
  <c r="N51" i="2" s="1"/>
  <c r="O51" i="2" s="1"/>
  <c r="P51" i="2" s="1"/>
  <c r="L50" i="2"/>
  <c r="K50" i="2"/>
  <c r="J49" i="2"/>
  <c r="I49" i="2"/>
  <c r="H49" i="2"/>
  <c r="G49" i="2"/>
  <c r="F49" i="2"/>
  <c r="E49" i="2"/>
  <c r="E63" i="2" s="1"/>
  <c r="D49" i="2"/>
  <c r="C49" i="2"/>
  <c r="B49" i="2"/>
  <c r="O47" i="2"/>
  <c r="P47" i="2" s="1"/>
  <c r="K47" i="2"/>
  <c r="L47" i="2" s="1"/>
  <c r="M47" i="2" s="1"/>
  <c r="N47" i="2" s="1"/>
  <c r="K46" i="2"/>
  <c r="L46" i="2" s="1"/>
  <c r="M46" i="2" s="1"/>
  <c r="N46" i="2" s="1"/>
  <c r="O46" i="2" s="1"/>
  <c r="P46" i="2" s="1"/>
  <c r="L44" i="2"/>
  <c r="M44" i="2" s="1"/>
  <c r="N44" i="2" s="1"/>
  <c r="O44" i="2" s="1"/>
  <c r="P44" i="2" s="1"/>
  <c r="K44" i="2"/>
  <c r="P42" i="2"/>
  <c r="O42" i="2"/>
  <c r="N42" i="2"/>
  <c r="L42" i="2"/>
  <c r="M42" i="2" s="1"/>
  <c r="K42" i="2"/>
  <c r="J41" i="2"/>
  <c r="I41" i="2"/>
  <c r="H41" i="2"/>
  <c r="H63" i="2" s="1"/>
  <c r="G41" i="2"/>
  <c r="F41" i="2"/>
  <c r="E41" i="2"/>
  <c r="D41" i="2"/>
  <c r="C41" i="2"/>
  <c r="B41" i="2"/>
  <c r="B36" i="2"/>
  <c r="B207" i="2" s="1"/>
  <c r="K33" i="2"/>
  <c r="L33" i="2" s="1"/>
  <c r="M33" i="2" s="1"/>
  <c r="N33" i="2" s="1"/>
  <c r="O33" i="2" s="1"/>
  <c r="P33" i="2" s="1"/>
  <c r="J33" i="2"/>
  <c r="I33" i="2"/>
  <c r="H33" i="2"/>
  <c r="G33" i="2"/>
  <c r="F33" i="2"/>
  <c r="E33" i="2"/>
  <c r="B33" i="2"/>
  <c r="L31" i="2"/>
  <c r="M31" i="2" s="1"/>
  <c r="N31" i="2" s="1"/>
  <c r="O31" i="2" s="1"/>
  <c r="P31" i="2" s="1"/>
  <c r="J30" i="2"/>
  <c r="B30" i="2"/>
  <c r="M27" i="2"/>
  <c r="N27" i="2" s="1"/>
  <c r="O27" i="2" s="1"/>
  <c r="P27" i="2" s="1"/>
  <c r="L27" i="2"/>
  <c r="K27" i="2"/>
  <c r="D27" i="2"/>
  <c r="C27" i="2"/>
  <c r="L24" i="2"/>
  <c r="M24" i="2" s="1"/>
  <c r="N24" i="2" s="1"/>
  <c r="O24" i="2" s="1"/>
  <c r="P24" i="2" s="1"/>
  <c r="K24" i="2"/>
  <c r="J16" i="2"/>
  <c r="I16" i="2"/>
  <c r="H16" i="2"/>
  <c r="G16" i="2"/>
  <c r="F16" i="2"/>
  <c r="E16" i="2"/>
  <c r="D16" i="2"/>
  <c r="C16" i="2"/>
  <c r="B16" i="2"/>
  <c r="J6" i="2"/>
  <c r="I6" i="2"/>
  <c r="H6" i="2"/>
  <c r="G6" i="2"/>
  <c r="G18" i="2" s="1"/>
  <c r="G22" i="2" s="1"/>
  <c r="G26" i="2" s="1"/>
  <c r="G28" i="2" s="1"/>
  <c r="G32" i="2" s="1"/>
  <c r="G36" i="2" s="1"/>
  <c r="G207" i="2" s="1"/>
  <c r="F6" i="2"/>
  <c r="F18" i="2" s="1"/>
  <c r="F22" i="2" s="1"/>
  <c r="F26" i="2" s="1"/>
  <c r="F28" i="2" s="1"/>
  <c r="F32" i="2" s="1"/>
  <c r="F36" i="2" s="1"/>
  <c r="F207" i="2" s="1"/>
  <c r="E6" i="2"/>
  <c r="E18" i="2" s="1"/>
  <c r="E22" i="2" s="1"/>
  <c r="E26" i="2" s="1"/>
  <c r="E28" i="2" s="1"/>
  <c r="E32" i="2" s="1"/>
  <c r="E36" i="2" s="1"/>
  <c r="E207" i="2" s="1"/>
  <c r="B6" i="2"/>
  <c r="B18" i="2" s="1"/>
  <c r="B22" i="2" s="1"/>
  <c r="B26" i="2" s="1"/>
  <c r="B28" i="2" s="1"/>
  <c r="B32" i="2" s="1"/>
  <c r="N4" i="2"/>
  <c r="O4" i="2" s="1"/>
  <c r="P4" i="2" s="1"/>
  <c r="M4" i="2"/>
  <c r="L4" i="2"/>
  <c r="D3" i="2"/>
  <c r="C3" i="2"/>
  <c r="C120" i="2" s="1"/>
  <c r="B3" i="2"/>
  <c r="D1" i="2"/>
  <c r="E1" i="2" s="1"/>
  <c r="F1" i="2" s="1"/>
  <c r="G1" i="2" s="1"/>
  <c r="H1" i="2" s="1"/>
  <c r="I1" i="2" s="1"/>
  <c r="J1" i="2" s="1"/>
  <c r="K1" i="2" s="1"/>
  <c r="C1" i="2"/>
  <c r="B22" i="3" l="1"/>
  <c r="D25" i="3"/>
  <c r="B25" i="3"/>
  <c r="G13" i="3"/>
  <c r="C22" i="3"/>
  <c r="E25" i="3"/>
  <c r="C25" i="3"/>
  <c r="D22" i="3"/>
  <c r="L1" i="2"/>
  <c r="E182" i="2"/>
  <c r="E162" i="2"/>
  <c r="C121" i="2"/>
  <c r="M50" i="2"/>
  <c r="L209" i="2"/>
  <c r="L49" i="2"/>
  <c r="I197" i="2"/>
  <c r="I204" i="2"/>
  <c r="I174" i="2"/>
  <c r="I154" i="2"/>
  <c r="M200" i="2"/>
  <c r="L20" i="2"/>
  <c r="L208" i="2" s="1"/>
  <c r="H182" i="2"/>
  <c r="H162" i="2"/>
  <c r="H189" i="2" s="1"/>
  <c r="B93" i="2"/>
  <c r="C179" i="2"/>
  <c r="B183" i="2"/>
  <c r="E176" i="2"/>
  <c r="D126" i="2"/>
  <c r="D130" i="2"/>
  <c r="D125" i="2"/>
  <c r="D128" i="2"/>
  <c r="D129" i="2"/>
  <c r="D127" i="2"/>
  <c r="D170" i="2"/>
  <c r="D6" i="2"/>
  <c r="D18" i="2" s="1"/>
  <c r="D22" i="2" s="1"/>
  <c r="D26" i="2" s="1"/>
  <c r="D28" i="2" s="1"/>
  <c r="D32" i="2" s="1"/>
  <c r="D36" i="2" s="1"/>
  <c r="D207" i="2" s="1"/>
  <c r="D120" i="2"/>
  <c r="I63" i="2"/>
  <c r="I93" i="2" s="1"/>
  <c r="J162" i="2"/>
  <c r="E187" i="2"/>
  <c r="E178" i="2"/>
  <c r="J63" i="2"/>
  <c r="J93" i="2" s="1"/>
  <c r="G92" i="2"/>
  <c r="G93" i="2" s="1"/>
  <c r="C128" i="2"/>
  <c r="B178" i="2"/>
  <c r="E179" i="2"/>
  <c r="G195" i="2"/>
  <c r="I106" i="2"/>
  <c r="I120" i="2"/>
  <c r="I118" i="2"/>
  <c r="M96" i="2"/>
  <c r="B177" i="2"/>
  <c r="B186" i="2"/>
  <c r="B127" i="2"/>
  <c r="B126" i="2"/>
  <c r="B130" i="2"/>
  <c r="B125" i="2"/>
  <c r="B129" i="2"/>
  <c r="B128" i="2"/>
  <c r="B162" i="2"/>
  <c r="J18" i="2"/>
  <c r="J22" i="2" s="1"/>
  <c r="J26" i="2" s="1"/>
  <c r="J28" i="2" s="1"/>
  <c r="J32" i="2" s="1"/>
  <c r="J36" i="2" s="1"/>
  <c r="J207" i="2" s="1"/>
  <c r="H92" i="2"/>
  <c r="H93" i="2" s="1"/>
  <c r="L109" i="2"/>
  <c r="B120" i="2"/>
  <c r="C125" i="2"/>
  <c r="J189" i="2"/>
  <c r="B182" i="2"/>
  <c r="J176" i="2"/>
  <c r="K176" i="2" s="1"/>
  <c r="L176" i="2" s="1"/>
  <c r="M176" i="2" s="1"/>
  <c r="N176" i="2" s="1"/>
  <c r="O176" i="2" s="1"/>
  <c r="P176" i="2" s="1"/>
  <c r="H195" i="2"/>
  <c r="J120" i="2"/>
  <c r="J118" i="2"/>
  <c r="J106" i="2"/>
  <c r="B179" i="2"/>
  <c r="C127" i="2"/>
  <c r="C126" i="2"/>
  <c r="C129" i="2"/>
  <c r="C170" i="2"/>
  <c r="C176" i="2" s="1"/>
  <c r="C6" i="2"/>
  <c r="C18" i="2" s="1"/>
  <c r="C22" i="2" s="1"/>
  <c r="C26" i="2" s="1"/>
  <c r="C28" i="2" s="1"/>
  <c r="C32" i="2" s="1"/>
  <c r="C36" i="2" s="1"/>
  <c r="C207" i="2" s="1"/>
  <c r="K49" i="2"/>
  <c r="K209" i="2"/>
  <c r="I102" i="2"/>
  <c r="E154" i="2"/>
  <c r="K200" i="2"/>
  <c r="K201" i="2" s="1"/>
  <c r="C63" i="2"/>
  <c r="C93" i="2" s="1"/>
  <c r="D104" i="2"/>
  <c r="M110" i="2"/>
  <c r="N110" i="2" s="1"/>
  <c r="O110" i="2" s="1"/>
  <c r="P110" i="2" s="1"/>
  <c r="F162" i="2"/>
  <c r="F189" i="2" s="1"/>
  <c r="I162" i="2"/>
  <c r="G162" i="2"/>
  <c r="G189" i="2" s="1"/>
  <c r="G190" i="2" s="1"/>
  <c r="G210" i="2" s="1"/>
  <c r="B175" i="2"/>
  <c r="F187" i="2"/>
  <c r="C154" i="2"/>
  <c r="C189" i="2" s="1"/>
  <c r="F186" i="2"/>
  <c r="H18" i="2"/>
  <c r="H22" i="2" s="1"/>
  <c r="H26" i="2" s="1"/>
  <c r="H28" i="2" s="1"/>
  <c r="H32" i="2" s="1"/>
  <c r="H36" i="2" s="1"/>
  <c r="H207" i="2" s="1"/>
  <c r="G102" i="2"/>
  <c r="D154" i="2"/>
  <c r="D189" i="2" s="1"/>
  <c r="D190" i="2" s="1"/>
  <c r="D210" i="2" s="1"/>
  <c r="D174" i="2"/>
  <c r="D175" i="2"/>
  <c r="L199" i="2"/>
  <c r="L201" i="2" s="1"/>
  <c r="G121" i="2"/>
  <c r="B154" i="2"/>
  <c r="B189" i="2" s="1"/>
  <c r="I18" i="2"/>
  <c r="I22" i="2" s="1"/>
  <c r="I26" i="2" s="1"/>
  <c r="I28" i="2" s="1"/>
  <c r="I32" i="2" s="1"/>
  <c r="I36" i="2" s="1"/>
  <c r="I207" i="2" s="1"/>
  <c r="H106" i="2"/>
  <c r="H120" i="2"/>
  <c r="H121" i="2" s="1"/>
  <c r="H102" i="2"/>
  <c r="K111" i="2"/>
  <c r="K100" i="2" s="1"/>
  <c r="E174" i="2"/>
  <c r="E175" i="2"/>
  <c r="B176" i="2"/>
  <c r="B204" i="2"/>
  <c r="D162" i="2"/>
  <c r="H190" i="2" l="1"/>
  <c r="H210" i="2" s="1"/>
  <c r="D121" i="2"/>
  <c r="E121" i="2"/>
  <c r="C178" i="2"/>
  <c r="D186" i="2"/>
  <c r="D183" i="2"/>
  <c r="D176" i="2"/>
  <c r="D177" i="2"/>
  <c r="D178" i="2"/>
  <c r="D185" i="2"/>
  <c r="K211" i="2"/>
  <c r="K69" i="2"/>
  <c r="K68" i="2" s="1"/>
  <c r="C190" i="2"/>
  <c r="C210" i="2" s="1"/>
  <c r="E189" i="2"/>
  <c r="E190" i="2" s="1"/>
  <c r="E210" i="2" s="1"/>
  <c r="L211" i="2"/>
  <c r="L69" i="2"/>
  <c r="L68" i="2" s="1"/>
  <c r="H197" i="2"/>
  <c r="H204" i="2"/>
  <c r="G197" i="2"/>
  <c r="G204" i="2"/>
  <c r="K3" i="2"/>
  <c r="K102" i="2"/>
  <c r="C177" i="2"/>
  <c r="C186" i="2"/>
  <c r="C187" i="2"/>
  <c r="C174" i="2"/>
  <c r="C184" i="2"/>
  <c r="C185" i="2"/>
  <c r="C175" i="2"/>
  <c r="D182" i="2"/>
  <c r="L111" i="2"/>
  <c r="L100" i="2" s="1"/>
  <c r="M109" i="2"/>
  <c r="M95" i="2"/>
  <c r="M195" i="2" s="1"/>
  <c r="M203" i="2" s="1"/>
  <c r="N96" i="2"/>
  <c r="M199" i="2"/>
  <c r="M201" i="2" s="1"/>
  <c r="K120" i="2"/>
  <c r="L120" i="2" s="1"/>
  <c r="M120" i="2" s="1"/>
  <c r="N120" i="2" s="1"/>
  <c r="O120" i="2" s="1"/>
  <c r="P120" i="2" s="1"/>
  <c r="J121" i="2"/>
  <c r="C183" i="2"/>
  <c r="I189" i="2"/>
  <c r="I190" i="2" s="1"/>
  <c r="I210" i="2" s="1"/>
  <c r="N50" i="2"/>
  <c r="M49" i="2"/>
  <c r="M209" i="2"/>
  <c r="D184" i="2"/>
  <c r="C182" i="2"/>
  <c r="I121" i="2"/>
  <c r="D187" i="2"/>
  <c r="D179" i="2"/>
  <c r="M1" i="2"/>
  <c r="K13" i="2" l="1"/>
  <c r="K11" i="2"/>
  <c r="K9" i="2"/>
  <c r="K10" i="2"/>
  <c r="K170" i="2"/>
  <c r="K14" i="2"/>
  <c r="K6" i="2"/>
  <c r="K12" i="2"/>
  <c r="O50" i="2"/>
  <c r="N49" i="2"/>
  <c r="N209" i="2"/>
  <c r="N1" i="2"/>
  <c r="O96" i="2"/>
  <c r="N95" i="2"/>
  <c r="N195" i="2" s="1"/>
  <c r="N203" i="2" s="1"/>
  <c r="N199" i="2"/>
  <c r="N109" i="2"/>
  <c r="M111" i="2"/>
  <c r="M100" i="2" s="1"/>
  <c r="N200" i="2"/>
  <c r="M20" i="2"/>
  <c r="M208" i="2" s="1"/>
  <c r="L102" i="2"/>
  <c r="L3" i="2"/>
  <c r="J190" i="2"/>
  <c r="J210" i="2" s="1"/>
  <c r="M211" i="2"/>
  <c r="M69" i="2"/>
  <c r="M68" i="2" s="1"/>
  <c r="F190" i="2"/>
  <c r="F210" i="2" s="1"/>
  <c r="M102" i="2" l="1"/>
  <c r="M3" i="2"/>
  <c r="L13" i="2"/>
  <c r="L10" i="2"/>
  <c r="L14" i="2"/>
  <c r="L9" i="2"/>
  <c r="L6" i="2"/>
  <c r="L12" i="2"/>
  <c r="L11" i="2"/>
  <c r="L170" i="2"/>
  <c r="K16" i="2"/>
  <c r="K18" i="2" s="1"/>
  <c r="K22" i="2" s="1"/>
  <c r="K26" i="2" s="1"/>
  <c r="K28" i="2" s="1"/>
  <c r="O1" i="2"/>
  <c r="K168" i="2"/>
  <c r="K62" i="2" s="1"/>
  <c r="K164" i="2"/>
  <c r="K57" i="2" s="1"/>
  <c r="K159" i="2"/>
  <c r="K88" i="2" s="1"/>
  <c r="K155" i="2"/>
  <c r="K157" i="2"/>
  <c r="K86" i="2" s="1"/>
  <c r="K163" i="2"/>
  <c r="K158" i="2"/>
  <c r="K87" i="2" s="1"/>
  <c r="K165" i="2"/>
  <c r="K59" i="2" s="1"/>
  <c r="K160" i="2"/>
  <c r="K90" i="2" s="1"/>
  <c r="K156" i="2"/>
  <c r="K84" i="2" s="1"/>
  <c r="K167" i="2"/>
  <c r="K61" i="2" s="1"/>
  <c r="K166" i="2"/>
  <c r="K60" i="2" s="1"/>
  <c r="O200" i="2"/>
  <c r="N20" i="2"/>
  <c r="N208" i="2" s="1"/>
  <c r="P96" i="2"/>
  <c r="O199" i="2"/>
  <c r="O201" i="2" s="1"/>
  <c r="O95" i="2"/>
  <c r="O195" i="2" s="1"/>
  <c r="O203" i="2" s="1"/>
  <c r="P50" i="2"/>
  <c r="O49" i="2"/>
  <c r="O209" i="2"/>
  <c r="N111" i="2"/>
  <c r="N100" i="2" s="1"/>
  <c r="O109" i="2"/>
  <c r="N201" i="2"/>
  <c r="K30" i="2" l="1"/>
  <c r="K32" i="2" s="1"/>
  <c r="K36" i="2" s="1"/>
  <c r="N211" i="2"/>
  <c r="N69" i="2"/>
  <c r="N68" i="2" s="1"/>
  <c r="P1" i="2"/>
  <c r="N102" i="2"/>
  <c r="N3" i="2"/>
  <c r="L168" i="2"/>
  <c r="L62" i="2" s="1"/>
  <c r="L164" i="2"/>
  <c r="L57" i="2" s="1"/>
  <c r="L159" i="2"/>
  <c r="L88" i="2" s="1"/>
  <c r="L155" i="2"/>
  <c r="L163" i="2"/>
  <c r="L158" i="2"/>
  <c r="L87" i="2" s="1"/>
  <c r="L165" i="2"/>
  <c r="L59" i="2" s="1"/>
  <c r="L160" i="2"/>
  <c r="L90" i="2" s="1"/>
  <c r="L157" i="2"/>
  <c r="L86" i="2" s="1"/>
  <c r="L156" i="2"/>
  <c r="L84" i="2" s="1"/>
  <c r="L167" i="2"/>
  <c r="L61" i="2" s="1"/>
  <c r="L166" i="2"/>
  <c r="L60" i="2" s="1"/>
  <c r="K56" i="2"/>
  <c r="K55" i="2" s="1"/>
  <c r="K162" i="2"/>
  <c r="O211" i="2"/>
  <c r="O69" i="2"/>
  <c r="O68" i="2" s="1"/>
  <c r="K83" i="2"/>
  <c r="K154" i="2"/>
  <c r="O111" i="2"/>
  <c r="O100" i="2" s="1"/>
  <c r="P109" i="2"/>
  <c r="P111" i="2" s="1"/>
  <c r="P100" i="2" s="1"/>
  <c r="P49" i="2"/>
  <c r="P209" i="2"/>
  <c r="P200" i="2"/>
  <c r="O20" i="2"/>
  <c r="O208" i="2" s="1"/>
  <c r="L16" i="2"/>
  <c r="L18" i="2" s="1"/>
  <c r="L22" i="2" s="1"/>
  <c r="L26" i="2" s="1"/>
  <c r="L28" i="2" s="1"/>
  <c r="P199" i="2"/>
  <c r="P201" i="2" s="1"/>
  <c r="P95" i="2"/>
  <c r="P195" i="2" s="1"/>
  <c r="P203" i="2" s="1"/>
  <c r="P20" i="2" s="1"/>
  <c r="P208" i="2" s="1"/>
  <c r="M12" i="2"/>
  <c r="M14" i="2"/>
  <c r="M9" i="2"/>
  <c r="M13" i="2"/>
  <c r="M10" i="2"/>
  <c r="M170" i="2"/>
  <c r="M11" i="2"/>
  <c r="M6" i="2"/>
  <c r="L30" i="2" l="1"/>
  <c r="L32" i="2" s="1"/>
  <c r="L36" i="2" s="1"/>
  <c r="L207" i="2" s="1"/>
  <c r="L214" i="2" s="1"/>
  <c r="K207" i="2"/>
  <c r="K214" i="2" s="1"/>
  <c r="K43" i="2"/>
  <c r="M168" i="2"/>
  <c r="M62" i="2" s="1"/>
  <c r="M164" i="2"/>
  <c r="M57" i="2" s="1"/>
  <c r="M159" i="2"/>
  <c r="M88" i="2" s="1"/>
  <c r="M155" i="2"/>
  <c r="M167" i="2"/>
  <c r="M61" i="2" s="1"/>
  <c r="M163" i="2"/>
  <c r="M158" i="2"/>
  <c r="M87" i="2" s="1"/>
  <c r="M165" i="2"/>
  <c r="M59" i="2" s="1"/>
  <c r="M160" i="2"/>
  <c r="M90" i="2" s="1"/>
  <c r="M157" i="2"/>
  <c r="M86" i="2" s="1"/>
  <c r="M166" i="2"/>
  <c r="M60" i="2" s="1"/>
  <c r="M156" i="2"/>
  <c r="M84" i="2" s="1"/>
  <c r="L83" i="2"/>
  <c r="L154" i="2"/>
  <c r="L189" i="2" s="1"/>
  <c r="L190" i="2" s="1"/>
  <c r="L210" i="2" s="1"/>
  <c r="P69" i="2"/>
  <c r="P68" i="2" s="1"/>
  <c r="P211" i="2"/>
  <c r="N14" i="2"/>
  <c r="N12" i="2"/>
  <c r="N9" i="2"/>
  <c r="N6" i="2"/>
  <c r="N10" i="2"/>
  <c r="N170" i="2"/>
  <c r="N11" i="2"/>
  <c r="N13" i="2"/>
  <c r="Q1" i="2"/>
  <c r="P3" i="2"/>
  <c r="P102" i="2"/>
  <c r="M16" i="2"/>
  <c r="M18" i="2" s="1"/>
  <c r="M22" i="2" s="1"/>
  <c r="M26" i="2" s="1"/>
  <c r="M28" i="2" s="1"/>
  <c r="O102" i="2"/>
  <c r="O3" i="2"/>
  <c r="K189" i="2"/>
  <c r="K190" i="2" s="1"/>
  <c r="K210" i="2" s="1"/>
  <c r="L56" i="2"/>
  <c r="L55" i="2" s="1"/>
  <c r="L162" i="2"/>
  <c r="M30" i="2" l="1"/>
  <c r="M32" i="2" s="1"/>
  <c r="M36" i="2" s="1"/>
  <c r="M207" i="2" s="1"/>
  <c r="L216" i="2"/>
  <c r="L225" i="2"/>
  <c r="R1" i="2"/>
  <c r="M56" i="2"/>
  <c r="M55" i="2" s="1"/>
  <c r="M162" i="2"/>
  <c r="P14" i="2"/>
  <c r="P12" i="2"/>
  <c r="P10" i="2"/>
  <c r="P6" i="2"/>
  <c r="P9" i="2"/>
  <c r="P170" i="2"/>
  <c r="P11" i="2"/>
  <c r="P13" i="2"/>
  <c r="M154" i="2"/>
  <c r="M83" i="2"/>
  <c r="K41" i="2"/>
  <c r="K63" i="2" s="1"/>
  <c r="L43" i="2"/>
  <c r="N167" i="2"/>
  <c r="N61" i="2" s="1"/>
  <c r="N163" i="2"/>
  <c r="N158" i="2"/>
  <c r="N87" i="2" s="1"/>
  <c r="N157" i="2"/>
  <c r="N86" i="2" s="1"/>
  <c r="N164" i="2"/>
  <c r="N57" i="2" s="1"/>
  <c r="N159" i="2"/>
  <c r="N88" i="2" s="1"/>
  <c r="N156" i="2"/>
  <c r="N84" i="2" s="1"/>
  <c r="N155" i="2"/>
  <c r="N160" i="2"/>
  <c r="N90" i="2" s="1"/>
  <c r="N166" i="2"/>
  <c r="N60" i="2" s="1"/>
  <c r="N168" i="2"/>
  <c r="N62" i="2" s="1"/>
  <c r="N165" i="2"/>
  <c r="N59" i="2" s="1"/>
  <c r="K215" i="2"/>
  <c r="K225" i="2"/>
  <c r="O14" i="2"/>
  <c r="O12" i="2"/>
  <c r="O10" i="2"/>
  <c r="O6" i="2"/>
  <c r="O170" i="2"/>
  <c r="O11" i="2"/>
  <c r="O9" i="2"/>
  <c r="O13" i="2"/>
  <c r="N16" i="2"/>
  <c r="N18" i="2" s="1"/>
  <c r="N22" i="2" s="1"/>
  <c r="N26" i="2" s="1"/>
  <c r="N28" i="2" s="1"/>
  <c r="N30" i="2" l="1"/>
  <c r="N32" i="2" s="1"/>
  <c r="N36" i="2" s="1"/>
  <c r="N207" i="2" s="1"/>
  <c r="N214" i="2" s="1"/>
  <c r="M214" i="2"/>
  <c r="N154" i="2"/>
  <c r="N189" i="2" s="1"/>
  <c r="N190" i="2" s="1"/>
  <c r="N210" i="2" s="1"/>
  <c r="N83" i="2"/>
  <c r="S1" i="2"/>
  <c r="P167" i="2"/>
  <c r="P61" i="2" s="1"/>
  <c r="P163" i="2"/>
  <c r="P158" i="2"/>
  <c r="P87" i="2" s="1"/>
  <c r="P166" i="2"/>
  <c r="P60" i="2" s="1"/>
  <c r="P157" i="2"/>
  <c r="P86" i="2" s="1"/>
  <c r="P164" i="2"/>
  <c r="P57" i="2" s="1"/>
  <c r="P159" i="2"/>
  <c r="P88" i="2" s="1"/>
  <c r="P156" i="2"/>
  <c r="P84" i="2" s="1"/>
  <c r="P160" i="2"/>
  <c r="P90" i="2" s="1"/>
  <c r="P168" i="2"/>
  <c r="P62" i="2" s="1"/>
  <c r="P165" i="2"/>
  <c r="P59" i="2" s="1"/>
  <c r="P155" i="2"/>
  <c r="L41" i="2"/>
  <c r="L63" i="2" s="1"/>
  <c r="M43" i="2"/>
  <c r="O16" i="2"/>
  <c r="O18" i="2" s="1"/>
  <c r="O22" i="2" s="1"/>
  <c r="O26" i="2" s="1"/>
  <c r="O28" i="2" s="1"/>
  <c r="O167" i="2"/>
  <c r="O61" i="2" s="1"/>
  <c r="O163" i="2"/>
  <c r="O158" i="2"/>
  <c r="O87" i="2" s="1"/>
  <c r="O164" i="2"/>
  <c r="O57" i="2" s="1"/>
  <c r="O159" i="2"/>
  <c r="O88" i="2" s="1"/>
  <c r="O156" i="2"/>
  <c r="O84" i="2" s="1"/>
  <c r="O155" i="2"/>
  <c r="O168" i="2"/>
  <c r="O62" i="2" s="1"/>
  <c r="O165" i="2"/>
  <c r="O59" i="2" s="1"/>
  <c r="O157" i="2"/>
  <c r="O86" i="2" s="1"/>
  <c r="O166" i="2"/>
  <c r="O60" i="2" s="1"/>
  <c r="O160" i="2"/>
  <c r="O90" i="2" s="1"/>
  <c r="M189" i="2"/>
  <c r="M190" i="2" s="1"/>
  <c r="M210" i="2" s="1"/>
  <c r="P16" i="2"/>
  <c r="N162" i="2"/>
  <c r="N56" i="2"/>
  <c r="N55" i="2" s="1"/>
  <c r="P18" i="2"/>
  <c r="P22" i="2" s="1"/>
  <c r="P26" i="2" s="1"/>
  <c r="P28" i="2" s="1"/>
  <c r="L213" i="2"/>
  <c r="L215" i="2" s="1"/>
  <c r="K85" i="2"/>
  <c r="K81" i="2" s="1"/>
  <c r="K92" i="2" s="1"/>
  <c r="K93" i="2" s="1"/>
  <c r="O30" i="2" l="1"/>
  <c r="O32" i="2" s="1"/>
  <c r="O36" i="2" s="1"/>
  <c r="O207" i="2" s="1"/>
  <c r="N216" i="2"/>
  <c r="N225" i="2"/>
  <c r="M41" i="2"/>
  <c r="M63" i="2" s="1"/>
  <c r="N43" i="2"/>
  <c r="P154" i="2"/>
  <c r="P83" i="2"/>
  <c r="P162" i="2"/>
  <c r="P56" i="2"/>
  <c r="P55" i="2" s="1"/>
  <c r="M213" i="2"/>
  <c r="M215" i="2" s="1"/>
  <c r="L85" i="2"/>
  <c r="L81" i="2" s="1"/>
  <c r="L92" i="2" s="1"/>
  <c r="L93" i="2" s="1"/>
  <c r="P30" i="2"/>
  <c r="P32" i="2" s="1"/>
  <c r="P36" i="2" s="1"/>
  <c r="P207" i="2" s="1"/>
  <c r="O154" i="2"/>
  <c r="O83" i="2"/>
  <c r="T1" i="2"/>
  <c r="M216" i="2"/>
  <c r="M225" i="2"/>
  <c r="O162" i="2"/>
  <c r="O56" i="2"/>
  <c r="O55" i="2" s="1"/>
  <c r="M85" i="2" l="1"/>
  <c r="M81" i="2" s="1"/>
  <c r="M92" i="2" s="1"/>
  <c r="M93" i="2" s="1"/>
  <c r="N213" i="2"/>
  <c r="N215" i="2" s="1"/>
  <c r="U1" i="2"/>
  <c r="P189" i="2"/>
  <c r="P190" i="2" s="1"/>
  <c r="P210" i="2" s="1"/>
  <c r="P214" i="2" s="1"/>
  <c r="O43" i="2"/>
  <c r="N41" i="2"/>
  <c r="N63" i="2" s="1"/>
  <c r="O189" i="2"/>
  <c r="O190" i="2" s="1"/>
  <c r="O210" i="2" s="1"/>
  <c r="O214" i="2" s="1"/>
  <c r="P216" i="2" l="1"/>
  <c r="Q216" i="2" s="1"/>
  <c r="R216" i="2" s="1"/>
  <c r="S216" i="2" s="1"/>
  <c r="T216" i="2" s="1"/>
  <c r="U216" i="2" s="1"/>
  <c r="V216" i="2" s="1"/>
  <c r="P225" i="2"/>
  <c r="O216" i="2"/>
  <c r="O225" i="2"/>
  <c r="V1" i="2"/>
  <c r="O213" i="2"/>
  <c r="O215" i="2" s="1"/>
  <c r="N85" i="2"/>
  <c r="N81" i="2" s="1"/>
  <c r="N92" i="2" s="1"/>
  <c r="N93" i="2" s="1"/>
  <c r="P43" i="2"/>
  <c r="P41" i="2" s="1"/>
  <c r="P63" i="2" s="1"/>
  <c r="O41" i="2"/>
  <c r="O63" i="2" s="1"/>
  <c r="O85" i="2" l="1"/>
  <c r="O81" i="2" s="1"/>
  <c r="O92" i="2" s="1"/>
  <c r="O93" i="2" s="1"/>
  <c r="P213" i="2"/>
  <c r="P215" i="2" s="1"/>
  <c r="P85" i="2" s="1"/>
  <c r="P81" i="2" s="1"/>
  <c r="P92" i="2" s="1"/>
  <c r="P93" i="2" s="1"/>
  <c r="Q214" i="2"/>
  <c r="R214" i="2" l="1"/>
  <c r="Q225" i="2"/>
  <c r="S214" i="2" l="1"/>
  <c r="R225" i="2"/>
  <c r="T214" i="2" l="1"/>
  <c r="S225" i="2"/>
  <c r="U214" i="2" l="1"/>
  <c r="T225" i="2"/>
  <c r="V214" i="2" l="1"/>
  <c r="U225" i="2"/>
  <c r="W214" i="2" l="1"/>
  <c r="W225" i="2" s="1"/>
  <c r="V225" i="2"/>
  <c r="B225" i="2" l="1"/>
  <c r="B227" i="2" s="1"/>
  <c r="B229" i="2" s="1"/>
  <c r="B2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" authorId="0" shapeId="0" xr:uid="{BF0E8517-29B7-40B0-BB91-E1D83D9C0325}">
      <text>
        <r>
          <rPr>
            <sz val="10"/>
            <color rgb="FF000000"/>
            <rFont val="Aptos Narrow"/>
            <family val="2"/>
            <scheme val="minor"/>
          </rPr>
          <t>average of historic data
======</t>
        </r>
      </text>
    </comment>
    <comment ref="K112" authorId="0" shapeId="0" xr:uid="{D4899909-A26B-41F0-814C-A7026159C513}">
      <text>
        <r>
          <rPr>
            <sz val="10"/>
            <color rgb="FF000000"/>
            <rFont val="Aptos Narrow"/>
            <family val="2"/>
            <scheme val="minor"/>
          </rPr>
          <t>average growth rate of historic years
======</t>
        </r>
      </text>
    </comment>
    <comment ref="K113" authorId="0" shapeId="0" xr:uid="{3A6E3D5E-4ADE-4AB2-96D0-0DDD85BCEA20}">
      <text>
        <r>
          <rPr>
            <sz val="10"/>
            <color rgb="FF000000"/>
            <rFont val="Aptos Narrow"/>
            <family val="2"/>
            <scheme val="minor"/>
          </rPr>
          <t>average growth rate of historic years
======</t>
        </r>
      </text>
    </comment>
    <comment ref="K118" authorId="0" shapeId="0" xr:uid="{8BDE38CE-F5B1-4AD3-AE64-43C17793028F}">
      <text>
        <r>
          <rPr>
            <sz val="10"/>
            <color rgb="FF000000"/>
            <rFont val="Aptos Narrow"/>
            <family val="2"/>
            <scheme val="minor"/>
          </rPr>
          <t>average growth rate of historic years
======</t>
        </r>
      </text>
    </comment>
  </commentList>
</comments>
</file>

<file path=xl/sharedStrings.xml><?xml version="1.0" encoding="utf-8"?>
<sst xmlns="http://schemas.openxmlformats.org/spreadsheetml/2006/main" count="223" uniqueCount="166">
  <si>
    <t>All the values below are in "Ml" millions</t>
  </si>
  <si>
    <t>TV</t>
  </si>
  <si>
    <t>Revenue</t>
  </si>
  <si>
    <t>Gross Revenue from operations</t>
  </si>
  <si>
    <t>Other Income</t>
  </si>
  <si>
    <t>Total Revenue</t>
  </si>
  <si>
    <t>Costs</t>
  </si>
  <si>
    <t>Raw Materials</t>
  </si>
  <si>
    <t>Purchases</t>
  </si>
  <si>
    <t>Changes in Stock in Trade</t>
  </si>
  <si>
    <t>Employee Cost</t>
  </si>
  <si>
    <t>Other Expenses</t>
  </si>
  <si>
    <t>Vehicles or Dies for Own Usage</t>
  </si>
  <si>
    <t>Total Costs (COGS)</t>
  </si>
  <si>
    <t>Operating Profits</t>
  </si>
  <si>
    <t>Depreciation &amp; Amortization</t>
  </si>
  <si>
    <t>EBIT</t>
  </si>
  <si>
    <t>Interest</t>
  </si>
  <si>
    <t>Profit Before Exceptional Items and Taxes</t>
  </si>
  <si>
    <t>Other/Exceptional Items</t>
  </si>
  <si>
    <t>Profit Before Taxes</t>
  </si>
  <si>
    <t>Taxes</t>
  </si>
  <si>
    <t>Profit Before Minority Interest and Share in Associates</t>
  </si>
  <si>
    <t>Share in Associates + JV</t>
  </si>
  <si>
    <t>Profit for the Year</t>
  </si>
  <si>
    <t>Sources of Funds</t>
  </si>
  <si>
    <t>Shareholder Funds</t>
  </si>
  <si>
    <t>Share Capital</t>
  </si>
  <si>
    <t>Reserves &amp; Surplus</t>
  </si>
  <si>
    <t>Money Received against Warrants</t>
  </si>
  <si>
    <t>Minority Interest</t>
  </si>
  <si>
    <t>Share Application Money Pending Allotment</t>
  </si>
  <si>
    <t>Long Term Liabilities</t>
  </si>
  <si>
    <t>Loans</t>
  </si>
  <si>
    <t>Other Long Term Liabilities</t>
  </si>
  <si>
    <t>Long Term Provisions</t>
  </si>
  <si>
    <t>Deferred Tax Liabilities</t>
  </si>
  <si>
    <t>Current Liabilities</t>
  </si>
  <si>
    <t>Tax Liabilities</t>
  </si>
  <si>
    <t>Short Term Borrowings</t>
  </si>
  <si>
    <t>Trade Payables Micro</t>
  </si>
  <si>
    <t>Trade Payables</t>
  </si>
  <si>
    <t>Other Current Liabilities</t>
  </si>
  <si>
    <t>Short Term Provisions</t>
  </si>
  <si>
    <t>Other Finance Liabilities</t>
  </si>
  <si>
    <t>Total</t>
  </si>
  <si>
    <t>Application Of Funds</t>
  </si>
  <si>
    <t>Long Term Assets</t>
  </si>
  <si>
    <t>Tangible Assets(PPE)</t>
  </si>
  <si>
    <t>Intangible Assets</t>
  </si>
  <si>
    <t>Capital Work in Progress</t>
  </si>
  <si>
    <t>Intangible Assets Under Development</t>
  </si>
  <si>
    <t>Right to use of asset</t>
  </si>
  <si>
    <t>Non-Current Investments</t>
  </si>
  <si>
    <t>Other Financial Assets</t>
  </si>
  <si>
    <t>Long Term Loans and Advances</t>
  </si>
  <si>
    <t>Other Non Current Assets</t>
  </si>
  <si>
    <t>Non current tax</t>
  </si>
  <si>
    <t xml:space="preserve">Deferred tax </t>
  </si>
  <si>
    <t>Current Assets</t>
  </si>
  <si>
    <t>Inventories</t>
  </si>
  <si>
    <t>Receivables</t>
  </si>
  <si>
    <t>Cash &amp; Bank Balances</t>
  </si>
  <si>
    <t>Loans &amp; Advances</t>
  </si>
  <si>
    <t>Other Current Assets</t>
  </si>
  <si>
    <t>Current Tax Asset</t>
  </si>
  <si>
    <t>Investments</t>
  </si>
  <si>
    <t>Asset for sale</t>
  </si>
  <si>
    <t>balance check</t>
  </si>
  <si>
    <t>Capacity</t>
  </si>
  <si>
    <t>New Capacity</t>
  </si>
  <si>
    <t>Domestic</t>
  </si>
  <si>
    <t>Exports</t>
  </si>
  <si>
    <t>Capacity Utilization</t>
  </si>
  <si>
    <t>Growth in Domestic Sales</t>
  </si>
  <si>
    <t>Growth in Export Sales</t>
  </si>
  <si>
    <t>Growth in Total Sales</t>
  </si>
  <si>
    <t>Industry Data</t>
  </si>
  <si>
    <t>Domestic Sales</t>
  </si>
  <si>
    <t>Growth in Domestic Market</t>
  </si>
  <si>
    <t>Growth in Exports</t>
  </si>
  <si>
    <t>Market Share</t>
  </si>
  <si>
    <t>Overall</t>
  </si>
  <si>
    <t>Revenue Per Car</t>
  </si>
  <si>
    <t>Growth</t>
  </si>
  <si>
    <t>Cost Drivers</t>
  </si>
  <si>
    <t>Own Use Vehicles</t>
  </si>
  <si>
    <t>Cost Per Car</t>
  </si>
  <si>
    <t>Working Capital Assumptions</t>
  </si>
  <si>
    <t>Revenue for Operations</t>
  </si>
  <si>
    <t>Working Capital as % of Sales</t>
  </si>
  <si>
    <t>Total Working Capital</t>
  </si>
  <si>
    <t>Change in Net Working Capital</t>
  </si>
  <si>
    <t>Capex Schedule</t>
  </si>
  <si>
    <t>Tangible</t>
  </si>
  <si>
    <t>Intangible</t>
  </si>
  <si>
    <t>Assets per Car Capacity</t>
  </si>
  <si>
    <t>Capex on Account of New Capacity</t>
  </si>
  <si>
    <t>Capex on Account of Wear and Tear</t>
  </si>
  <si>
    <t>Total Capex</t>
  </si>
  <si>
    <t>Depreciation</t>
  </si>
  <si>
    <t>Depreciation as % of LY Net Fixed Assets</t>
  </si>
  <si>
    <t>Free Cash flow (FCF)</t>
  </si>
  <si>
    <t>PAT (Net Profit)</t>
  </si>
  <si>
    <t>Add : Depreciation</t>
  </si>
  <si>
    <t>Add : Change in Debt</t>
  </si>
  <si>
    <t>Less : Change in working Capital</t>
  </si>
  <si>
    <t>Less : CAPEX</t>
  </si>
  <si>
    <t>Opening Cash</t>
  </si>
  <si>
    <t>Cash Flow for the period</t>
  </si>
  <si>
    <t>Closing Cash</t>
  </si>
  <si>
    <t>Growth %</t>
  </si>
  <si>
    <t>Terminal Value</t>
  </si>
  <si>
    <t>Cash Growth</t>
  </si>
  <si>
    <t>Discount Rate</t>
  </si>
  <si>
    <t>Risk free rate</t>
  </si>
  <si>
    <t>Market Premium</t>
  </si>
  <si>
    <t>Switch MP</t>
  </si>
  <si>
    <t>PV of cash for the period</t>
  </si>
  <si>
    <t>Cash as on today (T)</t>
  </si>
  <si>
    <t>Total EV (Enterprise value)</t>
  </si>
  <si>
    <t>&lt;&lt; VALUATION</t>
  </si>
  <si>
    <t>No of Shares</t>
  </si>
  <si>
    <t>Per Share value</t>
  </si>
  <si>
    <t>Current share price</t>
  </si>
  <si>
    <t>P/L</t>
  </si>
  <si>
    <t>Maruti Suzuki</t>
  </si>
  <si>
    <t>https://www.screener.in/company/MARUTI/consolidated/#profit-loss</t>
  </si>
  <si>
    <t>CAGR</t>
  </si>
  <si>
    <t>All numbers are in Crores (Cr.)</t>
  </si>
  <si>
    <t>Fill in the company details here</t>
  </si>
  <si>
    <t>Sales</t>
  </si>
  <si>
    <t>Operating Profit (EBITDA)</t>
  </si>
  <si>
    <t>Profit (PAT)</t>
  </si>
  <si>
    <t>Dividend</t>
  </si>
  <si>
    <t>DPS</t>
  </si>
  <si>
    <t>Cash Flow from Operating Activities</t>
  </si>
  <si>
    <t>Net Worth</t>
  </si>
  <si>
    <t>Debt</t>
  </si>
  <si>
    <t>Assets</t>
  </si>
  <si>
    <t>Operating Profit Margin</t>
  </si>
  <si>
    <t>Net Profit Margin</t>
  </si>
  <si>
    <t>CFO / Interest</t>
  </si>
  <si>
    <t>OP / Interest</t>
  </si>
  <si>
    <t>Debt/Equity</t>
  </si>
  <si>
    <t>Return on Equity</t>
  </si>
  <si>
    <t>Return on Capital Employed</t>
  </si>
  <si>
    <t>Dividend Rate</t>
  </si>
  <si>
    <t>Dividend Payout Ratio</t>
  </si>
  <si>
    <t>Asset Turnover Ratio</t>
  </si>
  <si>
    <t>Gearing</t>
  </si>
  <si>
    <t>Return on Equity - Dupont</t>
  </si>
  <si>
    <t>Face Value</t>
  </si>
  <si>
    <t>Screener</t>
  </si>
  <si>
    <t>Market Capitalization</t>
  </si>
  <si>
    <t>Expected Profits Current Year</t>
  </si>
  <si>
    <t>&lt;&lt;2025</t>
  </si>
  <si>
    <t>Current P/E</t>
  </si>
  <si>
    <t>3-year Forward PE Multiple</t>
  </si>
  <si>
    <t>&lt;&lt; Assumption</t>
  </si>
  <si>
    <t>Sales in 2027</t>
  </si>
  <si>
    <t>Expected sales growth rate</t>
  </si>
  <si>
    <t>Net Profit Margin (NPM)</t>
  </si>
  <si>
    <t>Net Profit in 2027</t>
  </si>
  <si>
    <t>Expected Market Capitalization in 2027</t>
  </si>
  <si>
    <t>CAGR in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</si>
</sst>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₹]#,##0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FF"/>
      <name val="Arial"/>
      <family val="2"/>
    </font>
    <font>
      <sz val="10"/>
      <color rgb="FF4285F4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2F75B5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E699"/>
        <bgColor rgb="FFFFE699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1" applyFont="1"/>
    <xf numFmtId="0" fontId="3" fillId="2" borderId="1" xfId="1" applyFont="1" applyFill="1" applyBorder="1"/>
    <xf numFmtId="0" fontId="3" fillId="3" borderId="1" xfId="1" applyFont="1" applyFill="1" applyBorder="1"/>
    <xf numFmtId="0" fontId="4" fillId="4" borderId="1" xfId="1" applyFont="1" applyFill="1" applyBorder="1" applyAlignment="1">
      <alignment horizontal="right"/>
    </xf>
    <xf numFmtId="0" fontId="1" fillId="0" borderId="0" xfId="1"/>
    <xf numFmtId="0" fontId="4" fillId="0" borderId="2" xfId="1" applyFont="1" applyBorder="1"/>
    <xf numFmtId="0" fontId="5" fillId="0" borderId="0" xfId="1" applyFont="1"/>
    <xf numFmtId="3" fontId="6" fillId="0" borderId="0" xfId="1" applyNumberFormat="1" applyFont="1"/>
    <xf numFmtId="1" fontId="7" fillId="0" borderId="0" xfId="1" applyNumberFormat="1" applyFont="1"/>
    <xf numFmtId="0" fontId="7" fillId="5" borderId="0" xfId="1" applyFont="1" applyFill="1"/>
    <xf numFmtId="0" fontId="7" fillId="0" borderId="0" xfId="1" applyFont="1"/>
    <xf numFmtId="0" fontId="2" fillId="0" borderId="2" xfId="1" applyFont="1" applyBorder="1"/>
    <xf numFmtId="0" fontId="4" fillId="0" borderId="3" xfId="1" applyFont="1" applyBorder="1"/>
    <xf numFmtId="3" fontId="8" fillId="0" borderId="4" xfId="1" applyNumberFormat="1" applyFont="1" applyBorder="1"/>
    <xf numFmtId="3" fontId="8" fillId="0" borderId="0" xfId="1" applyNumberFormat="1" applyFont="1"/>
    <xf numFmtId="3" fontId="9" fillId="6" borderId="0" xfId="1" applyNumberFormat="1" applyFont="1" applyFill="1"/>
    <xf numFmtId="9" fontId="7" fillId="5" borderId="0" xfId="1" applyNumberFormat="1" applyFont="1" applyFill="1"/>
    <xf numFmtId="9" fontId="7" fillId="0" borderId="0" xfId="1" applyNumberFormat="1" applyFont="1"/>
    <xf numFmtId="3" fontId="7" fillId="5" borderId="0" xfId="1" applyNumberFormat="1" applyFont="1" applyFill="1"/>
    <xf numFmtId="3" fontId="7" fillId="0" borderId="0" xfId="1" applyNumberFormat="1" applyFont="1"/>
    <xf numFmtId="0" fontId="10" fillId="0" borderId="0" xfId="1" applyFont="1"/>
    <xf numFmtId="3" fontId="10" fillId="0" borderId="0" xfId="1" applyNumberFormat="1" applyFont="1"/>
    <xf numFmtId="3" fontId="6" fillId="0" borderId="0" xfId="1" applyNumberFormat="1" applyFont="1" applyAlignment="1">
      <alignment horizontal="right"/>
    </xf>
    <xf numFmtId="3" fontId="9" fillId="0" borderId="0" xfId="1" applyNumberFormat="1" applyFont="1"/>
    <xf numFmtId="0" fontId="4" fillId="0" borderId="0" xfId="1" applyFont="1"/>
    <xf numFmtId="1" fontId="10" fillId="0" borderId="0" xfId="1" applyNumberFormat="1" applyFont="1"/>
    <xf numFmtId="0" fontId="2" fillId="0" borderId="0" xfId="1" applyFont="1" applyAlignment="1">
      <alignment horizontal="left"/>
    </xf>
    <xf numFmtId="0" fontId="6" fillId="0" borderId="0" xfId="1" applyFont="1" applyAlignment="1">
      <alignment horizontal="right"/>
    </xf>
    <xf numFmtId="0" fontId="3" fillId="0" borderId="0" xfId="1" applyFont="1"/>
    <xf numFmtId="164" fontId="7" fillId="0" borderId="0" xfId="1" applyNumberFormat="1" applyFont="1"/>
    <xf numFmtId="10" fontId="7" fillId="0" borderId="0" xfId="1" applyNumberFormat="1" applyFont="1"/>
    <xf numFmtId="9" fontId="7" fillId="7" borderId="0" xfId="1" applyNumberFormat="1" applyFont="1" applyFill="1"/>
    <xf numFmtId="164" fontId="6" fillId="8" borderId="0" xfId="1" applyNumberFormat="1" applyFont="1" applyFill="1" applyAlignment="1">
      <alignment horizontal="right"/>
    </xf>
    <xf numFmtId="164" fontId="11" fillId="8" borderId="0" xfId="1" applyNumberFormat="1" applyFont="1" applyFill="1" applyAlignment="1">
      <alignment horizontal="right"/>
    </xf>
    <xf numFmtId="0" fontId="9" fillId="0" borderId="0" xfId="1" applyFont="1"/>
    <xf numFmtId="9" fontId="12" fillId="0" borderId="0" xfId="1" applyNumberFormat="1" applyFont="1"/>
    <xf numFmtId="9" fontId="9" fillId="0" borderId="0" xfId="1" applyNumberFormat="1" applyFont="1"/>
    <xf numFmtId="0" fontId="6" fillId="0" borderId="0" xfId="1" applyFont="1"/>
    <xf numFmtId="164" fontId="6" fillId="0" borderId="0" xfId="1" applyNumberFormat="1" applyFont="1" applyAlignment="1">
      <alignment horizontal="right"/>
    </xf>
    <xf numFmtId="0" fontId="6" fillId="8" borderId="0" xfId="1" applyFont="1" applyFill="1" applyAlignment="1">
      <alignment horizontal="right"/>
    </xf>
    <xf numFmtId="0" fontId="4" fillId="0" borderId="5" xfId="1" applyFont="1" applyBorder="1"/>
    <xf numFmtId="0" fontId="13" fillId="0" borderId="0" xfId="1" applyFont="1"/>
    <xf numFmtId="0" fontId="14" fillId="0" borderId="1" xfId="1" applyFont="1" applyBorder="1"/>
    <xf numFmtId="0" fontId="14" fillId="0" borderId="6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6" fillId="0" borderId="7" xfId="1" applyFont="1" applyBorder="1"/>
    <xf numFmtId="0" fontId="16" fillId="9" borderId="4" xfId="1" applyFont="1" applyFill="1" applyBorder="1" applyAlignment="1">
      <alignment horizontal="center"/>
    </xf>
    <xf numFmtId="0" fontId="17" fillId="0" borderId="4" xfId="1" applyFont="1" applyBorder="1"/>
    <xf numFmtId="0" fontId="17" fillId="0" borderId="6" xfId="1" applyFont="1" applyBorder="1"/>
    <xf numFmtId="0" fontId="15" fillId="0" borderId="8" xfId="1" applyFont="1" applyBorder="1" applyAlignment="1">
      <alignment horizontal="center"/>
    </xf>
    <xf numFmtId="0" fontId="14" fillId="0" borderId="9" xfId="1" applyFont="1" applyBorder="1"/>
    <xf numFmtId="3" fontId="18" fillId="10" borderId="8" xfId="1" applyNumberFormat="1" applyFont="1" applyFill="1" applyBorder="1" applyAlignment="1">
      <alignment horizontal="right"/>
    </xf>
    <xf numFmtId="9" fontId="15" fillId="0" borderId="8" xfId="1" applyNumberFormat="1" applyFont="1" applyBorder="1" applyAlignment="1">
      <alignment horizontal="center"/>
    </xf>
    <xf numFmtId="0" fontId="18" fillId="10" borderId="8" xfId="1" applyFont="1" applyFill="1" applyBorder="1" applyAlignment="1">
      <alignment horizontal="right"/>
    </xf>
    <xf numFmtId="1" fontId="18" fillId="10" borderId="8" xfId="1" applyNumberFormat="1" applyFont="1" applyFill="1" applyBorder="1" applyAlignment="1">
      <alignment horizontal="right"/>
    </xf>
    <xf numFmtId="0" fontId="18" fillId="11" borderId="8" xfId="1" applyFont="1" applyFill="1" applyBorder="1"/>
    <xf numFmtId="0" fontId="18" fillId="12" borderId="8" xfId="1" applyFont="1" applyFill="1" applyBorder="1"/>
    <xf numFmtId="0" fontId="14" fillId="0" borderId="0" xfId="1" applyFont="1"/>
    <xf numFmtId="3" fontId="14" fillId="0" borderId="0" xfId="1" applyNumberFormat="1" applyFont="1"/>
    <xf numFmtId="0" fontId="18" fillId="0" borderId="0" xfId="1" applyFont="1"/>
    <xf numFmtId="164" fontId="14" fillId="0" borderId="8" xfId="1" applyNumberFormat="1" applyFont="1" applyBorder="1"/>
    <xf numFmtId="2" fontId="14" fillId="0" borderId="8" xfId="1" applyNumberFormat="1" applyFont="1" applyBorder="1"/>
    <xf numFmtId="0" fontId="14" fillId="0" borderId="8" xfId="1" applyFont="1" applyBorder="1"/>
    <xf numFmtId="3" fontId="18" fillId="0" borderId="0" xfId="1" applyNumberFormat="1" applyFont="1"/>
    <xf numFmtId="9" fontId="18" fillId="0" borderId="0" xfId="1" applyNumberFormat="1" applyFont="1"/>
    <xf numFmtId="0" fontId="14" fillId="0" borderId="8" xfId="1" applyFont="1" applyBorder="1" applyAlignment="1">
      <alignment horizontal="right"/>
    </xf>
    <xf numFmtId="10" fontId="14" fillId="0" borderId="8" xfId="1" applyNumberFormat="1" applyFont="1" applyBorder="1" applyAlignment="1">
      <alignment horizontal="right"/>
    </xf>
    <xf numFmtId="10" fontId="14" fillId="0" borderId="8" xfId="1" applyNumberFormat="1" applyFont="1" applyBorder="1"/>
    <xf numFmtId="0" fontId="14" fillId="10" borderId="6" xfId="1" applyFont="1" applyFill="1" applyBorder="1" applyAlignment="1">
      <alignment horizontal="right"/>
    </xf>
    <xf numFmtId="3" fontId="18" fillId="10" borderId="8" xfId="1" applyNumberFormat="1" applyFont="1" applyFill="1" applyBorder="1"/>
    <xf numFmtId="3" fontId="18" fillId="6" borderId="8" xfId="1" applyNumberFormat="1" applyFont="1" applyFill="1" applyBorder="1"/>
    <xf numFmtId="0" fontId="14" fillId="10" borderId="8" xfId="1" applyFont="1" applyFill="1" applyBorder="1"/>
    <xf numFmtId="3" fontId="14" fillId="0" borderId="8" xfId="1" applyNumberFormat="1" applyFont="1" applyBorder="1"/>
    <xf numFmtId="0" fontId="14" fillId="0" borderId="6" xfId="1" applyFont="1" applyBorder="1"/>
    <xf numFmtId="9" fontId="14" fillId="10" borderId="6" xfId="1" applyNumberFormat="1" applyFont="1" applyFill="1" applyBorder="1" applyAlignment="1">
      <alignment horizontal="right"/>
    </xf>
    <xf numFmtId="10" fontId="14" fillId="10" borderId="8" xfId="1" applyNumberFormat="1" applyFont="1" applyFill="1" applyBorder="1" applyAlignment="1">
      <alignment horizontal="right"/>
    </xf>
    <xf numFmtId="165" fontId="14" fillId="0" borderId="8" xfId="1" applyNumberFormat="1" applyFont="1" applyBorder="1"/>
    <xf numFmtId="10" fontId="14" fillId="0" borderId="6" xfId="1" applyNumberFormat="1" applyFont="1" applyBorder="1" applyAlignment="1">
      <alignment horizontal="right"/>
    </xf>
  </cellXfs>
  <cellStyles count="2">
    <cellStyle name="Normal" xfId="0" builtinId="0"/>
    <cellStyle name="Normal 2" xfId="1" xr:uid="{52BC5156-F515-4451-B674-267EA0CCDE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MARUTI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83B1-5288-49E6-B653-725CE3BEB1B7}">
  <sheetPr>
    <outlinePr summaryBelow="0" summaryRight="0"/>
  </sheetPr>
  <dimension ref="A1:Z1002"/>
  <sheetViews>
    <sheetView tabSelected="1" workbookViewId="0">
      <pane xSplit="1" ySplit="1" topLeftCell="E211" activePane="bottomRight" state="frozen"/>
      <selection pane="topRight" activeCell="B1" sqref="B1"/>
      <selection pane="bottomLeft" activeCell="A2" sqref="A2"/>
      <selection pane="bottomRight" activeCell="G223" sqref="G223"/>
    </sheetView>
  </sheetViews>
  <sheetFormatPr defaultColWidth="12.6640625" defaultRowHeight="15" customHeight="1" x14ac:dyDescent="0.3"/>
  <cols>
    <col min="1" max="1" width="37.6640625" style="5" customWidth="1"/>
    <col min="2" max="6" width="12.6640625" style="5" customWidth="1"/>
    <col min="7" max="16384" width="12.6640625" style="5"/>
  </cols>
  <sheetData>
    <row r="1" spans="1:23" ht="15.75" customHeight="1" x14ac:dyDescent="0.3">
      <c r="A1" s="1" t="s">
        <v>0</v>
      </c>
      <c r="B1" s="2">
        <v>2016</v>
      </c>
      <c r="C1" s="2">
        <f t="shared" ref="C1:V1" si="0">B1+1</f>
        <v>2017</v>
      </c>
      <c r="D1" s="2">
        <f t="shared" si="0"/>
        <v>2018</v>
      </c>
      <c r="E1" s="2">
        <f t="shared" si="0"/>
        <v>2019</v>
      </c>
      <c r="F1" s="2">
        <f t="shared" si="0"/>
        <v>2020</v>
      </c>
      <c r="G1" s="2">
        <f t="shared" si="0"/>
        <v>2021</v>
      </c>
      <c r="H1" s="2">
        <f t="shared" si="0"/>
        <v>2022</v>
      </c>
      <c r="I1" s="2">
        <f t="shared" si="0"/>
        <v>2023</v>
      </c>
      <c r="J1" s="2">
        <f t="shared" si="0"/>
        <v>2024</v>
      </c>
      <c r="K1" s="3">
        <f t="shared" si="0"/>
        <v>2025</v>
      </c>
      <c r="L1" s="3">
        <f t="shared" si="0"/>
        <v>2026</v>
      </c>
      <c r="M1" s="3">
        <f t="shared" si="0"/>
        <v>2027</v>
      </c>
      <c r="N1" s="3">
        <f t="shared" si="0"/>
        <v>2028</v>
      </c>
      <c r="O1" s="3">
        <f t="shared" si="0"/>
        <v>2029</v>
      </c>
      <c r="P1" s="3">
        <f t="shared" si="0"/>
        <v>2030</v>
      </c>
      <c r="Q1" s="4">
        <f t="shared" si="0"/>
        <v>2031</v>
      </c>
      <c r="R1" s="4">
        <f t="shared" si="0"/>
        <v>2032</v>
      </c>
      <c r="S1" s="4">
        <f t="shared" si="0"/>
        <v>2033</v>
      </c>
      <c r="T1" s="4">
        <f t="shared" si="0"/>
        <v>2034</v>
      </c>
      <c r="U1" s="4">
        <f t="shared" si="0"/>
        <v>2035</v>
      </c>
      <c r="V1" s="4">
        <f t="shared" si="0"/>
        <v>2036</v>
      </c>
      <c r="W1" s="4" t="s">
        <v>1</v>
      </c>
    </row>
    <row r="2" spans="1:23" ht="15.75" customHeight="1" x14ac:dyDescent="0.3">
      <c r="A2" s="6" t="s">
        <v>2</v>
      </c>
      <c r="B2" s="7"/>
      <c r="C2" s="7"/>
      <c r="D2" s="7"/>
      <c r="E2" s="7"/>
      <c r="F2" s="7"/>
      <c r="G2" s="7"/>
      <c r="H2" s="7"/>
      <c r="I2" s="7"/>
    </row>
    <row r="3" spans="1:23" ht="15.75" customHeight="1" x14ac:dyDescent="0.3">
      <c r="A3" s="1" t="s">
        <v>3</v>
      </c>
      <c r="B3" s="8">
        <f>646759-76144</f>
        <v>570615</v>
      </c>
      <c r="C3" s="8">
        <f>773164-92314</f>
        <v>680850</v>
      </c>
      <c r="D3" s="8">
        <f>820411-22317</f>
        <v>798094</v>
      </c>
      <c r="E3" s="8">
        <v>860685</v>
      </c>
      <c r="F3" s="8">
        <v>756600</v>
      </c>
      <c r="G3" s="8">
        <v>703720</v>
      </c>
      <c r="H3" s="8">
        <v>883298</v>
      </c>
      <c r="I3" s="8">
        <v>1184099</v>
      </c>
      <c r="J3" s="8">
        <v>1418582</v>
      </c>
      <c r="K3" s="9">
        <f t="shared" ref="K3:P3" si="1">K100*K120/10^6</f>
        <v>1745621.280562052</v>
      </c>
      <c r="L3" s="9">
        <f t="shared" si="1"/>
        <v>2039535.5936335684</v>
      </c>
      <c r="M3" s="9">
        <f t="shared" si="1"/>
        <v>2383801.0075704791</v>
      </c>
      <c r="N3" s="9">
        <f t="shared" si="1"/>
        <v>2787144.1049131015</v>
      </c>
      <c r="O3" s="9">
        <f t="shared" si="1"/>
        <v>3259815.4758946616</v>
      </c>
      <c r="P3" s="9">
        <f t="shared" si="1"/>
        <v>3813857.1814896837</v>
      </c>
    </row>
    <row r="4" spans="1:23" ht="15.75" customHeight="1" x14ac:dyDescent="0.3">
      <c r="A4" s="1" t="s">
        <v>4</v>
      </c>
      <c r="B4" s="8">
        <v>15505</v>
      </c>
      <c r="C4" s="8">
        <v>22896</v>
      </c>
      <c r="D4" s="8">
        <v>20458</v>
      </c>
      <c r="E4" s="8">
        <v>25616</v>
      </c>
      <c r="F4" s="8">
        <v>33344</v>
      </c>
      <c r="G4" s="8">
        <v>29363</v>
      </c>
      <c r="H4" s="8">
        <v>17447</v>
      </c>
      <c r="I4" s="8">
        <v>22647</v>
      </c>
      <c r="J4" s="8">
        <v>40935</v>
      </c>
      <c r="K4" s="10">
        <v>20000</v>
      </c>
      <c r="L4" s="11">
        <f t="shared" ref="L4:P4" si="2">K4</f>
        <v>20000</v>
      </c>
      <c r="M4" s="11">
        <f t="shared" si="2"/>
        <v>20000</v>
      </c>
      <c r="N4" s="11">
        <f t="shared" si="2"/>
        <v>20000</v>
      </c>
      <c r="O4" s="11">
        <f t="shared" si="2"/>
        <v>20000</v>
      </c>
      <c r="P4" s="11">
        <f t="shared" si="2"/>
        <v>20000</v>
      </c>
    </row>
    <row r="5" spans="1:23" ht="15.75" customHeight="1" x14ac:dyDescent="0.3">
      <c r="A5" s="12"/>
    </row>
    <row r="6" spans="1:23" ht="15.75" customHeight="1" x14ac:dyDescent="0.3">
      <c r="A6" s="13" t="s">
        <v>5</v>
      </c>
      <c r="B6" s="14">
        <f t="shared" ref="B6:P6" si="3">SUM(B3:B4)</f>
        <v>586120</v>
      </c>
      <c r="C6" s="14">
        <f t="shared" si="3"/>
        <v>703746</v>
      </c>
      <c r="D6" s="14">
        <f t="shared" si="3"/>
        <v>818552</v>
      </c>
      <c r="E6" s="14">
        <f t="shared" si="3"/>
        <v>886301</v>
      </c>
      <c r="F6" s="14">
        <f t="shared" si="3"/>
        <v>789944</v>
      </c>
      <c r="G6" s="14">
        <f t="shared" si="3"/>
        <v>733083</v>
      </c>
      <c r="H6" s="14">
        <f t="shared" si="3"/>
        <v>900745</v>
      </c>
      <c r="I6" s="14">
        <f t="shared" si="3"/>
        <v>1206746</v>
      </c>
      <c r="J6" s="14">
        <f t="shared" si="3"/>
        <v>1459517</v>
      </c>
      <c r="K6" s="14">
        <f t="shared" si="3"/>
        <v>1765621.280562052</v>
      </c>
      <c r="L6" s="14">
        <f t="shared" si="3"/>
        <v>2059535.5936335684</v>
      </c>
      <c r="M6" s="14">
        <f t="shared" si="3"/>
        <v>2403801.0075704791</v>
      </c>
      <c r="N6" s="14">
        <f t="shared" si="3"/>
        <v>2807144.1049131015</v>
      </c>
      <c r="O6" s="14">
        <f t="shared" si="3"/>
        <v>3279815.4758946616</v>
      </c>
      <c r="P6" s="14">
        <f t="shared" si="3"/>
        <v>3833857.1814896837</v>
      </c>
    </row>
    <row r="7" spans="1:23" ht="15.75" customHeight="1" x14ac:dyDescent="0.3">
      <c r="A7" s="12"/>
    </row>
    <row r="8" spans="1:23" ht="15.75" customHeight="1" x14ac:dyDescent="0.3">
      <c r="A8" s="6" t="s">
        <v>6</v>
      </c>
    </row>
    <row r="9" spans="1:23" ht="15.75" customHeight="1" x14ac:dyDescent="0.3">
      <c r="A9" s="1" t="s">
        <v>7</v>
      </c>
      <c r="B9" s="8">
        <v>362007</v>
      </c>
      <c r="C9" s="8">
        <v>426279</v>
      </c>
      <c r="D9" s="8">
        <v>449432</v>
      </c>
      <c r="E9" s="8">
        <v>450257</v>
      </c>
      <c r="F9" s="8">
        <v>346348</v>
      </c>
      <c r="G9" s="8">
        <v>332964</v>
      </c>
      <c r="H9" s="8">
        <v>397396</v>
      </c>
      <c r="I9" s="8">
        <v>733522</v>
      </c>
      <c r="J9" s="8">
        <v>789153</v>
      </c>
      <c r="K9" s="9">
        <f t="shared" ref="K9:P14" si="4">K$3*K125</f>
        <v>1047372.7683372311</v>
      </c>
      <c r="L9" s="9">
        <f t="shared" si="4"/>
        <v>1223721.356180141</v>
      </c>
      <c r="M9" s="9">
        <f t="shared" si="4"/>
        <v>1430280.6045422873</v>
      </c>
      <c r="N9" s="9">
        <f t="shared" si="4"/>
        <v>1672286.4629478608</v>
      </c>
      <c r="O9" s="9">
        <f t="shared" si="4"/>
        <v>1955889.2855367968</v>
      </c>
      <c r="P9" s="9">
        <f t="shared" si="4"/>
        <v>2288314.30889381</v>
      </c>
    </row>
    <row r="10" spans="1:23" ht="15.75" customHeight="1" x14ac:dyDescent="0.3">
      <c r="A10" s="1" t="s">
        <v>8</v>
      </c>
      <c r="B10" s="8">
        <v>31715</v>
      </c>
      <c r="C10" s="8">
        <v>44936</v>
      </c>
      <c r="D10" s="8">
        <v>100021</v>
      </c>
      <c r="E10" s="8">
        <v>143209</v>
      </c>
      <c r="F10" s="8">
        <v>187672</v>
      </c>
      <c r="G10" s="8">
        <v>172541</v>
      </c>
      <c r="H10" s="8">
        <v>263975</v>
      </c>
      <c r="I10" s="8">
        <v>127147</v>
      </c>
      <c r="J10" s="8">
        <v>212042</v>
      </c>
      <c r="K10" s="9">
        <f t="shared" si="4"/>
        <v>139649.70244496418</v>
      </c>
      <c r="L10" s="9">
        <f t="shared" si="4"/>
        <v>163162.84749068547</v>
      </c>
      <c r="M10" s="9">
        <f t="shared" si="4"/>
        <v>190704.08060563833</v>
      </c>
      <c r="N10" s="9">
        <f t="shared" si="4"/>
        <v>222971.52839304812</v>
      </c>
      <c r="O10" s="9">
        <f t="shared" si="4"/>
        <v>260785.23807157294</v>
      </c>
      <c r="P10" s="9">
        <f t="shared" si="4"/>
        <v>305108.5745191747</v>
      </c>
    </row>
    <row r="11" spans="1:23" ht="15.75" customHeight="1" x14ac:dyDescent="0.3">
      <c r="A11" s="1" t="s">
        <v>9</v>
      </c>
      <c r="B11" s="8">
        <v>63</v>
      </c>
      <c r="C11" s="8">
        <v>-3793</v>
      </c>
      <c r="D11" s="8">
        <v>408</v>
      </c>
      <c r="E11" s="8">
        <v>2116</v>
      </c>
      <c r="F11" s="8">
        <v>-2387</v>
      </c>
      <c r="G11" s="8">
        <v>2736</v>
      </c>
      <c r="H11" s="8">
        <v>-931</v>
      </c>
      <c r="I11" s="8">
        <v>-5805</v>
      </c>
      <c r="J11" s="8">
        <v>-3786</v>
      </c>
      <c r="K11" s="9">
        <f t="shared" si="4"/>
        <v>-4658.8228020713141</v>
      </c>
      <c r="L11" s="9">
        <f t="shared" si="4"/>
        <v>-5443.2396276681147</v>
      </c>
      <c r="M11" s="9">
        <f t="shared" si="4"/>
        <v>-6362.0366074445001</v>
      </c>
      <c r="N11" s="9">
        <f t="shared" si="4"/>
        <v>-7438.5037884316889</v>
      </c>
      <c r="O11" s="9">
        <f t="shared" si="4"/>
        <v>-8699.9985843167251</v>
      </c>
      <c r="P11" s="9">
        <f t="shared" si="4"/>
        <v>-10178.659597485335</v>
      </c>
    </row>
    <row r="12" spans="1:23" ht="15.75" customHeight="1" x14ac:dyDescent="0.3">
      <c r="A12" s="1" t="s">
        <v>10</v>
      </c>
      <c r="B12" s="8">
        <v>20602</v>
      </c>
      <c r="C12" s="8">
        <v>23603</v>
      </c>
      <c r="D12" s="8">
        <v>28634</v>
      </c>
      <c r="E12" s="8">
        <v>32850</v>
      </c>
      <c r="F12" s="8">
        <v>34162</v>
      </c>
      <c r="G12" s="8">
        <v>34316</v>
      </c>
      <c r="H12" s="8">
        <v>40514</v>
      </c>
      <c r="I12" s="8">
        <v>53085</v>
      </c>
      <c r="J12" s="8">
        <v>63016</v>
      </c>
      <c r="K12" s="9">
        <f t="shared" si="4"/>
        <v>69824.851222482088</v>
      </c>
      <c r="L12" s="9">
        <f t="shared" si="4"/>
        <v>81581.423745342734</v>
      </c>
      <c r="M12" s="9">
        <f t="shared" si="4"/>
        <v>95352.040302819165</v>
      </c>
      <c r="N12" s="9">
        <f t="shared" si="4"/>
        <v>111485.76419652406</v>
      </c>
      <c r="O12" s="9">
        <f t="shared" si="4"/>
        <v>130392.61903578647</v>
      </c>
      <c r="P12" s="9">
        <f t="shared" si="4"/>
        <v>152554.28725958735</v>
      </c>
    </row>
    <row r="13" spans="1:23" ht="15.75" customHeight="1" x14ac:dyDescent="0.3">
      <c r="A13" s="1" t="s">
        <v>11</v>
      </c>
      <c r="B13" s="8">
        <v>81147</v>
      </c>
      <c r="C13" s="8">
        <v>87280</v>
      </c>
      <c r="D13" s="8">
        <v>99956</v>
      </c>
      <c r="E13" s="8">
        <v>123442</v>
      </c>
      <c r="F13" s="8">
        <v>118896</v>
      </c>
      <c r="G13" s="8">
        <v>108375</v>
      </c>
      <c r="H13" s="8">
        <v>126727</v>
      </c>
      <c r="I13" s="8">
        <v>146771</v>
      </c>
      <c r="J13" s="8">
        <v>175501</v>
      </c>
      <c r="K13" s="9">
        <f t="shared" si="4"/>
        <v>215960.92461339611</v>
      </c>
      <c r="L13" s="9">
        <f t="shared" si="4"/>
        <v>252322.7675370792</v>
      </c>
      <c r="M13" s="9">
        <f t="shared" si="4"/>
        <v>294913.83693690365</v>
      </c>
      <c r="N13" s="9">
        <f t="shared" si="4"/>
        <v>344813.74891007657</v>
      </c>
      <c r="O13" s="9">
        <f t="shared" si="4"/>
        <v>403290.66337722389</v>
      </c>
      <c r="P13" s="9">
        <f t="shared" si="4"/>
        <v>471834.3734860734</v>
      </c>
    </row>
    <row r="14" spans="1:23" ht="15.75" customHeight="1" x14ac:dyDescent="0.3">
      <c r="A14" s="1" t="s">
        <v>12</v>
      </c>
      <c r="B14" s="8">
        <v>-602</v>
      </c>
      <c r="C14" s="8">
        <v>-1036</v>
      </c>
      <c r="D14" s="8">
        <v>-991</v>
      </c>
      <c r="E14" s="8">
        <v>-1221</v>
      </c>
      <c r="F14" s="8">
        <v>-1217</v>
      </c>
      <c r="G14" s="8">
        <v>-728</v>
      </c>
      <c r="H14" s="8">
        <v>-1445</v>
      </c>
      <c r="I14" s="8">
        <v>-1565</v>
      </c>
      <c r="J14" s="8">
        <v>-2607</v>
      </c>
      <c r="K14" s="9">
        <f t="shared" si="4"/>
        <v>-3208.016652139439</v>
      </c>
      <c r="L14" s="9">
        <f t="shared" si="4"/>
        <v>-3748.1578735686148</v>
      </c>
      <c r="M14" s="9">
        <f t="shared" si="4"/>
        <v>-4380.8318636048107</v>
      </c>
      <c r="N14" s="9">
        <f t="shared" si="4"/>
        <v>-5122.0759050294282</v>
      </c>
      <c r="O14" s="9">
        <f t="shared" si="4"/>
        <v>-5990.7280267600909</v>
      </c>
      <c r="P14" s="9">
        <f t="shared" si="4"/>
        <v>-7008.9185342430719</v>
      </c>
    </row>
    <row r="15" spans="1:23" ht="15.75" customHeight="1" x14ac:dyDescent="0.3">
      <c r="A15" s="12"/>
    </row>
    <row r="16" spans="1:23" ht="15.75" customHeight="1" x14ac:dyDescent="0.3">
      <c r="A16" s="13" t="s">
        <v>13</v>
      </c>
      <c r="B16" s="14">
        <f t="shared" ref="B16:P16" si="5">SUM(B9:B14)</f>
        <v>494932</v>
      </c>
      <c r="C16" s="14">
        <f t="shared" si="5"/>
        <v>577269</v>
      </c>
      <c r="D16" s="14">
        <f t="shared" si="5"/>
        <v>677460</v>
      </c>
      <c r="E16" s="14">
        <f t="shared" si="5"/>
        <v>750653</v>
      </c>
      <c r="F16" s="14">
        <f t="shared" si="5"/>
        <v>683474</v>
      </c>
      <c r="G16" s="14">
        <f t="shared" si="5"/>
        <v>650204</v>
      </c>
      <c r="H16" s="14">
        <f t="shared" si="5"/>
        <v>826236</v>
      </c>
      <c r="I16" s="14">
        <f t="shared" si="5"/>
        <v>1053155</v>
      </c>
      <c r="J16" s="14">
        <f t="shared" si="5"/>
        <v>1233319</v>
      </c>
      <c r="K16" s="14">
        <f t="shared" si="5"/>
        <v>1464941.4071638628</v>
      </c>
      <c r="L16" s="14">
        <f t="shared" si="5"/>
        <v>1711596.9974520118</v>
      </c>
      <c r="M16" s="14">
        <f t="shared" si="5"/>
        <v>2000507.6939165993</v>
      </c>
      <c r="N16" s="14">
        <f t="shared" si="5"/>
        <v>2338996.9247540487</v>
      </c>
      <c r="O16" s="14">
        <f t="shared" si="5"/>
        <v>2735667.0794103034</v>
      </c>
      <c r="P16" s="14">
        <f t="shared" si="5"/>
        <v>3200623.9660269171</v>
      </c>
    </row>
    <row r="17" spans="1:16" ht="15.75" customHeight="1" x14ac:dyDescent="0.3">
      <c r="A17" s="12"/>
    </row>
    <row r="18" spans="1:16" ht="15.75" customHeight="1" x14ac:dyDescent="0.3">
      <c r="A18" s="6" t="s">
        <v>14</v>
      </c>
      <c r="B18" s="15">
        <f t="shared" ref="B18:P18" si="6">B6-B16</f>
        <v>91188</v>
      </c>
      <c r="C18" s="15">
        <f t="shared" si="6"/>
        <v>126477</v>
      </c>
      <c r="D18" s="15">
        <f t="shared" si="6"/>
        <v>141092</v>
      </c>
      <c r="E18" s="15">
        <f t="shared" si="6"/>
        <v>135648</v>
      </c>
      <c r="F18" s="15">
        <f t="shared" si="6"/>
        <v>106470</v>
      </c>
      <c r="G18" s="15">
        <f t="shared" si="6"/>
        <v>82879</v>
      </c>
      <c r="H18" s="15">
        <f t="shared" si="6"/>
        <v>74509</v>
      </c>
      <c r="I18" s="15">
        <f t="shared" si="6"/>
        <v>153591</v>
      </c>
      <c r="J18" s="15">
        <f t="shared" si="6"/>
        <v>226198</v>
      </c>
      <c r="K18" s="15">
        <f t="shared" si="6"/>
        <v>300679.8733981892</v>
      </c>
      <c r="L18" s="15">
        <f t="shared" si="6"/>
        <v>347938.59618155658</v>
      </c>
      <c r="M18" s="15">
        <f t="shared" si="6"/>
        <v>403293.3136538798</v>
      </c>
      <c r="N18" s="15">
        <f t="shared" si="6"/>
        <v>468147.18015905283</v>
      </c>
      <c r="O18" s="15">
        <f t="shared" si="6"/>
        <v>544148.39648435824</v>
      </c>
      <c r="P18" s="15">
        <f t="shared" si="6"/>
        <v>633233.21546276659</v>
      </c>
    </row>
    <row r="19" spans="1:16" ht="15.75" customHeight="1" x14ac:dyDescent="0.3">
      <c r="A19" s="12"/>
    </row>
    <row r="20" spans="1:16" ht="15.75" customHeight="1" x14ac:dyDescent="0.3">
      <c r="A20" s="1" t="s">
        <v>15</v>
      </c>
      <c r="B20" s="8">
        <v>28670</v>
      </c>
      <c r="C20" s="8">
        <v>26039</v>
      </c>
      <c r="D20" s="8">
        <v>27598</v>
      </c>
      <c r="E20" s="8">
        <v>30208</v>
      </c>
      <c r="F20" s="8">
        <v>35284</v>
      </c>
      <c r="G20" s="8">
        <v>30341</v>
      </c>
      <c r="H20" s="8">
        <v>27890</v>
      </c>
      <c r="I20" s="8">
        <v>48460</v>
      </c>
      <c r="J20" s="8">
        <v>52558</v>
      </c>
      <c r="K20" s="11">
        <f t="shared" ref="K20:P20" si="7">K203</f>
        <v>61200</v>
      </c>
      <c r="L20" s="11">
        <f t="shared" si="7"/>
        <v>68400</v>
      </c>
      <c r="M20" s="11">
        <f t="shared" si="7"/>
        <v>75600</v>
      </c>
      <c r="N20" s="11">
        <f t="shared" si="7"/>
        <v>82800</v>
      </c>
      <c r="O20" s="11">
        <f t="shared" si="7"/>
        <v>90000</v>
      </c>
      <c r="P20" s="11">
        <f t="shared" si="7"/>
        <v>97200</v>
      </c>
    </row>
    <row r="21" spans="1:16" ht="15.75" customHeight="1" x14ac:dyDescent="0.3">
      <c r="A21" s="12"/>
    </row>
    <row r="22" spans="1:16" ht="15.75" customHeight="1" x14ac:dyDescent="0.3">
      <c r="A22" s="6" t="s">
        <v>16</v>
      </c>
      <c r="B22" s="15">
        <f t="shared" ref="B22:P22" si="8">B18-B20</f>
        <v>62518</v>
      </c>
      <c r="C22" s="15">
        <f t="shared" si="8"/>
        <v>100438</v>
      </c>
      <c r="D22" s="15">
        <f t="shared" si="8"/>
        <v>113494</v>
      </c>
      <c r="E22" s="15">
        <f t="shared" si="8"/>
        <v>105440</v>
      </c>
      <c r="F22" s="15">
        <f t="shared" si="8"/>
        <v>71186</v>
      </c>
      <c r="G22" s="15">
        <f t="shared" si="8"/>
        <v>52538</v>
      </c>
      <c r="H22" s="15">
        <f t="shared" si="8"/>
        <v>46619</v>
      </c>
      <c r="I22" s="15">
        <f t="shared" si="8"/>
        <v>105131</v>
      </c>
      <c r="J22" s="15">
        <f t="shared" si="8"/>
        <v>173640</v>
      </c>
      <c r="K22" s="15">
        <f t="shared" si="8"/>
        <v>239479.8733981892</v>
      </c>
      <c r="L22" s="15">
        <f t="shared" si="8"/>
        <v>279538.59618155658</v>
      </c>
      <c r="M22" s="15">
        <f t="shared" si="8"/>
        <v>327693.3136538798</v>
      </c>
      <c r="N22" s="15">
        <f t="shared" si="8"/>
        <v>385347.18015905283</v>
      </c>
      <c r="O22" s="15">
        <f t="shared" si="8"/>
        <v>454148.39648435824</v>
      </c>
      <c r="P22" s="15">
        <f t="shared" si="8"/>
        <v>536033.21546276659</v>
      </c>
    </row>
    <row r="23" spans="1:16" ht="15.75" customHeight="1" x14ac:dyDescent="0.3">
      <c r="A23" s="12"/>
    </row>
    <row r="24" spans="1:16" ht="15.75" customHeight="1" x14ac:dyDescent="0.3">
      <c r="A24" s="1" t="s">
        <v>17</v>
      </c>
      <c r="B24" s="8">
        <v>937</v>
      </c>
      <c r="C24" s="8">
        <v>894</v>
      </c>
      <c r="D24" s="8">
        <v>3458</v>
      </c>
      <c r="E24" s="8">
        <v>759</v>
      </c>
      <c r="F24" s="8">
        <v>1342</v>
      </c>
      <c r="G24" s="8">
        <v>1018</v>
      </c>
      <c r="H24" s="8">
        <v>1266</v>
      </c>
      <c r="I24" s="8">
        <v>2523</v>
      </c>
      <c r="J24" s="8">
        <v>1936</v>
      </c>
      <c r="K24" s="16">
        <f t="shared" ref="K24:P24" si="9">J24</f>
        <v>1936</v>
      </c>
      <c r="L24" s="16">
        <f t="shared" si="9"/>
        <v>1936</v>
      </c>
      <c r="M24" s="16">
        <f t="shared" si="9"/>
        <v>1936</v>
      </c>
      <c r="N24" s="16">
        <f t="shared" si="9"/>
        <v>1936</v>
      </c>
      <c r="O24" s="16">
        <f t="shared" si="9"/>
        <v>1936</v>
      </c>
      <c r="P24" s="16">
        <f t="shared" si="9"/>
        <v>1936</v>
      </c>
    </row>
    <row r="25" spans="1:16" ht="15.75" customHeight="1" x14ac:dyDescent="0.3">
      <c r="A25" s="12"/>
    </row>
    <row r="26" spans="1:16" ht="15.75" customHeight="1" x14ac:dyDescent="0.3">
      <c r="A26" s="12" t="s">
        <v>18</v>
      </c>
      <c r="B26" s="8">
        <f t="shared" ref="B26:P26" si="10">B22-B24</f>
        <v>61581</v>
      </c>
      <c r="C26" s="8">
        <f t="shared" si="10"/>
        <v>99544</v>
      </c>
      <c r="D26" s="8">
        <f t="shared" si="10"/>
        <v>110036</v>
      </c>
      <c r="E26" s="8">
        <f t="shared" si="10"/>
        <v>104681</v>
      </c>
      <c r="F26" s="8">
        <f t="shared" si="10"/>
        <v>69844</v>
      </c>
      <c r="G26" s="8">
        <f t="shared" si="10"/>
        <v>51520</v>
      </c>
      <c r="H26" s="8">
        <f t="shared" si="10"/>
        <v>45353</v>
      </c>
      <c r="I26" s="8">
        <f t="shared" si="10"/>
        <v>102608</v>
      </c>
      <c r="J26" s="8">
        <f t="shared" si="10"/>
        <v>171704</v>
      </c>
      <c r="K26" s="8">
        <f t="shared" si="10"/>
        <v>237543.8733981892</v>
      </c>
      <c r="L26" s="8">
        <f t="shared" si="10"/>
        <v>277602.59618155658</v>
      </c>
      <c r="M26" s="8">
        <f t="shared" si="10"/>
        <v>325757.3136538798</v>
      </c>
      <c r="N26" s="8">
        <f t="shared" si="10"/>
        <v>383411.18015905283</v>
      </c>
      <c r="O26" s="8">
        <f t="shared" si="10"/>
        <v>452212.39648435824</v>
      </c>
      <c r="P26" s="8">
        <f t="shared" si="10"/>
        <v>534097.21546276659</v>
      </c>
    </row>
    <row r="27" spans="1:16" ht="15.75" customHeight="1" x14ac:dyDescent="0.3">
      <c r="A27" s="12" t="s">
        <v>19</v>
      </c>
      <c r="B27" s="8">
        <v>4715</v>
      </c>
      <c r="C27" s="8">
        <f>1493+235</f>
        <v>1728</v>
      </c>
      <c r="D27" s="8">
        <f>1366+267</f>
        <v>1633</v>
      </c>
      <c r="E27" s="8">
        <v>-2030</v>
      </c>
      <c r="F27" s="8">
        <v>-4417</v>
      </c>
      <c r="G27" s="8">
        <v>5136</v>
      </c>
      <c r="H27" s="8">
        <v>3129</v>
      </c>
      <c r="I27" s="8">
        <v>586</v>
      </c>
      <c r="J27" s="8">
        <v>2669</v>
      </c>
      <c r="K27" s="16">
        <f t="shared" ref="K27:P27" si="11">J27</f>
        <v>2669</v>
      </c>
      <c r="L27" s="16">
        <f t="shared" si="11"/>
        <v>2669</v>
      </c>
      <c r="M27" s="16">
        <f t="shared" si="11"/>
        <v>2669</v>
      </c>
      <c r="N27" s="16">
        <f t="shared" si="11"/>
        <v>2669</v>
      </c>
      <c r="O27" s="16">
        <f t="shared" si="11"/>
        <v>2669</v>
      </c>
      <c r="P27" s="16">
        <f t="shared" si="11"/>
        <v>2669</v>
      </c>
    </row>
    <row r="28" spans="1:16" ht="15.75" customHeight="1" x14ac:dyDescent="0.3">
      <c r="A28" s="6" t="s">
        <v>20</v>
      </c>
      <c r="B28" s="15">
        <f t="shared" ref="B28:P28" si="12">SUM(B26:B27)</f>
        <v>66296</v>
      </c>
      <c r="C28" s="15">
        <f t="shared" si="12"/>
        <v>101272</v>
      </c>
      <c r="D28" s="15">
        <f t="shared" si="12"/>
        <v>111669</v>
      </c>
      <c r="E28" s="15">
        <f t="shared" si="12"/>
        <v>102651</v>
      </c>
      <c r="F28" s="15">
        <f t="shared" si="12"/>
        <v>65427</v>
      </c>
      <c r="G28" s="15">
        <f t="shared" si="12"/>
        <v>56656</v>
      </c>
      <c r="H28" s="15">
        <f t="shared" si="12"/>
        <v>48482</v>
      </c>
      <c r="I28" s="15">
        <f t="shared" si="12"/>
        <v>103194</v>
      </c>
      <c r="J28" s="15">
        <f t="shared" si="12"/>
        <v>174373</v>
      </c>
      <c r="K28" s="15">
        <f t="shared" si="12"/>
        <v>240212.8733981892</v>
      </c>
      <c r="L28" s="15">
        <f t="shared" si="12"/>
        <v>280271.59618155658</v>
      </c>
      <c r="M28" s="15">
        <f t="shared" si="12"/>
        <v>328426.3136538798</v>
      </c>
      <c r="N28" s="15">
        <f t="shared" si="12"/>
        <v>386080.18015905283</v>
      </c>
      <c r="O28" s="15">
        <f t="shared" si="12"/>
        <v>454881.39648435824</v>
      </c>
      <c r="P28" s="15">
        <f t="shared" si="12"/>
        <v>536766.21546276659</v>
      </c>
    </row>
    <row r="29" spans="1:16" ht="15.75" customHeight="1" x14ac:dyDescent="0.3">
      <c r="A29" s="12"/>
    </row>
    <row r="30" spans="1:16" ht="15.75" customHeight="1" x14ac:dyDescent="0.3">
      <c r="A30" s="1" t="s">
        <v>21</v>
      </c>
      <c r="B30" s="8">
        <f>20788-801</f>
        <v>19987</v>
      </c>
      <c r="C30" s="8">
        <v>26162</v>
      </c>
      <c r="D30" s="8">
        <v>32862</v>
      </c>
      <c r="E30" s="8">
        <v>29732</v>
      </c>
      <c r="F30" s="8">
        <v>14252</v>
      </c>
      <c r="G30" s="8">
        <v>9319</v>
      </c>
      <c r="H30" s="8">
        <v>8177</v>
      </c>
      <c r="I30" s="8">
        <v>21745</v>
      </c>
      <c r="J30" s="8">
        <f>36633+2730</f>
        <v>39363</v>
      </c>
      <c r="K30" s="9">
        <f t="shared" ref="K30:P30" si="13">K28*K31</f>
        <v>72063.862019456763</v>
      </c>
      <c r="L30" s="9">
        <f t="shared" si="13"/>
        <v>84081.478854466972</v>
      </c>
      <c r="M30" s="9">
        <f t="shared" si="13"/>
        <v>98527.894096163931</v>
      </c>
      <c r="N30" s="9">
        <f t="shared" si="13"/>
        <v>115824.05404771585</v>
      </c>
      <c r="O30" s="9">
        <f t="shared" si="13"/>
        <v>136464.41894530747</v>
      </c>
      <c r="P30" s="9">
        <f t="shared" si="13"/>
        <v>161029.86463882998</v>
      </c>
    </row>
    <row r="31" spans="1:16" ht="15.75" customHeight="1" x14ac:dyDescent="0.3">
      <c r="A31" s="12"/>
      <c r="K31" s="17">
        <v>0.3</v>
      </c>
      <c r="L31" s="18">
        <f t="shared" ref="L31:P31" si="14">K31</f>
        <v>0.3</v>
      </c>
      <c r="M31" s="18">
        <f t="shared" si="14"/>
        <v>0.3</v>
      </c>
      <c r="N31" s="18">
        <f t="shared" si="14"/>
        <v>0.3</v>
      </c>
      <c r="O31" s="18">
        <f t="shared" si="14"/>
        <v>0.3</v>
      </c>
      <c r="P31" s="18">
        <f t="shared" si="14"/>
        <v>0.3</v>
      </c>
    </row>
    <row r="32" spans="1:16" ht="15.75" customHeight="1" x14ac:dyDescent="0.3">
      <c r="A32" s="12" t="s">
        <v>22</v>
      </c>
      <c r="B32" s="8">
        <f t="shared" ref="B32:P32" si="15">B28-B30</f>
        <v>46309</v>
      </c>
      <c r="C32" s="8">
        <f t="shared" si="15"/>
        <v>75110</v>
      </c>
      <c r="D32" s="8">
        <f t="shared" si="15"/>
        <v>78807</v>
      </c>
      <c r="E32" s="8">
        <f t="shared" si="15"/>
        <v>72919</v>
      </c>
      <c r="F32" s="8">
        <f t="shared" si="15"/>
        <v>51175</v>
      </c>
      <c r="G32" s="8">
        <f t="shared" si="15"/>
        <v>47337</v>
      </c>
      <c r="H32" s="8">
        <f t="shared" si="15"/>
        <v>40305</v>
      </c>
      <c r="I32" s="8">
        <f t="shared" si="15"/>
        <v>81449</v>
      </c>
      <c r="J32" s="8">
        <f t="shared" si="15"/>
        <v>135010</v>
      </c>
      <c r="K32" s="8">
        <f t="shared" si="15"/>
        <v>168149.01137873245</v>
      </c>
      <c r="L32" s="8">
        <f t="shared" si="15"/>
        <v>196190.1173270896</v>
      </c>
      <c r="M32" s="8">
        <f t="shared" si="15"/>
        <v>229898.41955771588</v>
      </c>
      <c r="N32" s="8">
        <f t="shared" si="15"/>
        <v>270256.12611133698</v>
      </c>
      <c r="O32" s="8">
        <f t="shared" si="15"/>
        <v>318416.97753905074</v>
      </c>
      <c r="P32" s="8">
        <f t="shared" si="15"/>
        <v>375736.35082393663</v>
      </c>
    </row>
    <row r="33" spans="1:16" ht="15.75" customHeight="1" x14ac:dyDescent="0.3">
      <c r="A33" s="1" t="s">
        <v>23</v>
      </c>
      <c r="B33" s="8">
        <f>689-10</f>
        <v>679</v>
      </c>
      <c r="C33" s="8">
        <v>2216</v>
      </c>
      <c r="D33" s="8">
        <v>3311</v>
      </c>
      <c r="E33" s="8">
        <f>1273+284</f>
        <v>1557</v>
      </c>
      <c r="F33" s="8">
        <f>1175+9</f>
        <v>1184</v>
      </c>
      <c r="G33" s="8">
        <f>1588+102</f>
        <v>1690</v>
      </c>
      <c r="H33" s="8">
        <f>1464+155</f>
        <v>1619</v>
      </c>
      <c r="I33" s="8">
        <f>1558+216</f>
        <v>1774</v>
      </c>
      <c r="J33" s="8">
        <f>2263+278</f>
        <v>2541</v>
      </c>
      <c r="K33" s="19">
        <f t="shared" ref="K33:P33" si="16">J33</f>
        <v>2541</v>
      </c>
      <c r="L33" s="20">
        <f t="shared" si="16"/>
        <v>2541</v>
      </c>
      <c r="M33" s="20">
        <f t="shared" si="16"/>
        <v>2541</v>
      </c>
      <c r="N33" s="20">
        <f t="shared" si="16"/>
        <v>2541</v>
      </c>
      <c r="O33" s="20">
        <f t="shared" si="16"/>
        <v>2541</v>
      </c>
      <c r="P33" s="20">
        <f t="shared" si="16"/>
        <v>2541</v>
      </c>
    </row>
    <row r="34" spans="1:16" ht="15.75" customHeight="1" x14ac:dyDescent="0.3">
      <c r="A34" s="1"/>
    </row>
    <row r="35" spans="1:16" ht="15.75" customHeight="1" x14ac:dyDescent="0.3">
      <c r="A35" s="1"/>
    </row>
    <row r="36" spans="1:16" ht="15.75" customHeight="1" x14ac:dyDescent="0.3">
      <c r="A36" s="13" t="s">
        <v>24</v>
      </c>
      <c r="B36" s="14">
        <f t="shared" ref="B36:D36" si="17">B32+B33</f>
        <v>46988</v>
      </c>
      <c r="C36" s="14">
        <f t="shared" si="17"/>
        <v>77326</v>
      </c>
      <c r="D36" s="14">
        <f t="shared" si="17"/>
        <v>82118</v>
      </c>
      <c r="E36" s="14">
        <f>E32+F33</f>
        <v>74103</v>
      </c>
      <c r="F36" s="14">
        <f t="shared" ref="F36:P36" si="18">F32+F33</f>
        <v>52359</v>
      </c>
      <c r="G36" s="14">
        <f t="shared" si="18"/>
        <v>49027</v>
      </c>
      <c r="H36" s="14">
        <f t="shared" si="18"/>
        <v>41924</v>
      </c>
      <c r="I36" s="14">
        <f t="shared" si="18"/>
        <v>83223</v>
      </c>
      <c r="J36" s="14">
        <f t="shared" si="18"/>
        <v>137551</v>
      </c>
      <c r="K36" s="14">
        <f t="shared" si="18"/>
        <v>170690.01137873245</v>
      </c>
      <c r="L36" s="14">
        <f t="shared" si="18"/>
        <v>198731.1173270896</v>
      </c>
      <c r="M36" s="14">
        <f t="shared" si="18"/>
        <v>232439.41955771588</v>
      </c>
      <c r="N36" s="14">
        <f t="shared" si="18"/>
        <v>272797.12611133698</v>
      </c>
      <c r="O36" s="14">
        <f t="shared" si="18"/>
        <v>320957.97753905074</v>
      </c>
      <c r="P36" s="14">
        <f t="shared" si="18"/>
        <v>378277.35082393663</v>
      </c>
    </row>
    <row r="37" spans="1:16" ht="15.75" customHeight="1" x14ac:dyDescent="0.3">
      <c r="A37" s="1"/>
    </row>
    <row r="38" spans="1:16" ht="15.75" customHeight="1" x14ac:dyDescent="0.3">
      <c r="A38" s="1"/>
    </row>
    <row r="39" spans="1:16" ht="15.75" customHeight="1" x14ac:dyDescent="0.3">
      <c r="A39" s="6" t="s">
        <v>25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5.75" customHeight="1" x14ac:dyDescent="0.3">
      <c r="A40" s="12"/>
    </row>
    <row r="41" spans="1:16" ht="15.75" customHeight="1" x14ac:dyDescent="0.3">
      <c r="A41" s="6" t="s">
        <v>26</v>
      </c>
      <c r="B41" s="22">
        <f t="shared" ref="B41:P41" si="19">SUM(B42:B47)</f>
        <v>306304</v>
      </c>
      <c r="C41" s="22">
        <f t="shared" si="19"/>
        <v>370905</v>
      </c>
      <c r="D41" s="22">
        <f t="shared" si="19"/>
        <v>425755</v>
      </c>
      <c r="E41" s="22">
        <f t="shared" si="19"/>
        <v>471097</v>
      </c>
      <c r="F41" s="22">
        <f t="shared" si="19"/>
        <v>494322</v>
      </c>
      <c r="G41" s="22">
        <f t="shared" si="19"/>
        <v>525006</v>
      </c>
      <c r="H41" s="22">
        <f t="shared" si="19"/>
        <v>553335</v>
      </c>
      <c r="I41" s="22">
        <f t="shared" si="19"/>
        <v>746002</v>
      </c>
      <c r="J41" s="22">
        <f t="shared" si="19"/>
        <v>856360</v>
      </c>
      <c r="K41" s="22">
        <f t="shared" si="19"/>
        <v>1027050.0113787325</v>
      </c>
      <c r="L41" s="22">
        <f t="shared" si="19"/>
        <v>1225781.1287058222</v>
      </c>
      <c r="M41" s="22">
        <f t="shared" si="19"/>
        <v>1458220.5482635382</v>
      </c>
      <c r="N41" s="22">
        <f t="shared" si="19"/>
        <v>1731017.6743748751</v>
      </c>
      <c r="O41" s="22">
        <f t="shared" si="19"/>
        <v>2051975.651913926</v>
      </c>
      <c r="P41" s="22">
        <f t="shared" si="19"/>
        <v>2430253.0027378625</v>
      </c>
    </row>
    <row r="42" spans="1:16" ht="15.75" customHeight="1" x14ac:dyDescent="0.3">
      <c r="A42" s="1" t="s">
        <v>27</v>
      </c>
      <c r="B42" s="23">
        <v>1510</v>
      </c>
      <c r="C42" s="23">
        <v>1510</v>
      </c>
      <c r="D42" s="23">
        <v>1510</v>
      </c>
      <c r="E42" s="23">
        <v>1510</v>
      </c>
      <c r="F42" s="23">
        <v>1510</v>
      </c>
      <c r="G42" s="23">
        <v>1510</v>
      </c>
      <c r="H42" s="23">
        <v>1510</v>
      </c>
      <c r="I42" s="23">
        <v>1572</v>
      </c>
      <c r="J42" s="23">
        <v>1572</v>
      </c>
      <c r="K42" s="24">
        <f t="shared" ref="K42:P42" si="20">J42</f>
        <v>1572</v>
      </c>
      <c r="L42" s="24">
        <f t="shared" si="20"/>
        <v>1572</v>
      </c>
      <c r="M42" s="24">
        <f t="shared" si="20"/>
        <v>1572</v>
      </c>
      <c r="N42" s="24">
        <f t="shared" si="20"/>
        <v>1572</v>
      </c>
      <c r="O42" s="24">
        <f t="shared" si="20"/>
        <v>1572</v>
      </c>
      <c r="P42" s="24">
        <f t="shared" si="20"/>
        <v>1572</v>
      </c>
    </row>
    <row r="43" spans="1:16" ht="15.75" customHeight="1" x14ac:dyDescent="0.3">
      <c r="A43" s="1" t="s">
        <v>28</v>
      </c>
      <c r="B43" s="23">
        <v>304650</v>
      </c>
      <c r="C43" s="23">
        <v>369241</v>
      </c>
      <c r="D43" s="23">
        <v>424084</v>
      </c>
      <c r="E43" s="23">
        <v>469411</v>
      </c>
      <c r="F43" s="23">
        <v>492620</v>
      </c>
      <c r="G43" s="23">
        <v>523496</v>
      </c>
      <c r="H43" s="23">
        <v>551825</v>
      </c>
      <c r="I43" s="23">
        <v>744430</v>
      </c>
      <c r="J43" s="23">
        <v>854788</v>
      </c>
      <c r="K43" s="20">
        <f t="shared" ref="K43:P43" si="21">J43+K36</f>
        <v>1025478.0113787325</v>
      </c>
      <c r="L43" s="20">
        <f t="shared" si="21"/>
        <v>1224209.1287058222</v>
      </c>
      <c r="M43" s="20">
        <f t="shared" si="21"/>
        <v>1456648.5482635382</v>
      </c>
      <c r="N43" s="20">
        <f t="shared" si="21"/>
        <v>1729445.6743748751</v>
      </c>
      <c r="O43" s="20">
        <f t="shared" si="21"/>
        <v>2050403.651913926</v>
      </c>
      <c r="P43" s="20">
        <f t="shared" si="21"/>
        <v>2428681.0027378625</v>
      </c>
    </row>
    <row r="44" spans="1:16" ht="15.75" customHeight="1" x14ac:dyDescent="0.3">
      <c r="A44" s="1" t="s">
        <v>29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0">
        <f t="shared" ref="K44:P44" si="22">J44</f>
        <v>0</v>
      </c>
      <c r="L44" s="20">
        <f t="shared" si="22"/>
        <v>0</v>
      </c>
      <c r="M44" s="20">
        <f t="shared" si="22"/>
        <v>0</v>
      </c>
      <c r="N44" s="20">
        <f t="shared" si="22"/>
        <v>0</v>
      </c>
      <c r="O44" s="20">
        <f t="shared" si="22"/>
        <v>0</v>
      </c>
      <c r="P44" s="20">
        <f t="shared" si="22"/>
        <v>0</v>
      </c>
    </row>
    <row r="45" spans="1:16" ht="15.75" customHeight="1" x14ac:dyDescent="0.3">
      <c r="A45" s="12"/>
      <c r="B45" s="8"/>
      <c r="C45" s="8"/>
      <c r="D45" s="8"/>
      <c r="E45" s="8"/>
      <c r="F45" s="8"/>
      <c r="G45" s="8"/>
      <c r="H45" s="8"/>
      <c r="I45" s="8"/>
      <c r="J45" s="8"/>
    </row>
    <row r="46" spans="1:16" ht="15.75" customHeight="1" x14ac:dyDescent="0.3">
      <c r="A46" s="12" t="s">
        <v>30</v>
      </c>
      <c r="B46" s="23">
        <v>144</v>
      </c>
      <c r="C46" s="23">
        <v>154</v>
      </c>
      <c r="D46" s="23">
        <v>161</v>
      </c>
      <c r="E46" s="23">
        <v>176</v>
      </c>
      <c r="F46" s="23">
        <v>192</v>
      </c>
      <c r="G46" s="23">
        <v>0</v>
      </c>
      <c r="H46" s="23">
        <v>0</v>
      </c>
      <c r="I46" s="23">
        <v>0</v>
      </c>
      <c r="J46" s="23">
        <v>0</v>
      </c>
      <c r="K46" s="20">
        <f t="shared" ref="K46:P47" si="23">J46</f>
        <v>0</v>
      </c>
      <c r="L46" s="20">
        <f t="shared" si="23"/>
        <v>0</v>
      </c>
      <c r="M46" s="20">
        <f t="shared" si="23"/>
        <v>0</v>
      </c>
      <c r="N46" s="20">
        <f t="shared" si="23"/>
        <v>0</v>
      </c>
      <c r="O46" s="20">
        <f t="shared" si="23"/>
        <v>0</v>
      </c>
      <c r="P46" s="20">
        <f t="shared" si="23"/>
        <v>0</v>
      </c>
    </row>
    <row r="47" spans="1:16" ht="15.75" customHeight="1" x14ac:dyDescent="0.3">
      <c r="A47" s="12" t="s">
        <v>31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0">
        <f t="shared" si="23"/>
        <v>0</v>
      </c>
      <c r="L47" s="20">
        <f t="shared" si="23"/>
        <v>0</v>
      </c>
      <c r="M47" s="20">
        <f t="shared" si="23"/>
        <v>0</v>
      </c>
      <c r="N47" s="20">
        <f t="shared" si="23"/>
        <v>0</v>
      </c>
      <c r="O47" s="20">
        <f t="shared" si="23"/>
        <v>0</v>
      </c>
      <c r="P47" s="20">
        <f t="shared" si="23"/>
        <v>0</v>
      </c>
    </row>
    <row r="48" spans="1:16" ht="15.75" customHeight="1" x14ac:dyDescent="0.3">
      <c r="A48" s="12"/>
    </row>
    <row r="49" spans="1:16" ht="15.75" customHeight="1" x14ac:dyDescent="0.3">
      <c r="A49" s="6" t="s">
        <v>32</v>
      </c>
      <c r="B49" s="22">
        <f t="shared" ref="B49:P49" si="24">SUM(B50:B53)</f>
        <v>10510</v>
      </c>
      <c r="C49" s="22">
        <f t="shared" si="24"/>
        <v>16332</v>
      </c>
      <c r="D49" s="22">
        <f t="shared" si="24"/>
        <v>22244</v>
      </c>
      <c r="E49" s="22">
        <f t="shared" si="24"/>
        <v>26985</v>
      </c>
      <c r="F49" s="22">
        <f t="shared" si="24"/>
        <v>28901</v>
      </c>
      <c r="G49" s="22">
        <f t="shared" si="24"/>
        <v>26616</v>
      </c>
      <c r="H49" s="22">
        <f t="shared" si="24"/>
        <v>22985</v>
      </c>
      <c r="I49" s="22">
        <f t="shared" si="24"/>
        <v>30185</v>
      </c>
      <c r="J49" s="22">
        <f t="shared" si="24"/>
        <v>37630</v>
      </c>
      <c r="K49" s="22">
        <f t="shared" si="24"/>
        <v>37630</v>
      </c>
      <c r="L49" s="22">
        <f t="shared" si="24"/>
        <v>37630</v>
      </c>
      <c r="M49" s="22">
        <f t="shared" si="24"/>
        <v>37630</v>
      </c>
      <c r="N49" s="22">
        <f t="shared" si="24"/>
        <v>37630</v>
      </c>
      <c r="O49" s="22">
        <f t="shared" si="24"/>
        <v>37630</v>
      </c>
      <c r="P49" s="22">
        <f t="shared" si="24"/>
        <v>37630</v>
      </c>
    </row>
    <row r="50" spans="1:16" ht="15.75" customHeight="1" x14ac:dyDescent="0.3">
      <c r="A50" s="1" t="s">
        <v>33</v>
      </c>
      <c r="B50" s="23">
        <v>0</v>
      </c>
      <c r="C50" s="23">
        <v>0</v>
      </c>
      <c r="D50" s="23">
        <v>100</v>
      </c>
      <c r="E50" s="23">
        <v>80</v>
      </c>
      <c r="F50" s="23">
        <v>652</v>
      </c>
      <c r="G50" s="23">
        <v>420</v>
      </c>
      <c r="H50" s="23">
        <v>329</v>
      </c>
      <c r="I50" s="23">
        <v>250</v>
      </c>
      <c r="J50" s="23">
        <v>677</v>
      </c>
      <c r="K50" s="24">
        <f t="shared" ref="K50:P53" si="25">J50</f>
        <v>677</v>
      </c>
      <c r="L50" s="24">
        <f t="shared" si="25"/>
        <v>677</v>
      </c>
      <c r="M50" s="24">
        <f t="shared" si="25"/>
        <v>677</v>
      </c>
      <c r="N50" s="24">
        <f t="shared" si="25"/>
        <v>677</v>
      </c>
      <c r="O50" s="24">
        <f t="shared" si="25"/>
        <v>677</v>
      </c>
      <c r="P50" s="24">
        <f t="shared" si="25"/>
        <v>677</v>
      </c>
    </row>
    <row r="51" spans="1:16" ht="15.75" customHeight="1" x14ac:dyDescent="0.3">
      <c r="A51" s="1" t="s">
        <v>34</v>
      </c>
      <c r="B51" s="23">
        <v>8075</v>
      </c>
      <c r="C51" s="23">
        <v>11055</v>
      </c>
      <c r="D51" s="23">
        <v>15859</v>
      </c>
      <c r="E51" s="23">
        <v>20371</v>
      </c>
      <c r="F51" s="23">
        <v>21158</v>
      </c>
      <c r="G51" s="23">
        <v>21295</v>
      </c>
      <c r="H51" s="23">
        <v>21812</v>
      </c>
      <c r="I51" s="23">
        <v>25850</v>
      </c>
      <c r="J51" s="23">
        <v>31617</v>
      </c>
      <c r="K51" s="24">
        <f t="shared" si="25"/>
        <v>31617</v>
      </c>
      <c r="L51" s="24">
        <f t="shared" si="25"/>
        <v>31617</v>
      </c>
      <c r="M51" s="24">
        <f t="shared" si="25"/>
        <v>31617</v>
      </c>
      <c r="N51" s="24">
        <f t="shared" si="25"/>
        <v>31617</v>
      </c>
      <c r="O51" s="24">
        <f t="shared" si="25"/>
        <v>31617</v>
      </c>
      <c r="P51" s="24">
        <f t="shared" si="25"/>
        <v>31617</v>
      </c>
    </row>
    <row r="52" spans="1:16" ht="15.75" customHeight="1" x14ac:dyDescent="0.3">
      <c r="A52" s="1" t="s">
        <v>35</v>
      </c>
      <c r="B52" s="23">
        <v>148</v>
      </c>
      <c r="C52" s="23">
        <v>219</v>
      </c>
      <c r="D52" s="23">
        <v>265</v>
      </c>
      <c r="E52" s="23">
        <v>395</v>
      </c>
      <c r="F52" s="23">
        <v>516</v>
      </c>
      <c r="G52" s="23">
        <v>447</v>
      </c>
      <c r="H52" s="23">
        <v>844</v>
      </c>
      <c r="I52" s="23">
        <v>875</v>
      </c>
      <c r="J52" s="23">
        <v>1448</v>
      </c>
      <c r="K52" s="24">
        <f t="shared" si="25"/>
        <v>1448</v>
      </c>
      <c r="L52" s="24">
        <f t="shared" si="25"/>
        <v>1448</v>
      </c>
      <c r="M52" s="24">
        <f t="shared" si="25"/>
        <v>1448</v>
      </c>
      <c r="N52" s="24">
        <f t="shared" si="25"/>
        <v>1448</v>
      </c>
      <c r="O52" s="24">
        <f t="shared" si="25"/>
        <v>1448</v>
      </c>
      <c r="P52" s="24">
        <f t="shared" si="25"/>
        <v>1448</v>
      </c>
    </row>
    <row r="53" spans="1:16" ht="15.75" customHeight="1" x14ac:dyDescent="0.3">
      <c r="A53" s="1" t="s">
        <v>36</v>
      </c>
      <c r="B53" s="23">
        <v>2287</v>
      </c>
      <c r="C53" s="23">
        <v>5058</v>
      </c>
      <c r="D53" s="23">
        <v>6020</v>
      </c>
      <c r="E53" s="23">
        <v>6139</v>
      </c>
      <c r="F53" s="23">
        <v>6575</v>
      </c>
      <c r="G53" s="23">
        <v>4454</v>
      </c>
      <c r="H53" s="23">
        <v>0</v>
      </c>
      <c r="I53" s="23">
        <v>3210</v>
      </c>
      <c r="J53" s="23">
        <v>3888</v>
      </c>
      <c r="K53" s="24">
        <f t="shared" si="25"/>
        <v>3888</v>
      </c>
      <c r="L53" s="24">
        <f t="shared" si="25"/>
        <v>3888</v>
      </c>
      <c r="M53" s="24">
        <f t="shared" si="25"/>
        <v>3888</v>
      </c>
      <c r="N53" s="24">
        <f t="shared" si="25"/>
        <v>3888</v>
      </c>
      <c r="O53" s="24">
        <f t="shared" si="25"/>
        <v>3888</v>
      </c>
      <c r="P53" s="24">
        <f t="shared" si="25"/>
        <v>3888</v>
      </c>
    </row>
    <row r="54" spans="1:16" ht="15.75" customHeight="1" x14ac:dyDescent="0.3">
      <c r="A54" s="12"/>
    </row>
    <row r="55" spans="1:16" ht="15.75" customHeight="1" x14ac:dyDescent="0.3">
      <c r="A55" s="25" t="s">
        <v>37</v>
      </c>
      <c r="B55" s="22">
        <f t="shared" ref="B55:P55" si="26">SUM(B56:B62)</f>
        <v>110441</v>
      </c>
      <c r="C55" s="22">
        <f t="shared" si="26"/>
        <v>132368</v>
      </c>
      <c r="D55" s="22">
        <f t="shared" si="26"/>
        <v>154485</v>
      </c>
      <c r="E55" s="22">
        <f t="shared" si="26"/>
        <v>141605</v>
      </c>
      <c r="F55" s="22">
        <f t="shared" si="26"/>
        <v>113054</v>
      </c>
      <c r="G55" s="22">
        <f t="shared" si="26"/>
        <v>162139</v>
      </c>
      <c r="H55" s="22">
        <f t="shared" si="26"/>
        <v>170235</v>
      </c>
      <c r="I55" s="22">
        <f t="shared" si="26"/>
        <v>227667</v>
      </c>
      <c r="J55" s="22">
        <f t="shared" si="26"/>
        <v>259518</v>
      </c>
      <c r="K55" s="26">
        <f t="shared" si="26"/>
        <v>333413.66458735196</v>
      </c>
      <c r="L55" s="26">
        <f t="shared" si="26"/>
        <v>389551.29838401161</v>
      </c>
      <c r="M55" s="26">
        <f t="shared" si="26"/>
        <v>455305.99244596157</v>
      </c>
      <c r="N55" s="26">
        <f t="shared" si="26"/>
        <v>532344.52403840248</v>
      </c>
      <c r="O55" s="26">
        <f t="shared" si="26"/>
        <v>622624.7558958804</v>
      </c>
      <c r="P55" s="26">
        <f t="shared" si="26"/>
        <v>728446.72166452964</v>
      </c>
    </row>
    <row r="56" spans="1:16" ht="15.75" customHeight="1" x14ac:dyDescent="0.3">
      <c r="A56" s="1" t="s">
        <v>38</v>
      </c>
      <c r="B56" s="23">
        <v>7956</v>
      </c>
      <c r="C56" s="23">
        <v>8036</v>
      </c>
      <c r="D56" s="23">
        <v>8541</v>
      </c>
      <c r="E56" s="23">
        <v>6729</v>
      </c>
      <c r="F56" s="23">
        <v>6962</v>
      </c>
      <c r="G56" s="23">
        <v>8547</v>
      </c>
      <c r="H56" s="23">
        <v>11113</v>
      </c>
      <c r="I56" s="23">
        <v>11584</v>
      </c>
      <c r="J56" s="23">
        <v>12030</v>
      </c>
      <c r="K56" s="9">
        <f t="shared" ref="K56:P57" si="27">K163</f>
        <v>17456.212805620522</v>
      </c>
      <c r="L56" s="9">
        <f t="shared" si="27"/>
        <v>20395.355936335684</v>
      </c>
      <c r="M56" s="9">
        <f t="shared" si="27"/>
        <v>23838.010075704791</v>
      </c>
      <c r="N56" s="9">
        <f t="shared" si="27"/>
        <v>27871.441049131015</v>
      </c>
      <c r="O56" s="9">
        <f t="shared" si="27"/>
        <v>32598.154758946617</v>
      </c>
      <c r="P56" s="9">
        <f t="shared" si="27"/>
        <v>38138.571814896837</v>
      </c>
    </row>
    <row r="57" spans="1:16" ht="15.75" customHeight="1" x14ac:dyDescent="0.3">
      <c r="A57" s="1" t="s">
        <v>39</v>
      </c>
      <c r="B57" s="23">
        <v>774</v>
      </c>
      <c r="C57" s="23">
        <v>4838</v>
      </c>
      <c r="D57" s="23">
        <v>1108</v>
      </c>
      <c r="E57" s="23">
        <v>1496</v>
      </c>
      <c r="F57" s="23">
        <v>1063</v>
      </c>
      <c r="G57" s="23">
        <v>4962</v>
      </c>
      <c r="H57" s="23">
        <v>3819</v>
      </c>
      <c r="I57" s="23">
        <v>12226</v>
      </c>
      <c r="J57" s="23">
        <v>509</v>
      </c>
      <c r="K57" s="9">
        <f t="shared" si="27"/>
        <v>1745.6212805620521</v>
      </c>
      <c r="L57" s="9">
        <f t="shared" si="27"/>
        <v>2039.5355936335684</v>
      </c>
      <c r="M57" s="9">
        <f t="shared" si="27"/>
        <v>2383.8010075704792</v>
      </c>
      <c r="N57" s="9">
        <f t="shared" si="27"/>
        <v>2787.1441049131017</v>
      </c>
      <c r="O57" s="9">
        <f t="shared" si="27"/>
        <v>3259.8154758946616</v>
      </c>
      <c r="P57" s="9">
        <f t="shared" si="27"/>
        <v>3813.8571814896836</v>
      </c>
    </row>
    <row r="58" spans="1:16" ht="15.75" customHeight="1" x14ac:dyDescent="0.3">
      <c r="A58" s="1" t="s">
        <v>40</v>
      </c>
      <c r="B58" s="23">
        <v>74089</v>
      </c>
      <c r="C58" s="23">
        <v>83692</v>
      </c>
      <c r="D58" s="23">
        <v>104993</v>
      </c>
      <c r="E58" s="23">
        <v>96377</v>
      </c>
      <c r="F58" s="23">
        <v>75091</v>
      </c>
      <c r="G58" s="23">
        <v>101681</v>
      </c>
      <c r="H58" s="23">
        <v>97732</v>
      </c>
      <c r="I58" s="23">
        <v>1947</v>
      </c>
      <c r="J58" s="23">
        <v>2070</v>
      </c>
    </row>
    <row r="59" spans="1:16" ht="15.75" customHeight="1" x14ac:dyDescent="0.3">
      <c r="A59" s="1" t="s">
        <v>41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134808</v>
      </c>
      <c r="J59" s="23">
        <v>167814</v>
      </c>
      <c r="K59" s="9">
        <f t="shared" ref="K59:P62" si="28">K165</f>
        <v>209474.55366744625</v>
      </c>
      <c r="L59" s="9">
        <f t="shared" si="28"/>
        <v>244744.2712360282</v>
      </c>
      <c r="M59" s="9">
        <f t="shared" si="28"/>
        <v>286056.12090845749</v>
      </c>
      <c r="N59" s="9">
        <f t="shared" si="28"/>
        <v>334457.2925895722</v>
      </c>
      <c r="O59" s="9">
        <f t="shared" si="28"/>
        <v>391177.85710735939</v>
      </c>
      <c r="P59" s="9">
        <f t="shared" si="28"/>
        <v>457662.86177876202</v>
      </c>
    </row>
    <row r="60" spans="1:16" ht="15.75" customHeight="1" x14ac:dyDescent="0.3">
      <c r="A60" s="1" t="s">
        <v>42</v>
      </c>
      <c r="B60" s="23">
        <v>11650</v>
      </c>
      <c r="C60" s="23">
        <v>18278</v>
      </c>
      <c r="D60" s="23">
        <v>20896</v>
      </c>
      <c r="E60" s="23">
        <v>16329</v>
      </c>
      <c r="F60" s="23">
        <v>14091</v>
      </c>
      <c r="G60" s="23">
        <v>26801</v>
      </c>
      <c r="H60" s="23">
        <v>28686</v>
      </c>
      <c r="I60" s="23">
        <v>33372</v>
      </c>
      <c r="J60" s="23">
        <v>41739</v>
      </c>
      <c r="K60" s="9">
        <f t="shared" si="28"/>
        <v>52368.638416861562</v>
      </c>
      <c r="L60" s="9">
        <f t="shared" si="28"/>
        <v>61186.067809007051</v>
      </c>
      <c r="M60" s="9">
        <f t="shared" si="28"/>
        <v>71514.030227114374</v>
      </c>
      <c r="N60" s="9">
        <f t="shared" si="28"/>
        <v>83614.32314739305</v>
      </c>
      <c r="O60" s="9">
        <f t="shared" si="28"/>
        <v>97794.464276839848</v>
      </c>
      <c r="P60" s="9">
        <f t="shared" si="28"/>
        <v>114415.7154446905</v>
      </c>
    </row>
    <row r="61" spans="1:16" ht="15.75" customHeight="1" x14ac:dyDescent="0.3">
      <c r="A61" s="1" t="s">
        <v>43</v>
      </c>
      <c r="B61" s="23">
        <v>3994</v>
      </c>
      <c r="C61" s="23">
        <v>4496</v>
      </c>
      <c r="D61" s="23">
        <v>5609</v>
      </c>
      <c r="E61" s="23">
        <v>6254</v>
      </c>
      <c r="F61" s="23">
        <v>6807</v>
      </c>
      <c r="G61" s="23">
        <v>7428</v>
      </c>
      <c r="H61" s="23">
        <v>8613</v>
      </c>
      <c r="I61" s="23">
        <v>10830</v>
      </c>
      <c r="J61" s="23">
        <v>13119</v>
      </c>
      <c r="K61" s="9">
        <f t="shared" si="28"/>
        <v>17456.212805620522</v>
      </c>
      <c r="L61" s="9">
        <f t="shared" si="28"/>
        <v>20395.355936335684</v>
      </c>
      <c r="M61" s="9">
        <f t="shared" si="28"/>
        <v>23838.010075704791</v>
      </c>
      <c r="N61" s="9">
        <f t="shared" si="28"/>
        <v>27871.441049131015</v>
      </c>
      <c r="O61" s="9">
        <f t="shared" si="28"/>
        <v>32598.154758946617</v>
      </c>
      <c r="P61" s="9">
        <f t="shared" si="28"/>
        <v>38138.571814896837</v>
      </c>
    </row>
    <row r="62" spans="1:16" ht="15.75" customHeight="1" x14ac:dyDescent="0.3">
      <c r="A62" s="1" t="s">
        <v>44</v>
      </c>
      <c r="B62" s="23">
        <v>11978</v>
      </c>
      <c r="C62" s="23">
        <v>13028</v>
      </c>
      <c r="D62" s="23">
        <v>13338</v>
      </c>
      <c r="E62" s="23">
        <v>14420</v>
      </c>
      <c r="F62" s="23">
        <v>9040</v>
      </c>
      <c r="G62" s="23">
        <v>12720</v>
      </c>
      <c r="H62" s="23">
        <v>20272</v>
      </c>
      <c r="I62" s="23">
        <v>22900</v>
      </c>
      <c r="J62" s="23">
        <v>22237</v>
      </c>
      <c r="K62" s="9">
        <f t="shared" si="28"/>
        <v>34912.425611241044</v>
      </c>
      <c r="L62" s="9">
        <f t="shared" si="28"/>
        <v>40790.711872671367</v>
      </c>
      <c r="M62" s="9">
        <f t="shared" si="28"/>
        <v>47676.020151409582</v>
      </c>
      <c r="N62" s="9">
        <f t="shared" si="28"/>
        <v>55742.882098262031</v>
      </c>
      <c r="O62" s="9">
        <f t="shared" si="28"/>
        <v>65196.309517893234</v>
      </c>
      <c r="P62" s="9">
        <f t="shared" si="28"/>
        <v>76277.143629793674</v>
      </c>
    </row>
    <row r="63" spans="1:16" ht="15.75" customHeight="1" x14ac:dyDescent="0.3">
      <c r="A63" s="13" t="s">
        <v>45</v>
      </c>
      <c r="B63" s="22">
        <f t="shared" ref="B63:P63" si="29">B55+B49+B41</f>
        <v>427255</v>
      </c>
      <c r="C63" s="22">
        <f t="shared" si="29"/>
        <v>519605</v>
      </c>
      <c r="D63" s="22">
        <f t="shared" si="29"/>
        <v>602484</v>
      </c>
      <c r="E63" s="22">
        <f t="shared" si="29"/>
        <v>639687</v>
      </c>
      <c r="F63" s="22">
        <f t="shared" si="29"/>
        <v>636277</v>
      </c>
      <c r="G63" s="22">
        <f t="shared" si="29"/>
        <v>713761</v>
      </c>
      <c r="H63" s="22">
        <f t="shared" si="29"/>
        <v>746555</v>
      </c>
      <c r="I63" s="22">
        <f t="shared" si="29"/>
        <v>1003854</v>
      </c>
      <c r="J63" s="22">
        <f t="shared" si="29"/>
        <v>1153508</v>
      </c>
      <c r="K63" s="26">
        <f t="shared" si="29"/>
        <v>1398093.6759660845</v>
      </c>
      <c r="L63" s="26">
        <f t="shared" si="29"/>
        <v>1652962.4270898337</v>
      </c>
      <c r="M63" s="26">
        <f t="shared" si="29"/>
        <v>1951156.5407094997</v>
      </c>
      <c r="N63" s="26">
        <f t="shared" si="29"/>
        <v>2300992.1984132775</v>
      </c>
      <c r="O63" s="26">
        <f t="shared" si="29"/>
        <v>2712230.4078098065</v>
      </c>
      <c r="P63" s="26">
        <f t="shared" si="29"/>
        <v>3196329.7244023923</v>
      </c>
    </row>
    <row r="64" spans="1:16" ht="15.75" customHeight="1" x14ac:dyDescent="0.3">
      <c r="A64" s="12"/>
    </row>
    <row r="65" spans="1:16" ht="15.75" customHeight="1" x14ac:dyDescent="0.3">
      <c r="A65" s="12"/>
    </row>
    <row r="66" spans="1:16" ht="15.75" customHeight="1" x14ac:dyDescent="0.3">
      <c r="A66" s="6" t="s">
        <v>46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5.75" customHeight="1" x14ac:dyDescent="0.3">
      <c r="A67" s="12"/>
    </row>
    <row r="68" spans="1:16" ht="15.75" customHeight="1" x14ac:dyDescent="0.3">
      <c r="A68" s="25" t="s">
        <v>47</v>
      </c>
      <c r="B68" s="22">
        <f t="shared" ref="B68:P68" si="30">SUM(B69:B79)</f>
        <v>347744</v>
      </c>
      <c r="C68" s="22">
        <f t="shared" si="30"/>
        <v>431625</v>
      </c>
      <c r="D68" s="22">
        <f t="shared" si="30"/>
        <v>523184</v>
      </c>
      <c r="E68" s="22">
        <f t="shared" si="30"/>
        <v>515960</v>
      </c>
      <c r="F68" s="22">
        <f t="shared" si="30"/>
        <v>551871</v>
      </c>
      <c r="G68" s="22">
        <f t="shared" si="30"/>
        <v>532791</v>
      </c>
      <c r="H68" s="22">
        <f t="shared" si="30"/>
        <v>578621</v>
      </c>
      <c r="I68" s="22">
        <f t="shared" si="30"/>
        <v>847162</v>
      </c>
      <c r="J68" s="22">
        <f t="shared" si="30"/>
        <v>927170</v>
      </c>
      <c r="K68" s="22">
        <f t="shared" si="30"/>
        <v>966528</v>
      </c>
      <c r="L68" s="22">
        <f t="shared" si="30"/>
        <v>1007328</v>
      </c>
      <c r="M68" s="22">
        <f t="shared" si="30"/>
        <v>1048128</v>
      </c>
      <c r="N68" s="22">
        <f t="shared" si="30"/>
        <v>1088928</v>
      </c>
      <c r="O68" s="22">
        <f t="shared" si="30"/>
        <v>1129728</v>
      </c>
      <c r="P68" s="22">
        <f t="shared" si="30"/>
        <v>1170528</v>
      </c>
    </row>
    <row r="69" spans="1:16" ht="15.75" customHeight="1" x14ac:dyDescent="0.3">
      <c r="A69" s="27" t="s">
        <v>48</v>
      </c>
      <c r="B69" s="23">
        <v>121827</v>
      </c>
      <c r="C69" s="23">
        <v>129377</v>
      </c>
      <c r="D69" s="23">
        <v>130771</v>
      </c>
      <c r="E69" s="23">
        <v>149862</v>
      </c>
      <c r="F69" s="23">
        <v>147905</v>
      </c>
      <c r="G69" s="23">
        <v>141785</v>
      </c>
      <c r="H69" s="23">
        <v>128261</v>
      </c>
      <c r="I69" s="23">
        <v>268028</v>
      </c>
      <c r="J69" s="23">
        <v>267982</v>
      </c>
      <c r="K69" s="20">
        <f t="shared" ref="K69:P69" si="31">SUM(J69:J73)+K201-K203</f>
        <v>395354</v>
      </c>
      <c r="L69" s="20">
        <f t="shared" si="31"/>
        <v>436154</v>
      </c>
      <c r="M69" s="20">
        <f t="shared" si="31"/>
        <v>476954</v>
      </c>
      <c r="N69" s="20">
        <f t="shared" si="31"/>
        <v>517754</v>
      </c>
      <c r="O69" s="20">
        <f t="shared" si="31"/>
        <v>558554</v>
      </c>
      <c r="P69" s="20">
        <f t="shared" si="31"/>
        <v>599354</v>
      </c>
    </row>
    <row r="70" spans="1:16" ht="15.75" customHeight="1" x14ac:dyDescent="0.3">
      <c r="A70" s="27" t="s">
        <v>49</v>
      </c>
      <c r="B70" s="23">
        <v>3469</v>
      </c>
      <c r="C70" s="23">
        <v>3730</v>
      </c>
      <c r="D70" s="23">
        <v>3117</v>
      </c>
      <c r="E70" s="23">
        <v>4511</v>
      </c>
      <c r="F70" s="23">
        <v>4067</v>
      </c>
      <c r="G70" s="23">
        <v>2242</v>
      </c>
      <c r="H70" s="23">
        <v>3499</v>
      </c>
      <c r="I70" s="23">
        <v>5479</v>
      </c>
      <c r="J70" s="23">
        <v>4537</v>
      </c>
    </row>
    <row r="71" spans="1:16" ht="15.75" customHeight="1" x14ac:dyDescent="0.3">
      <c r="A71" s="27" t="s">
        <v>50</v>
      </c>
      <c r="B71" s="23">
        <v>10069</v>
      </c>
      <c r="C71" s="23">
        <v>12523</v>
      </c>
      <c r="D71" s="23">
        <v>21321</v>
      </c>
      <c r="E71" s="23">
        <v>16069</v>
      </c>
      <c r="F71" s="23">
        <v>13443</v>
      </c>
      <c r="G71" s="23">
        <v>11993</v>
      </c>
      <c r="H71" s="23">
        <v>26462</v>
      </c>
      <c r="I71" s="23">
        <v>40541</v>
      </c>
      <c r="J71" s="23">
        <v>75043</v>
      </c>
    </row>
    <row r="72" spans="1:16" ht="15.75" customHeight="1" x14ac:dyDescent="0.3">
      <c r="A72" s="27" t="s">
        <v>51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2975</v>
      </c>
      <c r="H72" s="23">
        <v>2903</v>
      </c>
      <c r="I72" s="28">
        <v>889</v>
      </c>
      <c r="J72" s="23">
        <v>2305</v>
      </c>
    </row>
    <row r="73" spans="1:16" ht="15.75" customHeight="1" x14ac:dyDescent="0.3">
      <c r="A73" s="1" t="s">
        <v>52</v>
      </c>
      <c r="B73" s="23">
        <v>0</v>
      </c>
      <c r="C73" s="23">
        <v>0</v>
      </c>
      <c r="D73" s="23">
        <v>0</v>
      </c>
      <c r="E73" s="23">
        <v>0</v>
      </c>
      <c r="F73" s="23">
        <v>6181</v>
      </c>
      <c r="G73" s="23">
        <v>5860</v>
      </c>
      <c r="H73" s="23">
        <v>5712</v>
      </c>
      <c r="I73" s="23">
        <v>5907</v>
      </c>
      <c r="J73" s="23">
        <v>6129</v>
      </c>
    </row>
    <row r="74" spans="1:16" ht="15.75" customHeight="1" x14ac:dyDescent="0.3">
      <c r="A74" s="1" t="s">
        <v>53</v>
      </c>
      <c r="B74" s="23">
        <v>195345</v>
      </c>
      <c r="C74" s="23">
        <v>269718</v>
      </c>
      <c r="D74" s="23">
        <v>349058</v>
      </c>
      <c r="E74" s="23">
        <v>324581</v>
      </c>
      <c r="F74" s="23">
        <v>362692</v>
      </c>
      <c r="G74" s="23">
        <v>345291</v>
      </c>
      <c r="H74" s="23">
        <v>379348</v>
      </c>
      <c r="I74" s="23">
        <v>491843</v>
      </c>
      <c r="J74" s="23">
        <v>533838</v>
      </c>
      <c r="K74" s="24">
        <f t="shared" ref="K74:P79" si="32">J74</f>
        <v>533838</v>
      </c>
      <c r="L74" s="24">
        <f t="shared" si="32"/>
        <v>533838</v>
      </c>
      <c r="M74" s="24">
        <f t="shared" si="32"/>
        <v>533838</v>
      </c>
      <c r="N74" s="24">
        <f t="shared" si="32"/>
        <v>533838</v>
      </c>
      <c r="O74" s="24">
        <f t="shared" si="32"/>
        <v>533838</v>
      </c>
      <c r="P74" s="24">
        <f t="shared" si="32"/>
        <v>533838</v>
      </c>
    </row>
    <row r="75" spans="1:16" ht="15.75" customHeight="1" x14ac:dyDescent="0.3">
      <c r="A75" s="1" t="s">
        <v>54</v>
      </c>
      <c r="B75" s="23">
        <v>234</v>
      </c>
      <c r="C75" s="23">
        <v>241</v>
      </c>
      <c r="D75" s="23">
        <v>328</v>
      </c>
      <c r="E75" s="23">
        <v>344</v>
      </c>
      <c r="F75" s="23">
        <v>365</v>
      </c>
      <c r="G75" s="23">
        <v>369</v>
      </c>
      <c r="H75" s="23">
        <v>375</v>
      </c>
      <c r="I75" s="23">
        <v>2398</v>
      </c>
      <c r="J75" s="23">
        <v>2981</v>
      </c>
      <c r="K75" s="24">
        <f t="shared" si="32"/>
        <v>2981</v>
      </c>
      <c r="L75" s="24">
        <f t="shared" si="32"/>
        <v>2981</v>
      </c>
      <c r="M75" s="24">
        <f t="shared" si="32"/>
        <v>2981</v>
      </c>
      <c r="N75" s="24">
        <f t="shared" si="32"/>
        <v>2981</v>
      </c>
      <c r="O75" s="24">
        <f t="shared" si="32"/>
        <v>2981</v>
      </c>
      <c r="P75" s="24">
        <f t="shared" si="32"/>
        <v>2981</v>
      </c>
    </row>
    <row r="76" spans="1:16" ht="15.75" customHeight="1" x14ac:dyDescent="0.3">
      <c r="A76" s="1" t="s">
        <v>55</v>
      </c>
      <c r="B76" s="23">
        <v>4</v>
      </c>
      <c r="C76" s="23">
        <v>3</v>
      </c>
      <c r="D76" s="23">
        <v>2</v>
      </c>
      <c r="E76" s="23">
        <v>2</v>
      </c>
      <c r="F76" s="23">
        <v>2</v>
      </c>
      <c r="G76" s="23">
        <v>2</v>
      </c>
      <c r="H76" s="23">
        <v>5446</v>
      </c>
      <c r="I76" s="23">
        <v>2</v>
      </c>
      <c r="J76" s="23">
        <v>1</v>
      </c>
      <c r="K76" s="24">
        <f t="shared" si="32"/>
        <v>1</v>
      </c>
      <c r="L76" s="24">
        <f t="shared" si="32"/>
        <v>1</v>
      </c>
      <c r="M76" s="24">
        <f t="shared" si="32"/>
        <v>1</v>
      </c>
      <c r="N76" s="24">
        <f t="shared" si="32"/>
        <v>1</v>
      </c>
      <c r="O76" s="24">
        <f t="shared" si="32"/>
        <v>1</v>
      </c>
      <c r="P76" s="24">
        <f t="shared" si="32"/>
        <v>1</v>
      </c>
    </row>
    <row r="77" spans="1:16" ht="15.75" customHeight="1" x14ac:dyDescent="0.3">
      <c r="A77" s="1" t="s">
        <v>56</v>
      </c>
      <c r="B77" s="23">
        <v>16796</v>
      </c>
      <c r="C77" s="23">
        <v>16033</v>
      </c>
      <c r="D77" s="23">
        <v>18587</v>
      </c>
      <c r="E77" s="23">
        <v>20591</v>
      </c>
      <c r="F77" s="23">
        <v>17216</v>
      </c>
      <c r="G77" s="23">
        <v>16867</v>
      </c>
      <c r="H77" s="23">
        <v>1411</v>
      </c>
      <c r="I77" s="23">
        <v>23226</v>
      </c>
      <c r="J77" s="23">
        <v>28049</v>
      </c>
      <c r="K77" s="24">
        <f t="shared" si="32"/>
        <v>28049</v>
      </c>
      <c r="L77" s="24">
        <f t="shared" si="32"/>
        <v>28049</v>
      </c>
      <c r="M77" s="24">
        <f t="shared" si="32"/>
        <v>28049</v>
      </c>
      <c r="N77" s="24">
        <f t="shared" si="32"/>
        <v>28049</v>
      </c>
      <c r="O77" s="24">
        <f t="shared" si="32"/>
        <v>28049</v>
      </c>
      <c r="P77" s="24">
        <f t="shared" si="32"/>
        <v>28049</v>
      </c>
    </row>
    <row r="78" spans="1:16" ht="15.75" customHeight="1" x14ac:dyDescent="0.3">
      <c r="A78" s="1" t="s">
        <v>57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6055</v>
      </c>
      <c r="J78" s="23">
        <v>5838</v>
      </c>
      <c r="K78" s="24">
        <f t="shared" si="32"/>
        <v>5838</v>
      </c>
      <c r="L78" s="24">
        <f t="shared" si="32"/>
        <v>5838</v>
      </c>
      <c r="M78" s="24">
        <f t="shared" si="32"/>
        <v>5838</v>
      </c>
      <c r="N78" s="24">
        <f t="shared" si="32"/>
        <v>5838</v>
      </c>
      <c r="O78" s="24">
        <f t="shared" si="32"/>
        <v>5838</v>
      </c>
      <c r="P78" s="24">
        <f t="shared" si="32"/>
        <v>5838</v>
      </c>
    </row>
    <row r="79" spans="1:16" ht="15.75" customHeight="1" x14ac:dyDescent="0.3">
      <c r="A79" s="1" t="s">
        <v>58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5407</v>
      </c>
      <c r="H79" s="23">
        <v>25204</v>
      </c>
      <c r="I79" s="23">
        <v>2794</v>
      </c>
      <c r="J79" s="23">
        <v>467</v>
      </c>
      <c r="K79" s="24">
        <f t="shared" si="32"/>
        <v>467</v>
      </c>
      <c r="L79" s="24">
        <f t="shared" si="32"/>
        <v>467</v>
      </c>
      <c r="M79" s="24">
        <f t="shared" si="32"/>
        <v>467</v>
      </c>
      <c r="N79" s="24">
        <f t="shared" si="32"/>
        <v>467</v>
      </c>
      <c r="O79" s="24">
        <f t="shared" si="32"/>
        <v>467</v>
      </c>
      <c r="P79" s="24">
        <f t="shared" si="32"/>
        <v>467</v>
      </c>
    </row>
    <row r="80" spans="1:16" ht="15.75" customHeight="1" x14ac:dyDescent="0.3">
      <c r="A80" s="25"/>
    </row>
    <row r="81" spans="1:16" ht="15.75" customHeight="1" x14ac:dyDescent="0.3">
      <c r="A81" s="25" t="s">
        <v>59</v>
      </c>
      <c r="B81" s="22">
        <f t="shared" ref="B81:P81" si="33">SUM(B83:B91)</f>
        <v>79511</v>
      </c>
      <c r="C81" s="22">
        <f t="shared" si="33"/>
        <v>87980</v>
      </c>
      <c r="D81" s="22">
        <f t="shared" si="33"/>
        <v>79300</v>
      </c>
      <c r="E81" s="22">
        <f t="shared" si="33"/>
        <v>123727</v>
      </c>
      <c r="F81" s="22">
        <f t="shared" si="33"/>
        <v>84406</v>
      </c>
      <c r="G81" s="22">
        <f t="shared" si="33"/>
        <v>180970</v>
      </c>
      <c r="H81" s="22">
        <f t="shared" si="33"/>
        <v>167934</v>
      </c>
      <c r="I81" s="22">
        <f t="shared" si="33"/>
        <v>156692</v>
      </c>
      <c r="J81" s="22">
        <f t="shared" si="33"/>
        <v>226338</v>
      </c>
      <c r="K81" s="26">
        <f t="shared" si="33"/>
        <v>431565.67596608435</v>
      </c>
      <c r="L81" s="26">
        <f t="shared" si="33"/>
        <v>645634.42708983354</v>
      </c>
      <c r="M81" s="26">
        <f t="shared" si="33"/>
        <v>903028.5407094995</v>
      </c>
      <c r="N81" s="26">
        <f t="shared" si="33"/>
        <v>1212064.1984132775</v>
      </c>
      <c r="O81" s="26">
        <f t="shared" si="33"/>
        <v>1582502.4078098061</v>
      </c>
      <c r="P81" s="26">
        <f t="shared" si="33"/>
        <v>2025801.7244023921</v>
      </c>
    </row>
    <row r="82" spans="1:16" ht="15.75" customHeight="1" x14ac:dyDescent="0.3">
      <c r="A82" s="1"/>
    </row>
    <row r="83" spans="1:16" ht="15.75" customHeight="1" x14ac:dyDescent="0.3">
      <c r="A83" s="27" t="s">
        <v>60</v>
      </c>
      <c r="B83" s="23">
        <v>31326</v>
      </c>
      <c r="C83" s="23">
        <v>32637</v>
      </c>
      <c r="D83" s="23">
        <v>31602</v>
      </c>
      <c r="E83" s="23">
        <v>33226</v>
      </c>
      <c r="F83" s="23">
        <v>32139</v>
      </c>
      <c r="G83" s="23">
        <v>30490</v>
      </c>
      <c r="H83" s="23">
        <v>35323</v>
      </c>
      <c r="I83" s="23">
        <v>54435</v>
      </c>
      <c r="J83" s="23">
        <v>53181</v>
      </c>
      <c r="K83" s="9">
        <f t="shared" ref="K83:P84" si="34">K155</f>
        <v>69824.851222482088</v>
      </c>
      <c r="L83" s="9">
        <f t="shared" si="34"/>
        <v>81581.423745342734</v>
      </c>
      <c r="M83" s="9">
        <f t="shared" si="34"/>
        <v>95352.040302819165</v>
      </c>
      <c r="N83" s="9">
        <f t="shared" si="34"/>
        <v>111485.76419652406</v>
      </c>
      <c r="O83" s="9">
        <f t="shared" si="34"/>
        <v>130392.61903578647</v>
      </c>
      <c r="P83" s="9">
        <f t="shared" si="34"/>
        <v>152554.28725958735</v>
      </c>
    </row>
    <row r="84" spans="1:16" ht="15.75" customHeight="1" x14ac:dyDescent="0.3">
      <c r="A84" s="27" t="s">
        <v>61</v>
      </c>
      <c r="B84" s="23">
        <v>13234</v>
      </c>
      <c r="C84" s="23">
        <v>12026</v>
      </c>
      <c r="D84" s="23">
        <v>14654</v>
      </c>
      <c r="E84" s="23">
        <v>23128</v>
      </c>
      <c r="F84" s="23">
        <v>21298</v>
      </c>
      <c r="G84" s="23">
        <v>12799</v>
      </c>
      <c r="H84" s="23">
        <v>20345</v>
      </c>
      <c r="I84" s="23">
        <v>32848</v>
      </c>
      <c r="J84" s="23">
        <v>45968</v>
      </c>
      <c r="K84" s="9">
        <f t="shared" si="34"/>
        <v>52368.638416861562</v>
      </c>
      <c r="L84" s="9">
        <f t="shared" si="34"/>
        <v>61186.067809007051</v>
      </c>
      <c r="M84" s="9">
        <f t="shared" si="34"/>
        <v>71514.030227114374</v>
      </c>
      <c r="N84" s="9">
        <f t="shared" si="34"/>
        <v>83614.32314739305</v>
      </c>
      <c r="O84" s="9">
        <f t="shared" si="34"/>
        <v>97794.464276839848</v>
      </c>
      <c r="P84" s="9">
        <f t="shared" si="34"/>
        <v>114415.7154446905</v>
      </c>
    </row>
    <row r="85" spans="1:16" ht="15.75" customHeight="1" x14ac:dyDescent="0.3">
      <c r="A85" s="27" t="s">
        <v>62</v>
      </c>
      <c r="B85" s="23">
        <v>507</v>
      </c>
      <c r="C85" s="23">
        <v>235</v>
      </c>
      <c r="D85" s="23">
        <v>740</v>
      </c>
      <c r="E85" s="23">
        <v>1878</v>
      </c>
      <c r="F85" s="23">
        <v>290</v>
      </c>
      <c r="G85" s="23">
        <v>30471</v>
      </c>
      <c r="H85" s="23">
        <v>30422</v>
      </c>
      <c r="I85" s="23">
        <v>27485</v>
      </c>
      <c r="J85" s="23">
        <v>28274</v>
      </c>
      <c r="K85" s="20">
        <f t="shared" ref="K85:P85" si="35">K215</f>
        <v>221688.73586010747</v>
      </c>
      <c r="L85" s="20">
        <f t="shared" si="35"/>
        <v>400420.01867518754</v>
      </c>
      <c r="M85" s="20">
        <f t="shared" si="35"/>
        <v>616422.92535554967</v>
      </c>
      <c r="N85" s="20">
        <f t="shared" si="35"/>
        <v>876964.43600362679</v>
      </c>
      <c r="O85" s="20">
        <f t="shared" si="35"/>
        <v>1190573.124517272</v>
      </c>
      <c r="P85" s="20">
        <f t="shared" si="35"/>
        <v>1567259.7232447662</v>
      </c>
    </row>
    <row r="86" spans="1:16" ht="15.75" customHeight="1" x14ac:dyDescent="0.3">
      <c r="A86" s="27" t="s">
        <v>63</v>
      </c>
      <c r="B86" s="23">
        <v>31</v>
      </c>
      <c r="C86" s="23">
        <v>25</v>
      </c>
      <c r="D86" s="23">
        <v>30</v>
      </c>
      <c r="E86" s="23">
        <v>161</v>
      </c>
      <c r="F86" s="23">
        <v>170</v>
      </c>
      <c r="G86" s="23">
        <v>230</v>
      </c>
      <c r="H86" s="23">
        <v>305</v>
      </c>
      <c r="I86" s="23">
        <v>297</v>
      </c>
      <c r="J86" s="23">
        <v>327</v>
      </c>
      <c r="K86" s="9">
        <f t="shared" ref="K86:P88" si="36">K157</f>
        <v>402.38643853072364</v>
      </c>
      <c r="L86" s="9">
        <f t="shared" si="36"/>
        <v>470.13717861792753</v>
      </c>
      <c r="M86" s="9">
        <f t="shared" si="36"/>
        <v>549.4944454924331</v>
      </c>
      <c r="N86" s="9">
        <f t="shared" si="36"/>
        <v>642.46982007848976</v>
      </c>
      <c r="O86" s="9">
        <f t="shared" si="36"/>
        <v>751.42618517474091</v>
      </c>
      <c r="P86" s="9">
        <f t="shared" si="36"/>
        <v>879.13937886363044</v>
      </c>
    </row>
    <row r="87" spans="1:16" ht="15.75" customHeight="1" x14ac:dyDescent="0.3">
      <c r="A87" s="27" t="s">
        <v>64</v>
      </c>
      <c r="B87" s="23">
        <v>16611</v>
      </c>
      <c r="C87" s="23">
        <v>15408</v>
      </c>
      <c r="D87" s="23">
        <v>13140</v>
      </c>
      <c r="E87" s="23">
        <v>5638</v>
      </c>
      <c r="F87" s="23">
        <v>7974</v>
      </c>
      <c r="G87" s="23">
        <v>9581</v>
      </c>
      <c r="H87" s="23">
        <v>14608</v>
      </c>
      <c r="I87" s="23">
        <v>15602</v>
      </c>
      <c r="J87" s="23">
        <v>25077</v>
      </c>
      <c r="K87" s="9">
        <f t="shared" si="36"/>
        <v>34912.425611241044</v>
      </c>
      <c r="L87" s="9">
        <f t="shared" si="36"/>
        <v>40790.711872671367</v>
      </c>
      <c r="M87" s="9">
        <f t="shared" si="36"/>
        <v>47676.020151409582</v>
      </c>
      <c r="N87" s="9">
        <f t="shared" si="36"/>
        <v>55742.882098262031</v>
      </c>
      <c r="O87" s="9">
        <f t="shared" si="36"/>
        <v>65196.309517893234</v>
      </c>
      <c r="P87" s="9">
        <f t="shared" si="36"/>
        <v>76277.143629793674</v>
      </c>
    </row>
    <row r="88" spans="1:16" ht="15.75" customHeight="1" x14ac:dyDescent="0.3">
      <c r="A88" s="27" t="s">
        <v>65</v>
      </c>
      <c r="B88" s="23">
        <v>4906</v>
      </c>
      <c r="C88" s="23">
        <v>4910</v>
      </c>
      <c r="D88" s="23">
        <v>4115</v>
      </c>
      <c r="E88" s="23">
        <v>4277</v>
      </c>
      <c r="F88" s="23">
        <v>5272</v>
      </c>
      <c r="G88" s="23">
        <v>0</v>
      </c>
      <c r="H88" s="23">
        <v>0</v>
      </c>
      <c r="I88" s="23">
        <v>0</v>
      </c>
      <c r="J88" s="23">
        <v>0</v>
      </c>
      <c r="K88" s="9">
        <f t="shared" si="36"/>
        <v>0</v>
      </c>
      <c r="L88" s="9">
        <f t="shared" si="36"/>
        <v>0</v>
      </c>
      <c r="M88" s="9">
        <f t="shared" si="36"/>
        <v>0</v>
      </c>
      <c r="N88" s="9">
        <f t="shared" si="36"/>
        <v>0</v>
      </c>
      <c r="O88" s="9">
        <f t="shared" si="36"/>
        <v>0</v>
      </c>
      <c r="P88" s="9">
        <f t="shared" si="36"/>
        <v>0</v>
      </c>
    </row>
    <row r="89" spans="1:16" ht="15.75" customHeight="1" x14ac:dyDescent="0.3">
      <c r="A89" s="27" t="s">
        <v>66</v>
      </c>
      <c r="B89" s="23">
        <v>11413</v>
      </c>
      <c r="C89" s="23">
        <v>21788</v>
      </c>
      <c r="D89" s="23">
        <v>12173</v>
      </c>
      <c r="E89" s="23">
        <v>50455</v>
      </c>
      <c r="F89" s="23">
        <v>12188</v>
      </c>
      <c r="G89" s="23">
        <v>84157</v>
      </c>
      <c r="H89" s="23">
        <v>41001</v>
      </c>
      <c r="I89" s="23">
        <v>0</v>
      </c>
      <c r="J89" s="23">
        <v>39122</v>
      </c>
    </row>
    <row r="90" spans="1:16" ht="15.75" customHeight="1" x14ac:dyDescent="0.3">
      <c r="A90" s="1" t="s">
        <v>54</v>
      </c>
      <c r="B90" s="23">
        <v>1483</v>
      </c>
      <c r="C90" s="23">
        <v>951</v>
      </c>
      <c r="D90" s="23">
        <v>2846</v>
      </c>
      <c r="E90" s="23">
        <v>4964</v>
      </c>
      <c r="F90" s="23">
        <v>5075</v>
      </c>
      <c r="G90" s="23">
        <v>13242</v>
      </c>
      <c r="H90" s="23">
        <v>25930</v>
      </c>
      <c r="I90" s="23">
        <v>26025</v>
      </c>
      <c r="J90" s="23">
        <v>34186</v>
      </c>
      <c r="K90" s="9">
        <f t="shared" ref="K90:P90" si="37">K160</f>
        <v>52368.638416861562</v>
      </c>
      <c r="L90" s="9">
        <f t="shared" si="37"/>
        <v>61186.067809007051</v>
      </c>
      <c r="M90" s="9">
        <f t="shared" si="37"/>
        <v>71514.030227114374</v>
      </c>
      <c r="N90" s="9">
        <f t="shared" si="37"/>
        <v>83614.32314739305</v>
      </c>
      <c r="O90" s="9">
        <f t="shared" si="37"/>
        <v>97794.464276839848</v>
      </c>
      <c r="P90" s="9">
        <f t="shared" si="37"/>
        <v>114415.7154446905</v>
      </c>
    </row>
    <row r="91" spans="1:16" ht="15.75" customHeight="1" x14ac:dyDescent="0.3">
      <c r="A91" s="1" t="s">
        <v>67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203</v>
      </c>
    </row>
    <row r="92" spans="1:16" ht="15.75" customHeight="1" x14ac:dyDescent="0.3">
      <c r="A92" s="13" t="s">
        <v>45</v>
      </c>
      <c r="B92" s="22">
        <f t="shared" ref="B92:P92" si="38">SUM(B81+B68)</f>
        <v>427255</v>
      </c>
      <c r="C92" s="22">
        <f t="shared" si="38"/>
        <v>519605</v>
      </c>
      <c r="D92" s="22">
        <f t="shared" si="38"/>
        <v>602484</v>
      </c>
      <c r="E92" s="22">
        <f t="shared" si="38"/>
        <v>639687</v>
      </c>
      <c r="F92" s="22">
        <f t="shared" si="38"/>
        <v>636277</v>
      </c>
      <c r="G92" s="22">
        <f t="shared" si="38"/>
        <v>713761</v>
      </c>
      <c r="H92" s="22">
        <f t="shared" si="38"/>
        <v>746555</v>
      </c>
      <c r="I92" s="22">
        <f t="shared" si="38"/>
        <v>1003854</v>
      </c>
      <c r="J92" s="22">
        <f t="shared" si="38"/>
        <v>1153508</v>
      </c>
      <c r="K92" s="26">
        <f t="shared" si="38"/>
        <v>1398093.6759660845</v>
      </c>
      <c r="L92" s="26">
        <f t="shared" si="38"/>
        <v>1652962.4270898337</v>
      </c>
      <c r="M92" s="26">
        <f t="shared" si="38"/>
        <v>1951156.5407094995</v>
      </c>
      <c r="N92" s="26">
        <f t="shared" si="38"/>
        <v>2300992.1984132775</v>
      </c>
      <c r="O92" s="26">
        <f t="shared" si="38"/>
        <v>2712230.4078098061</v>
      </c>
      <c r="P92" s="26">
        <f t="shared" si="38"/>
        <v>3196329.7244023923</v>
      </c>
    </row>
    <row r="93" spans="1:16" ht="15.75" customHeight="1" x14ac:dyDescent="0.3">
      <c r="A93" s="1" t="s">
        <v>68</v>
      </c>
      <c r="B93" s="20">
        <f t="shared" ref="B93:P93" si="39">B92-B63</f>
        <v>0</v>
      </c>
      <c r="C93" s="20">
        <f t="shared" si="39"/>
        <v>0</v>
      </c>
      <c r="D93" s="20">
        <f t="shared" si="39"/>
        <v>0</v>
      </c>
      <c r="E93" s="20">
        <f t="shared" si="39"/>
        <v>0</v>
      </c>
      <c r="F93" s="20">
        <f t="shared" si="39"/>
        <v>0</v>
      </c>
      <c r="G93" s="20">
        <f t="shared" si="39"/>
        <v>0</v>
      </c>
      <c r="H93" s="20">
        <f t="shared" si="39"/>
        <v>0</v>
      </c>
      <c r="I93" s="20">
        <f t="shared" si="39"/>
        <v>0</v>
      </c>
      <c r="J93" s="20">
        <f t="shared" si="39"/>
        <v>0</v>
      </c>
      <c r="K93" s="9">
        <f t="shared" si="39"/>
        <v>0</v>
      </c>
      <c r="L93" s="9">
        <f t="shared" si="39"/>
        <v>0</v>
      </c>
      <c r="M93" s="9">
        <f t="shared" si="39"/>
        <v>0</v>
      </c>
      <c r="N93" s="9">
        <f t="shared" si="39"/>
        <v>0</v>
      </c>
      <c r="O93" s="9">
        <f t="shared" si="39"/>
        <v>0</v>
      </c>
      <c r="P93" s="9">
        <f t="shared" si="39"/>
        <v>0</v>
      </c>
    </row>
    <row r="94" spans="1:16" ht="15.75" customHeight="1" x14ac:dyDescent="0.3">
      <c r="A94" s="7"/>
      <c r="B94" s="20"/>
      <c r="C94" s="20"/>
      <c r="D94" s="20"/>
      <c r="E94" s="11"/>
      <c r="F94" s="20"/>
      <c r="G94" s="20"/>
      <c r="H94" s="20"/>
      <c r="I94" s="20"/>
      <c r="J94" s="20"/>
    </row>
    <row r="95" spans="1:16" ht="15.75" customHeight="1" x14ac:dyDescent="0.3">
      <c r="A95" s="7" t="s">
        <v>69</v>
      </c>
      <c r="B95" s="20">
        <v>1500000</v>
      </c>
      <c r="C95" s="20">
        <v>1550000</v>
      </c>
      <c r="D95" s="20">
        <v>1560000</v>
      </c>
      <c r="E95" s="11">
        <v>1580000</v>
      </c>
      <c r="F95" s="20">
        <v>2000000</v>
      </c>
      <c r="G95" s="20">
        <v>2250000</v>
      </c>
      <c r="H95" s="20">
        <v>2250000</v>
      </c>
      <c r="I95" s="20">
        <v>2250000</v>
      </c>
      <c r="J95" s="20">
        <v>2250000</v>
      </c>
      <c r="K95" s="20">
        <f t="shared" ref="K95:P95" si="40">K96+J95</f>
        <v>2550000</v>
      </c>
      <c r="L95" s="20">
        <f t="shared" si="40"/>
        <v>2850000</v>
      </c>
      <c r="M95" s="20">
        <f t="shared" si="40"/>
        <v>3150000</v>
      </c>
      <c r="N95" s="20">
        <f t="shared" si="40"/>
        <v>3450000</v>
      </c>
      <c r="O95" s="20">
        <f t="shared" si="40"/>
        <v>3750000</v>
      </c>
      <c r="P95" s="20">
        <f t="shared" si="40"/>
        <v>4050000</v>
      </c>
    </row>
    <row r="96" spans="1:16" ht="15.75" customHeight="1" x14ac:dyDescent="0.3">
      <c r="A96" s="7" t="s">
        <v>70</v>
      </c>
      <c r="B96" s="11">
        <v>0</v>
      </c>
      <c r="C96" s="20">
        <f t="shared" ref="C96:J96" si="41">C95-B95</f>
        <v>50000</v>
      </c>
      <c r="D96" s="20">
        <f t="shared" si="41"/>
        <v>10000</v>
      </c>
      <c r="E96" s="20">
        <f t="shared" si="41"/>
        <v>20000</v>
      </c>
      <c r="F96" s="20">
        <f t="shared" si="41"/>
        <v>420000</v>
      </c>
      <c r="G96" s="20">
        <f t="shared" si="41"/>
        <v>250000</v>
      </c>
      <c r="H96" s="20">
        <f t="shared" si="41"/>
        <v>0</v>
      </c>
      <c r="I96" s="20">
        <f t="shared" si="41"/>
        <v>0</v>
      </c>
      <c r="J96" s="20">
        <f t="shared" si="41"/>
        <v>0</v>
      </c>
      <c r="K96" s="10">
        <v>300000</v>
      </c>
      <c r="L96" s="11">
        <f t="shared" ref="L96:P96" si="42">K96</f>
        <v>300000</v>
      </c>
      <c r="M96" s="11">
        <f t="shared" si="42"/>
        <v>300000</v>
      </c>
      <c r="N96" s="11">
        <f t="shared" si="42"/>
        <v>300000</v>
      </c>
      <c r="O96" s="11">
        <f t="shared" si="42"/>
        <v>300000</v>
      </c>
      <c r="P96" s="11">
        <f t="shared" si="42"/>
        <v>300000</v>
      </c>
    </row>
    <row r="97" spans="1:26" ht="15.75" customHeight="1" x14ac:dyDescent="0.3">
      <c r="A97" s="7"/>
    </row>
    <row r="98" spans="1:26" ht="15.75" customHeight="1" x14ac:dyDescent="0.3">
      <c r="A98" s="7" t="s">
        <v>71</v>
      </c>
      <c r="B98" s="20">
        <v>1305351</v>
      </c>
      <c r="C98" s="20">
        <f>C100-C99</f>
        <v>1444541</v>
      </c>
      <c r="D98" s="20">
        <v>1653500</v>
      </c>
      <c r="E98" s="20">
        <v>1753700</v>
      </c>
      <c r="F98" s="20">
        <v>1461126</v>
      </c>
      <c r="G98" s="20">
        <v>1361722</v>
      </c>
      <c r="H98" s="20">
        <v>1414277</v>
      </c>
      <c r="I98" s="20">
        <v>1706831</v>
      </c>
      <c r="J98" s="20">
        <v>1852256</v>
      </c>
    </row>
    <row r="99" spans="1:26" ht="15.75" customHeight="1" x14ac:dyDescent="0.3">
      <c r="A99" s="7" t="s">
        <v>72</v>
      </c>
      <c r="B99" s="20">
        <v>123897</v>
      </c>
      <c r="C99" s="20">
        <v>124062</v>
      </c>
      <c r="D99" s="20">
        <v>126074</v>
      </c>
      <c r="E99" s="20">
        <f>E100-E98</f>
        <v>108749</v>
      </c>
      <c r="F99" s="20">
        <v>102171</v>
      </c>
      <c r="G99" s="20">
        <v>96139</v>
      </c>
      <c r="H99" s="20">
        <v>238376</v>
      </c>
      <c r="I99" s="20">
        <v>259333</v>
      </c>
      <c r="J99" s="20">
        <v>283067</v>
      </c>
    </row>
    <row r="100" spans="1:26" ht="15.75" customHeight="1" x14ac:dyDescent="0.3">
      <c r="A100" s="29" t="s">
        <v>45</v>
      </c>
      <c r="B100" s="22">
        <f>SUM(B98:B99)</f>
        <v>1429248</v>
      </c>
      <c r="C100" s="22">
        <v>1568603</v>
      </c>
      <c r="D100" s="22">
        <f>SUM(D98:D99)</f>
        <v>1779574</v>
      </c>
      <c r="E100" s="22">
        <v>1862449</v>
      </c>
      <c r="F100" s="22">
        <f t="shared" ref="F100:J100" si="43">SUM(F98:F99)</f>
        <v>1563297</v>
      </c>
      <c r="G100" s="22">
        <f t="shared" si="43"/>
        <v>1457861</v>
      </c>
      <c r="H100" s="22">
        <f t="shared" si="43"/>
        <v>1652653</v>
      </c>
      <c r="I100" s="22">
        <f t="shared" si="43"/>
        <v>1966164</v>
      </c>
      <c r="J100" s="22">
        <f t="shared" si="43"/>
        <v>2135323</v>
      </c>
      <c r="K100" s="26">
        <f t="shared" ref="K100:P100" si="44">K111*K118</f>
        <v>2388726.7642000006</v>
      </c>
      <c r="L100" s="26">
        <f t="shared" si="44"/>
        <v>2537202.0387140005</v>
      </c>
      <c r="M100" s="26">
        <f t="shared" si="44"/>
        <v>2695883.2264541807</v>
      </c>
      <c r="N100" s="26">
        <f t="shared" si="44"/>
        <v>2865482.8677864755</v>
      </c>
      <c r="O100" s="26">
        <f t="shared" si="44"/>
        <v>3046763.3621668359</v>
      </c>
      <c r="P100" s="26">
        <f t="shared" si="44"/>
        <v>3240540.4580901745</v>
      </c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3">
      <c r="A101" s="7"/>
    </row>
    <row r="102" spans="1:26" ht="15.75" customHeight="1" x14ac:dyDescent="0.3">
      <c r="A102" s="7" t="s">
        <v>73</v>
      </c>
      <c r="B102" s="30">
        <f t="shared" ref="B102:P102" si="45">B100/B95</f>
        <v>0.95283200000000001</v>
      </c>
      <c r="C102" s="30">
        <f t="shared" si="45"/>
        <v>1.012001935483871</v>
      </c>
      <c r="D102" s="30">
        <f t="shared" si="45"/>
        <v>1.1407525641025642</v>
      </c>
      <c r="E102" s="30">
        <f t="shared" si="45"/>
        <v>1.1787651898734177</v>
      </c>
      <c r="F102" s="30">
        <f t="shared" si="45"/>
        <v>0.78164849999999997</v>
      </c>
      <c r="G102" s="30">
        <f t="shared" si="45"/>
        <v>0.64793822222222219</v>
      </c>
      <c r="H102" s="30">
        <f t="shared" si="45"/>
        <v>0.73451244444444441</v>
      </c>
      <c r="I102" s="30">
        <f t="shared" si="45"/>
        <v>0.87385066666666666</v>
      </c>
      <c r="J102" s="30">
        <f t="shared" si="45"/>
        <v>0.94903244444444446</v>
      </c>
      <c r="K102" s="30">
        <f t="shared" si="45"/>
        <v>0.93675559380392182</v>
      </c>
      <c r="L102" s="30">
        <f t="shared" si="45"/>
        <v>0.89024632937333348</v>
      </c>
      <c r="M102" s="30">
        <f t="shared" si="45"/>
        <v>0.85583594490608905</v>
      </c>
      <c r="N102" s="30">
        <f t="shared" si="45"/>
        <v>0.83057474428593492</v>
      </c>
      <c r="O102" s="30">
        <f t="shared" si="45"/>
        <v>0.81247022991115625</v>
      </c>
      <c r="P102" s="30">
        <f t="shared" si="45"/>
        <v>0.80013344644201834</v>
      </c>
    </row>
    <row r="103" spans="1:26" ht="15.75" customHeight="1" x14ac:dyDescent="0.3">
      <c r="A103" s="7"/>
    </row>
    <row r="104" spans="1:26" ht="15.75" customHeight="1" x14ac:dyDescent="0.3">
      <c r="A104" s="7" t="s">
        <v>74</v>
      </c>
      <c r="C104" s="30">
        <f t="shared" ref="C104:J106" si="46">C98/B98-1</f>
        <v>0.10663032395118255</v>
      </c>
      <c r="D104" s="30">
        <f t="shared" si="46"/>
        <v>0.14465425349643946</v>
      </c>
      <c r="E104" s="30">
        <f t="shared" si="46"/>
        <v>6.0598729966737208E-2</v>
      </c>
      <c r="F104" s="30">
        <f t="shared" si="46"/>
        <v>-0.16683241147288586</v>
      </c>
      <c r="G104" s="30">
        <f t="shared" si="46"/>
        <v>-6.8032462634981528E-2</v>
      </c>
      <c r="H104" s="30">
        <f t="shared" si="46"/>
        <v>3.8594514886298281E-2</v>
      </c>
      <c r="I104" s="30">
        <f t="shared" si="46"/>
        <v>0.20685763821373038</v>
      </c>
      <c r="J104" s="30">
        <f t="shared" si="46"/>
        <v>8.5201756940200823E-2</v>
      </c>
    </row>
    <row r="105" spans="1:26" ht="15.75" customHeight="1" x14ac:dyDescent="0.3">
      <c r="A105" s="7" t="s">
        <v>75</v>
      </c>
      <c r="C105" s="30">
        <f t="shared" si="46"/>
        <v>1.331751374125334E-3</v>
      </c>
      <c r="D105" s="30">
        <f t="shared" si="46"/>
        <v>1.6217697602811443E-2</v>
      </c>
      <c r="E105" s="30">
        <f t="shared" si="46"/>
        <v>-0.13741929343084225</v>
      </c>
      <c r="F105" s="30">
        <f t="shared" si="46"/>
        <v>-6.0487912532529053E-2</v>
      </c>
      <c r="G105" s="30">
        <f t="shared" si="46"/>
        <v>-5.9038278963698065E-2</v>
      </c>
      <c r="H105" s="30">
        <f t="shared" si="46"/>
        <v>1.4794932337552917</v>
      </c>
      <c r="I105" s="30">
        <f t="shared" si="46"/>
        <v>8.7915729771453455E-2</v>
      </c>
      <c r="J105" s="30">
        <f t="shared" si="46"/>
        <v>9.1519397839842975E-2</v>
      </c>
    </row>
    <row r="106" spans="1:26" ht="15.75" customHeight="1" x14ac:dyDescent="0.3">
      <c r="A106" s="29" t="s">
        <v>76</v>
      </c>
      <c r="B106" s="21"/>
      <c r="C106" s="30">
        <f t="shared" si="46"/>
        <v>9.7502322899874594E-2</v>
      </c>
      <c r="D106" s="30">
        <f t="shared" si="46"/>
        <v>0.13449610895809849</v>
      </c>
      <c r="E106" s="30">
        <f t="shared" si="46"/>
        <v>4.6570134200657032E-2</v>
      </c>
      <c r="F106" s="30">
        <f t="shared" si="46"/>
        <v>-0.1606229217551729</v>
      </c>
      <c r="G106" s="30">
        <f t="shared" si="46"/>
        <v>-6.7444637839131016E-2</v>
      </c>
      <c r="H106" s="30">
        <f t="shared" si="46"/>
        <v>0.13361493311090711</v>
      </c>
      <c r="I106" s="30">
        <f t="shared" si="46"/>
        <v>0.18970164940855705</v>
      </c>
      <c r="J106" s="30">
        <f t="shared" si="46"/>
        <v>8.6035040820602982E-2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3">
      <c r="A107" s="7"/>
    </row>
    <row r="108" spans="1:26" ht="15.75" customHeight="1" x14ac:dyDescent="0.3">
      <c r="A108" s="29" t="s">
        <v>77</v>
      </c>
    </row>
    <row r="109" spans="1:26" ht="15.75" customHeight="1" x14ac:dyDescent="0.3">
      <c r="A109" s="7" t="s">
        <v>78</v>
      </c>
      <c r="B109" s="23">
        <v>2789208</v>
      </c>
      <c r="C109" s="23">
        <v>3047582</v>
      </c>
      <c r="D109" s="23">
        <v>3288581</v>
      </c>
      <c r="E109" s="23">
        <v>3377389</v>
      </c>
      <c r="F109" s="23">
        <v>2773519</v>
      </c>
      <c r="G109" s="23">
        <v>2711457</v>
      </c>
      <c r="H109" s="23">
        <v>3069523</v>
      </c>
      <c r="I109" s="23">
        <v>3890114</v>
      </c>
      <c r="J109" s="23">
        <v>4218746</v>
      </c>
      <c r="K109" s="9">
        <f t="shared" ref="K109:P110" si="47">J109*(1+K112)</f>
        <v>4514058.2200000007</v>
      </c>
      <c r="L109" s="9">
        <f t="shared" si="47"/>
        <v>4830042.2954000011</v>
      </c>
      <c r="M109" s="9">
        <f t="shared" si="47"/>
        <v>5168145.2560780011</v>
      </c>
      <c r="N109" s="9">
        <f t="shared" si="47"/>
        <v>5529915.4240034614</v>
      </c>
      <c r="O109" s="9">
        <f t="shared" si="47"/>
        <v>5917009.503683704</v>
      </c>
      <c r="P109" s="9">
        <f t="shared" si="47"/>
        <v>6331200.1689415639</v>
      </c>
    </row>
    <row r="110" spans="1:26" ht="15.75" customHeight="1" x14ac:dyDescent="0.3">
      <c r="A110" s="7" t="s">
        <v>72</v>
      </c>
      <c r="B110" s="23">
        <v>653053</v>
      </c>
      <c r="C110" s="23">
        <v>758727</v>
      </c>
      <c r="D110" s="23">
        <v>748366</v>
      </c>
      <c r="E110" s="23">
        <v>676192</v>
      </c>
      <c r="F110" s="23">
        <v>662118</v>
      </c>
      <c r="G110" s="23">
        <v>404397</v>
      </c>
      <c r="H110" s="23">
        <v>577875</v>
      </c>
      <c r="I110" s="23">
        <v>662891</v>
      </c>
      <c r="J110" s="23">
        <v>672105</v>
      </c>
      <c r="K110" s="9">
        <f t="shared" si="47"/>
        <v>678826.05</v>
      </c>
      <c r="L110" s="9">
        <f t="shared" si="47"/>
        <v>685614.31050000002</v>
      </c>
      <c r="M110" s="9">
        <f t="shared" si="47"/>
        <v>692470.45360500005</v>
      </c>
      <c r="N110" s="9">
        <f t="shared" si="47"/>
        <v>699395.15814105002</v>
      </c>
      <c r="O110" s="9">
        <f t="shared" si="47"/>
        <v>706389.1097224605</v>
      </c>
      <c r="P110" s="9">
        <f t="shared" si="47"/>
        <v>713453.00081968517</v>
      </c>
    </row>
    <row r="111" spans="1:26" ht="15.75" customHeight="1" x14ac:dyDescent="0.3">
      <c r="A111" s="7" t="s">
        <v>45</v>
      </c>
      <c r="B111" s="20">
        <f t="shared" ref="B111:P111" si="48">SUM(B109:B110)</f>
        <v>3442261</v>
      </c>
      <c r="C111" s="20">
        <f t="shared" si="48"/>
        <v>3806309</v>
      </c>
      <c r="D111" s="20">
        <f t="shared" si="48"/>
        <v>4036947</v>
      </c>
      <c r="E111" s="20">
        <f t="shared" si="48"/>
        <v>4053581</v>
      </c>
      <c r="F111" s="20">
        <f t="shared" si="48"/>
        <v>3435637</v>
      </c>
      <c r="G111" s="20">
        <f t="shared" si="48"/>
        <v>3115854</v>
      </c>
      <c r="H111" s="20">
        <f t="shared" si="48"/>
        <v>3647398</v>
      </c>
      <c r="I111" s="20">
        <f t="shared" si="48"/>
        <v>4553005</v>
      </c>
      <c r="J111" s="20">
        <f t="shared" si="48"/>
        <v>4890851</v>
      </c>
      <c r="K111" s="9">
        <f t="shared" si="48"/>
        <v>5192884.2700000005</v>
      </c>
      <c r="L111" s="9">
        <f t="shared" si="48"/>
        <v>5515656.6059000008</v>
      </c>
      <c r="M111" s="9">
        <f t="shared" si="48"/>
        <v>5860615.709683001</v>
      </c>
      <c r="N111" s="9">
        <f t="shared" si="48"/>
        <v>6229310.5821445119</v>
      </c>
      <c r="O111" s="9">
        <f t="shared" si="48"/>
        <v>6623398.6134061646</v>
      </c>
      <c r="P111" s="9">
        <f t="shared" si="48"/>
        <v>7044653.1697612489</v>
      </c>
    </row>
    <row r="112" spans="1:26" ht="15.75" customHeight="1" x14ac:dyDescent="0.3">
      <c r="A112" s="7" t="s">
        <v>79</v>
      </c>
      <c r="C112" s="31">
        <f t="shared" ref="C112:J113" si="49">C109/B109-1</f>
        <v>9.2633464409968669E-2</v>
      </c>
      <c r="D112" s="31">
        <f t="shared" si="49"/>
        <v>7.9078758176154063E-2</v>
      </c>
      <c r="E112" s="31">
        <f t="shared" si="49"/>
        <v>2.7004960498160147E-2</v>
      </c>
      <c r="F112" s="31">
        <f t="shared" si="49"/>
        <v>-0.17879788203254054</v>
      </c>
      <c r="G112" s="31">
        <f t="shared" si="49"/>
        <v>-2.2376626949373701E-2</v>
      </c>
      <c r="H112" s="31">
        <f t="shared" si="49"/>
        <v>0.13205667653958741</v>
      </c>
      <c r="I112" s="31">
        <f t="shared" si="49"/>
        <v>0.26733502241227702</v>
      </c>
      <c r="J112" s="31">
        <f t="shared" si="49"/>
        <v>8.4478758206057769E-2</v>
      </c>
      <c r="K112" s="17">
        <v>7.0000000000000007E-2</v>
      </c>
      <c r="L112" s="18">
        <f t="shared" ref="L112:P113" si="50">K112</f>
        <v>7.0000000000000007E-2</v>
      </c>
      <c r="M112" s="18">
        <f t="shared" si="50"/>
        <v>7.0000000000000007E-2</v>
      </c>
      <c r="N112" s="18">
        <f t="shared" si="50"/>
        <v>7.0000000000000007E-2</v>
      </c>
      <c r="O112" s="18">
        <f t="shared" si="50"/>
        <v>7.0000000000000007E-2</v>
      </c>
      <c r="P112" s="18">
        <f t="shared" si="50"/>
        <v>7.0000000000000007E-2</v>
      </c>
    </row>
    <row r="113" spans="1:16" ht="15.75" customHeight="1" x14ac:dyDescent="0.3">
      <c r="A113" s="7" t="s">
        <v>80</v>
      </c>
      <c r="C113" s="31">
        <f t="shared" si="49"/>
        <v>0.16181535036206873</v>
      </c>
      <c r="D113" s="31">
        <f t="shared" si="49"/>
        <v>-1.3655768148490788E-2</v>
      </c>
      <c r="E113" s="31">
        <f t="shared" si="49"/>
        <v>-9.6442115221696323E-2</v>
      </c>
      <c r="F113" s="31">
        <f t="shared" si="49"/>
        <v>-2.0813615067909685E-2</v>
      </c>
      <c r="G113" s="31">
        <f t="shared" si="49"/>
        <v>-0.38923726586499685</v>
      </c>
      <c r="H113" s="31">
        <f t="shared" si="49"/>
        <v>0.42897944346768146</v>
      </c>
      <c r="I113" s="31">
        <f t="shared" si="49"/>
        <v>0.14711832143629677</v>
      </c>
      <c r="J113" s="31">
        <f t="shared" si="49"/>
        <v>1.389972107028159E-2</v>
      </c>
      <c r="K113" s="17">
        <v>0.01</v>
      </c>
      <c r="L113" s="18">
        <f t="shared" si="50"/>
        <v>0.01</v>
      </c>
      <c r="M113" s="18">
        <f t="shared" si="50"/>
        <v>0.01</v>
      </c>
      <c r="N113" s="18">
        <f t="shared" si="50"/>
        <v>0.01</v>
      </c>
      <c r="O113" s="18">
        <f t="shared" si="50"/>
        <v>0.01</v>
      </c>
      <c r="P113" s="18">
        <f t="shared" si="50"/>
        <v>0.01</v>
      </c>
    </row>
    <row r="114" spans="1:16" ht="15.75" customHeight="1" x14ac:dyDescent="0.3">
      <c r="A114" s="7"/>
    </row>
    <row r="115" spans="1:16" ht="15.75" customHeight="1" x14ac:dyDescent="0.3">
      <c r="A115" s="29" t="s">
        <v>81</v>
      </c>
    </row>
    <row r="116" spans="1:16" ht="15.75" customHeight="1" x14ac:dyDescent="0.3">
      <c r="A116" s="7" t="s">
        <v>71</v>
      </c>
      <c r="B116" s="31">
        <f t="shared" ref="B116:J118" si="51">B98/B109</f>
        <v>0.46800059371692609</v>
      </c>
      <c r="C116" s="31">
        <f t="shared" si="51"/>
        <v>0.4739957776361719</v>
      </c>
      <c r="D116" s="31">
        <f t="shared" si="51"/>
        <v>0.50280044797436951</v>
      </c>
      <c r="E116" s="31">
        <f t="shared" si="51"/>
        <v>0.51924726467694426</v>
      </c>
      <c r="F116" s="31">
        <f t="shared" si="51"/>
        <v>0.52681304869373524</v>
      </c>
      <c r="G116" s="31">
        <f t="shared" si="51"/>
        <v>0.50221043520144337</v>
      </c>
      <c r="H116" s="31">
        <f t="shared" si="51"/>
        <v>0.46074813578526697</v>
      </c>
      <c r="I116" s="31">
        <f t="shared" si="51"/>
        <v>0.43876117769299305</v>
      </c>
      <c r="J116" s="31">
        <f t="shared" si="51"/>
        <v>0.43905369036201752</v>
      </c>
    </row>
    <row r="117" spans="1:16" ht="15.75" customHeight="1" x14ac:dyDescent="0.3">
      <c r="A117" s="7" t="s">
        <v>72</v>
      </c>
      <c r="B117" s="31">
        <f t="shared" si="51"/>
        <v>0.18971967053210076</v>
      </c>
      <c r="C117" s="31">
        <f t="shared" si="51"/>
        <v>0.16351335855979818</v>
      </c>
      <c r="D117" s="31">
        <f t="shared" si="51"/>
        <v>0.16846569726577637</v>
      </c>
      <c r="E117" s="31">
        <f t="shared" si="51"/>
        <v>0.16082562349155269</v>
      </c>
      <c r="F117" s="31">
        <f t="shared" si="51"/>
        <v>0.15430935271356466</v>
      </c>
      <c r="G117" s="31">
        <f t="shared" si="51"/>
        <v>0.23773420673249307</v>
      </c>
      <c r="H117" s="31">
        <f t="shared" si="51"/>
        <v>0.41250443434998918</v>
      </c>
      <c r="I117" s="31">
        <f t="shared" si="51"/>
        <v>0.39121514698494925</v>
      </c>
      <c r="J117" s="31">
        <f t="shared" si="51"/>
        <v>0.42116484775444313</v>
      </c>
    </row>
    <row r="118" spans="1:16" ht="15.75" customHeight="1" x14ac:dyDescent="0.3">
      <c r="A118" s="7" t="s">
        <v>82</v>
      </c>
      <c r="B118" s="31">
        <f t="shared" si="51"/>
        <v>0.41520616827137746</v>
      </c>
      <c r="C118" s="31">
        <f t="shared" si="51"/>
        <v>0.41210605865157035</v>
      </c>
      <c r="D118" s="31">
        <f t="shared" si="51"/>
        <v>0.44082173979494899</v>
      </c>
      <c r="E118" s="31">
        <f t="shared" si="51"/>
        <v>0.45945769925406699</v>
      </c>
      <c r="F118" s="31">
        <f t="shared" si="51"/>
        <v>0.45502391550678956</v>
      </c>
      <c r="G118" s="31">
        <f t="shared" si="51"/>
        <v>0.46788488805958173</v>
      </c>
      <c r="H118" s="31">
        <f t="shared" si="51"/>
        <v>0.45310465158998275</v>
      </c>
      <c r="I118" s="31">
        <f t="shared" si="51"/>
        <v>0.43183875264797644</v>
      </c>
      <c r="J118" s="31">
        <f t="shared" si="51"/>
        <v>0.43659539004561781</v>
      </c>
      <c r="K118" s="32">
        <v>0.46</v>
      </c>
      <c r="L118" s="18">
        <f t="shared" ref="L118:P118" si="52">K118</f>
        <v>0.46</v>
      </c>
      <c r="M118" s="18">
        <f t="shared" si="52"/>
        <v>0.46</v>
      </c>
      <c r="N118" s="18">
        <f t="shared" si="52"/>
        <v>0.46</v>
      </c>
      <c r="O118" s="18">
        <f t="shared" si="52"/>
        <v>0.46</v>
      </c>
      <c r="P118" s="18">
        <f t="shared" si="52"/>
        <v>0.46</v>
      </c>
    </row>
    <row r="119" spans="1:16" ht="15.75" customHeight="1" x14ac:dyDescent="0.3">
      <c r="A119" s="7"/>
    </row>
    <row r="120" spans="1:16" ht="15.75" customHeight="1" x14ac:dyDescent="0.3">
      <c r="A120" s="7" t="s">
        <v>83</v>
      </c>
      <c r="B120" s="9">
        <f t="shared" ref="B120:J120" si="53">B3/B100*1000000</f>
        <v>399241.41926383664</v>
      </c>
      <c r="C120" s="9">
        <f t="shared" si="53"/>
        <v>434048.64073318744</v>
      </c>
      <c r="D120" s="9">
        <f t="shared" si="53"/>
        <v>448474.74732716929</v>
      </c>
      <c r="E120" s="9">
        <f t="shared" si="53"/>
        <v>462125.40585003939</v>
      </c>
      <c r="F120" s="9">
        <f t="shared" si="53"/>
        <v>483977.13294402789</v>
      </c>
      <c r="G120" s="9">
        <f t="shared" si="53"/>
        <v>482707.19910883135</v>
      </c>
      <c r="H120" s="9">
        <f t="shared" si="53"/>
        <v>534472.75380857324</v>
      </c>
      <c r="I120" s="9">
        <f t="shared" si="53"/>
        <v>602238.16528021055</v>
      </c>
      <c r="J120" s="9">
        <f t="shared" si="53"/>
        <v>664340.7109837716</v>
      </c>
      <c r="K120" s="9">
        <f t="shared" ref="K120:P120" si="54">J120*(1+K121)</f>
        <v>730774.78208214883</v>
      </c>
      <c r="L120" s="9">
        <f t="shared" si="54"/>
        <v>803852.2602903638</v>
      </c>
      <c r="M120" s="9">
        <f t="shared" si="54"/>
        <v>884237.48631940025</v>
      </c>
      <c r="N120" s="9">
        <f t="shared" si="54"/>
        <v>972661.23495134036</v>
      </c>
      <c r="O120" s="9">
        <f t="shared" si="54"/>
        <v>1069927.3584464744</v>
      </c>
      <c r="P120" s="9">
        <f t="shared" si="54"/>
        <v>1176920.0942911219</v>
      </c>
    </row>
    <row r="121" spans="1:16" ht="15.75" customHeight="1" x14ac:dyDescent="0.3">
      <c r="A121" s="7" t="s">
        <v>84</v>
      </c>
      <c r="C121" s="31">
        <f t="shared" ref="C121:J121" si="55">C120/B120-1</f>
        <v>8.7183392779065949E-2</v>
      </c>
      <c r="D121" s="31">
        <f t="shared" si="55"/>
        <v>3.3236151988895735E-2</v>
      </c>
      <c r="E121" s="31">
        <f t="shared" si="55"/>
        <v>3.0437964688593055E-2</v>
      </c>
      <c r="F121" s="31">
        <f t="shared" si="55"/>
        <v>4.7285275419545858E-2</v>
      </c>
      <c r="G121" s="31">
        <f t="shared" si="55"/>
        <v>-2.6239542093063895E-3</v>
      </c>
      <c r="H121" s="31">
        <f t="shared" si="55"/>
        <v>0.10724007181850803</v>
      </c>
      <c r="I121" s="31">
        <f t="shared" si="55"/>
        <v>0.12678927221032521</v>
      </c>
      <c r="J121" s="31">
        <f t="shared" si="55"/>
        <v>0.10311957840577213</v>
      </c>
      <c r="K121" s="32">
        <v>0.1</v>
      </c>
      <c r="L121" s="18">
        <f t="shared" ref="L121:P121" si="56">K121</f>
        <v>0.1</v>
      </c>
      <c r="M121" s="18">
        <f t="shared" si="56"/>
        <v>0.1</v>
      </c>
      <c r="N121" s="18">
        <f t="shared" si="56"/>
        <v>0.1</v>
      </c>
      <c r="O121" s="18">
        <f t="shared" si="56"/>
        <v>0.1</v>
      </c>
      <c r="P121" s="18">
        <f t="shared" si="56"/>
        <v>0.1</v>
      </c>
    </row>
    <row r="122" spans="1:16" ht="15.75" customHeight="1" x14ac:dyDescent="0.3">
      <c r="A122" s="7"/>
    </row>
    <row r="123" spans="1:16" ht="15.75" customHeight="1" x14ac:dyDescent="0.3">
      <c r="A123" s="29" t="s">
        <v>85</v>
      </c>
    </row>
    <row r="124" spans="1:16" ht="15.75" customHeight="1" x14ac:dyDescent="0.3">
      <c r="A124" s="7"/>
    </row>
    <row r="125" spans="1:16" ht="15.75" customHeight="1" x14ac:dyDescent="0.3">
      <c r="A125" s="1" t="s">
        <v>7</v>
      </c>
      <c r="B125" s="31">
        <f t="shared" ref="B125:J130" si="57">B9/B$3</f>
        <v>0.6344154990667964</v>
      </c>
      <c r="C125" s="31">
        <f t="shared" si="57"/>
        <v>0.62609825952853049</v>
      </c>
      <c r="D125" s="31">
        <f t="shared" si="57"/>
        <v>0.56313166118276792</v>
      </c>
      <c r="E125" s="31">
        <f t="shared" si="57"/>
        <v>0.52313796569011894</v>
      </c>
      <c r="F125" s="31">
        <f t="shared" si="57"/>
        <v>0.45776896642876025</v>
      </c>
      <c r="G125" s="31">
        <f t="shared" si="57"/>
        <v>0.47314841129994883</v>
      </c>
      <c r="H125" s="31">
        <f t="shared" si="57"/>
        <v>0.44990026016134987</v>
      </c>
      <c r="I125" s="31">
        <f t="shared" si="57"/>
        <v>0.6194769187373691</v>
      </c>
      <c r="J125" s="31">
        <f t="shared" si="57"/>
        <v>0.55629706284162639</v>
      </c>
      <c r="K125" s="33">
        <v>0.6</v>
      </c>
      <c r="L125" s="30">
        <f t="shared" ref="L125:P126" si="58">K125</f>
        <v>0.6</v>
      </c>
      <c r="M125" s="30">
        <f t="shared" si="58"/>
        <v>0.6</v>
      </c>
      <c r="N125" s="30">
        <f t="shared" si="58"/>
        <v>0.6</v>
      </c>
      <c r="O125" s="30">
        <f t="shared" si="58"/>
        <v>0.6</v>
      </c>
      <c r="P125" s="30">
        <f t="shared" si="58"/>
        <v>0.6</v>
      </c>
    </row>
    <row r="126" spans="1:16" ht="15.75" customHeight="1" x14ac:dyDescent="0.3">
      <c r="A126" s="1" t="s">
        <v>8</v>
      </c>
      <c r="B126" s="31">
        <f t="shared" si="57"/>
        <v>5.558038256968359E-2</v>
      </c>
      <c r="C126" s="31">
        <f t="shared" si="57"/>
        <v>6.5999853124770511E-2</v>
      </c>
      <c r="D126" s="31">
        <f t="shared" si="57"/>
        <v>0.12532483642277728</v>
      </c>
      <c r="E126" s="31">
        <f t="shared" si="57"/>
        <v>0.16638956180251777</v>
      </c>
      <c r="F126" s="31">
        <f t="shared" si="57"/>
        <v>0.2480465239228126</v>
      </c>
      <c r="G126" s="31">
        <f t="shared" si="57"/>
        <v>0.24518416415619848</v>
      </c>
      <c r="H126" s="31">
        <f t="shared" si="57"/>
        <v>0.29885157670457763</v>
      </c>
      <c r="I126" s="31">
        <f t="shared" si="57"/>
        <v>0.10737869046422639</v>
      </c>
      <c r="J126" s="31">
        <f t="shared" si="57"/>
        <v>0.14947461620124886</v>
      </c>
      <c r="K126" s="33">
        <v>0.08</v>
      </c>
      <c r="L126" s="30">
        <f t="shared" si="58"/>
        <v>0.08</v>
      </c>
      <c r="M126" s="30">
        <f t="shared" si="58"/>
        <v>0.08</v>
      </c>
      <c r="N126" s="30">
        <f t="shared" si="58"/>
        <v>0.08</v>
      </c>
      <c r="O126" s="30">
        <f t="shared" si="58"/>
        <v>0.08</v>
      </c>
      <c r="P126" s="30">
        <f t="shared" si="58"/>
        <v>0.08</v>
      </c>
    </row>
    <row r="127" spans="1:16" ht="15.75" customHeight="1" x14ac:dyDescent="0.3">
      <c r="A127" s="1" t="s">
        <v>9</v>
      </c>
      <c r="B127" s="31">
        <f t="shared" si="57"/>
        <v>1.1040719223995163E-4</v>
      </c>
      <c r="C127" s="31">
        <f t="shared" si="57"/>
        <v>-5.5709774546522728E-3</v>
      </c>
      <c r="D127" s="31">
        <f t="shared" si="57"/>
        <v>5.1121797682979696E-4</v>
      </c>
      <c r="E127" s="31">
        <f t="shared" si="57"/>
        <v>2.4585068869563196E-3</v>
      </c>
      <c r="F127" s="31">
        <f t="shared" si="57"/>
        <v>-3.154903515728258E-3</v>
      </c>
      <c r="G127" s="31">
        <f t="shared" si="57"/>
        <v>3.8879099641903028E-3</v>
      </c>
      <c r="H127" s="31">
        <f t="shared" si="57"/>
        <v>-1.0540044243279164E-3</v>
      </c>
      <c r="I127" s="31">
        <f t="shared" si="57"/>
        <v>-4.9024617029488245E-3</v>
      </c>
      <c r="J127" s="31">
        <f t="shared" si="57"/>
        <v>-2.6688622864240487E-3</v>
      </c>
      <c r="K127" s="34">
        <f t="shared" ref="K127:P128" si="59">J127</f>
        <v>-2.6688622864240487E-3</v>
      </c>
      <c r="L127" s="30">
        <f t="shared" si="59"/>
        <v>-2.6688622864240487E-3</v>
      </c>
      <c r="M127" s="30">
        <f t="shared" si="59"/>
        <v>-2.6688622864240487E-3</v>
      </c>
      <c r="N127" s="30">
        <f t="shared" si="59"/>
        <v>-2.6688622864240487E-3</v>
      </c>
      <c r="O127" s="30">
        <f t="shared" si="59"/>
        <v>-2.6688622864240487E-3</v>
      </c>
      <c r="P127" s="30">
        <f t="shared" si="59"/>
        <v>-2.6688622864240487E-3</v>
      </c>
    </row>
    <row r="128" spans="1:16" ht="15.75" customHeight="1" x14ac:dyDescent="0.3">
      <c r="A128" s="1" t="s">
        <v>10</v>
      </c>
      <c r="B128" s="31">
        <f t="shared" si="57"/>
        <v>3.6104904357579105E-2</v>
      </c>
      <c r="C128" s="31">
        <f t="shared" si="57"/>
        <v>3.466696041712565E-2</v>
      </c>
      <c r="D128" s="31">
        <f t="shared" si="57"/>
        <v>3.5877979285648058E-2</v>
      </c>
      <c r="E128" s="31">
        <f t="shared" si="57"/>
        <v>3.8167273741264225E-2</v>
      </c>
      <c r="F128" s="31">
        <f t="shared" si="57"/>
        <v>4.5151995770552469E-2</v>
      </c>
      <c r="G128" s="31">
        <f t="shared" si="57"/>
        <v>4.8763712840334227E-2</v>
      </c>
      <c r="H128" s="31">
        <f t="shared" si="57"/>
        <v>4.5866740329990559E-2</v>
      </c>
      <c r="I128" s="31">
        <f t="shared" si="57"/>
        <v>4.4831555469601783E-2</v>
      </c>
      <c r="J128" s="31">
        <f t="shared" si="57"/>
        <v>4.4421824046829865E-2</v>
      </c>
      <c r="K128" s="33">
        <v>0.04</v>
      </c>
      <c r="L128" s="30">
        <f t="shared" si="59"/>
        <v>0.04</v>
      </c>
      <c r="M128" s="30">
        <f t="shared" si="59"/>
        <v>0.04</v>
      </c>
      <c r="N128" s="30">
        <f t="shared" si="59"/>
        <v>0.04</v>
      </c>
      <c r="O128" s="30">
        <f t="shared" si="59"/>
        <v>0.04</v>
      </c>
      <c r="P128" s="30">
        <f t="shared" si="59"/>
        <v>0.04</v>
      </c>
    </row>
    <row r="129" spans="1:16" ht="15.75" customHeight="1" x14ac:dyDescent="0.3">
      <c r="A129" s="1" t="s">
        <v>11</v>
      </c>
      <c r="B129" s="31">
        <f t="shared" si="57"/>
        <v>0.14220972109040245</v>
      </c>
      <c r="C129" s="31">
        <f t="shared" si="57"/>
        <v>0.12819270030109423</v>
      </c>
      <c r="D129" s="31">
        <f t="shared" si="57"/>
        <v>0.12524339238235094</v>
      </c>
      <c r="E129" s="31">
        <f t="shared" si="57"/>
        <v>0.14342297123802553</v>
      </c>
      <c r="F129" s="31">
        <f t="shared" si="57"/>
        <v>0.15714512291831881</v>
      </c>
      <c r="G129" s="31">
        <f t="shared" si="57"/>
        <v>0.15400301256181437</v>
      </c>
      <c r="H129" s="31">
        <f t="shared" si="57"/>
        <v>0.1434702671125713</v>
      </c>
      <c r="I129" s="31">
        <f t="shared" si="57"/>
        <v>0.1239516290445309</v>
      </c>
      <c r="J129" s="31">
        <f t="shared" si="57"/>
        <v>0.12371579506859667</v>
      </c>
      <c r="K129" s="34">
        <f t="shared" ref="K129:P130" si="60">J129</f>
        <v>0.12371579506859667</v>
      </c>
      <c r="L129" s="30">
        <f t="shared" si="60"/>
        <v>0.12371579506859667</v>
      </c>
      <c r="M129" s="30">
        <f t="shared" si="60"/>
        <v>0.12371579506859667</v>
      </c>
      <c r="N129" s="30">
        <f t="shared" si="60"/>
        <v>0.12371579506859667</v>
      </c>
      <c r="O129" s="30">
        <f t="shared" si="60"/>
        <v>0.12371579506859667</v>
      </c>
      <c r="P129" s="30">
        <f t="shared" si="60"/>
        <v>0.12371579506859667</v>
      </c>
    </row>
    <row r="130" spans="1:16" ht="15.75" customHeight="1" x14ac:dyDescent="0.3">
      <c r="A130" s="1" t="s">
        <v>86</v>
      </c>
      <c r="B130" s="31">
        <f t="shared" si="57"/>
        <v>-1.0550020591817599E-3</v>
      </c>
      <c r="C130" s="31">
        <f t="shared" si="57"/>
        <v>-1.5216273775427774E-3</v>
      </c>
      <c r="D130" s="31">
        <f t="shared" si="57"/>
        <v>-1.2417083701919823E-3</v>
      </c>
      <c r="E130" s="31">
        <f t="shared" si="57"/>
        <v>-1.4186374806113736E-3</v>
      </c>
      <c r="F130" s="31">
        <f t="shared" si="57"/>
        <v>-1.6085117631509385E-3</v>
      </c>
      <c r="G130" s="31">
        <f t="shared" si="57"/>
        <v>-1.0345023588927413E-3</v>
      </c>
      <c r="H130" s="31">
        <f t="shared" si="57"/>
        <v>-1.635914493183501E-3</v>
      </c>
      <c r="I130" s="31">
        <f t="shared" si="57"/>
        <v>-1.3216800284435676E-3</v>
      </c>
      <c r="J130" s="31">
        <f t="shared" si="57"/>
        <v>-1.8377506552317738E-3</v>
      </c>
      <c r="K130" s="34">
        <f t="shared" si="60"/>
        <v>-1.8377506552317738E-3</v>
      </c>
      <c r="L130" s="30">
        <f t="shared" si="60"/>
        <v>-1.8377506552317738E-3</v>
      </c>
      <c r="M130" s="30">
        <f t="shared" si="60"/>
        <v>-1.8377506552317738E-3</v>
      </c>
      <c r="N130" s="30">
        <f t="shared" si="60"/>
        <v>-1.8377506552317738E-3</v>
      </c>
      <c r="O130" s="30">
        <f t="shared" si="60"/>
        <v>-1.8377506552317738E-3</v>
      </c>
      <c r="P130" s="30">
        <f t="shared" si="60"/>
        <v>-1.8377506552317738E-3</v>
      </c>
    </row>
    <row r="131" spans="1:16" ht="15.75" customHeight="1" x14ac:dyDescent="0.3">
      <c r="A131" s="7"/>
    </row>
    <row r="132" spans="1:16" ht="15.75" hidden="1" customHeight="1" x14ac:dyDescent="0.3">
      <c r="A132" s="7"/>
    </row>
    <row r="133" spans="1:16" ht="15.75" hidden="1" customHeight="1" x14ac:dyDescent="0.3">
      <c r="A133" s="25" t="s">
        <v>87</v>
      </c>
    </row>
    <row r="134" spans="1:16" ht="15.75" hidden="1" customHeight="1" x14ac:dyDescent="0.3">
      <c r="A134" s="7"/>
    </row>
    <row r="135" spans="1:16" ht="15.75" hidden="1" customHeight="1" x14ac:dyDescent="0.3">
      <c r="A135" s="1" t="s">
        <v>7</v>
      </c>
    </row>
    <row r="136" spans="1:16" ht="15.75" hidden="1" customHeight="1" x14ac:dyDescent="0.3">
      <c r="A136" s="1" t="s">
        <v>8</v>
      </c>
    </row>
    <row r="137" spans="1:16" ht="15.75" hidden="1" customHeight="1" x14ac:dyDescent="0.3">
      <c r="A137" s="1" t="s">
        <v>9</v>
      </c>
    </row>
    <row r="138" spans="1:16" ht="15.75" hidden="1" customHeight="1" x14ac:dyDescent="0.3">
      <c r="A138" s="1" t="s">
        <v>10</v>
      </c>
    </row>
    <row r="139" spans="1:16" ht="15.75" hidden="1" customHeight="1" x14ac:dyDescent="0.3">
      <c r="A139" s="1" t="s">
        <v>11</v>
      </c>
    </row>
    <row r="140" spans="1:16" ht="15.75" hidden="1" customHeight="1" x14ac:dyDescent="0.3">
      <c r="A140" s="1" t="s">
        <v>86</v>
      </c>
    </row>
    <row r="141" spans="1:16" ht="15.75" hidden="1" customHeight="1" x14ac:dyDescent="0.3">
      <c r="A141" s="7"/>
    </row>
    <row r="142" spans="1:16" ht="15.75" hidden="1" customHeight="1" x14ac:dyDescent="0.3">
      <c r="A142" s="1" t="s">
        <v>84</v>
      </c>
    </row>
    <row r="143" spans="1:16" ht="15.75" hidden="1" customHeight="1" x14ac:dyDescent="0.3">
      <c r="A143" s="1" t="s">
        <v>7</v>
      </c>
    </row>
    <row r="144" spans="1:16" ht="15.75" hidden="1" customHeight="1" x14ac:dyDescent="0.3">
      <c r="A144" s="1" t="s">
        <v>8</v>
      </c>
    </row>
    <row r="145" spans="1:16" ht="15.75" hidden="1" customHeight="1" x14ac:dyDescent="0.3">
      <c r="A145" s="1" t="s">
        <v>9</v>
      </c>
    </row>
    <row r="146" spans="1:16" ht="15.75" hidden="1" customHeight="1" x14ac:dyDescent="0.3">
      <c r="A146" s="1" t="s">
        <v>10</v>
      </c>
    </row>
    <row r="147" spans="1:16" ht="15.75" hidden="1" customHeight="1" x14ac:dyDescent="0.3">
      <c r="A147" s="1" t="s">
        <v>11</v>
      </c>
    </row>
    <row r="148" spans="1:16" ht="15.75" hidden="1" customHeight="1" x14ac:dyDescent="0.3">
      <c r="A148" s="1" t="s">
        <v>86</v>
      </c>
    </row>
    <row r="149" spans="1:16" ht="15.75" hidden="1" customHeight="1" x14ac:dyDescent="0.3">
      <c r="A149" s="7"/>
    </row>
    <row r="150" spans="1:16" ht="15.75" hidden="1" customHeight="1" x14ac:dyDescent="0.3">
      <c r="A150" s="7"/>
    </row>
    <row r="151" spans="1:16" ht="15.75" customHeight="1" x14ac:dyDescent="0.3">
      <c r="A151" s="7"/>
    </row>
    <row r="152" spans="1:16" ht="15.75" customHeight="1" x14ac:dyDescent="0.3">
      <c r="A152" s="25" t="s">
        <v>88</v>
      </c>
    </row>
    <row r="153" spans="1:16" ht="15.75" customHeight="1" x14ac:dyDescent="0.3">
      <c r="A153" s="7"/>
    </row>
    <row r="154" spans="1:16" ht="15.75" customHeight="1" x14ac:dyDescent="0.3">
      <c r="A154" s="7" t="s">
        <v>59</v>
      </c>
      <c r="B154" s="22">
        <f t="shared" ref="B154:P154" si="61">SUM(B155:B160)</f>
        <v>79004</v>
      </c>
      <c r="C154" s="22">
        <f t="shared" si="61"/>
        <v>87745</v>
      </c>
      <c r="D154" s="22">
        <f t="shared" si="61"/>
        <v>78560</v>
      </c>
      <c r="E154" s="22">
        <f t="shared" si="61"/>
        <v>121849</v>
      </c>
      <c r="F154" s="22">
        <f t="shared" si="61"/>
        <v>84116</v>
      </c>
      <c r="G154" s="22">
        <f t="shared" si="61"/>
        <v>150499</v>
      </c>
      <c r="H154" s="22">
        <f t="shared" si="61"/>
        <v>137512</v>
      </c>
      <c r="I154" s="22">
        <f t="shared" si="61"/>
        <v>129207</v>
      </c>
      <c r="J154" s="22">
        <f t="shared" si="61"/>
        <v>198064</v>
      </c>
      <c r="K154" s="26">
        <f t="shared" si="61"/>
        <v>209876.94010597697</v>
      </c>
      <c r="L154" s="26">
        <f t="shared" si="61"/>
        <v>245214.40841464614</v>
      </c>
      <c r="M154" s="26">
        <f t="shared" si="61"/>
        <v>286605.61535394995</v>
      </c>
      <c r="N154" s="26">
        <f t="shared" si="61"/>
        <v>335099.76240965066</v>
      </c>
      <c r="O154" s="26">
        <f t="shared" si="61"/>
        <v>391929.28329253412</v>
      </c>
      <c r="P154" s="26">
        <f t="shared" si="61"/>
        <v>458542.00115762564</v>
      </c>
    </row>
    <row r="155" spans="1:16" ht="15.75" customHeight="1" x14ac:dyDescent="0.3">
      <c r="A155" s="27" t="s">
        <v>60</v>
      </c>
      <c r="B155" s="20">
        <f t="shared" ref="B155:J156" si="62">B83</f>
        <v>31326</v>
      </c>
      <c r="C155" s="20">
        <f t="shared" si="62"/>
        <v>32637</v>
      </c>
      <c r="D155" s="20">
        <f t="shared" si="62"/>
        <v>31602</v>
      </c>
      <c r="E155" s="20">
        <f t="shared" si="62"/>
        <v>33226</v>
      </c>
      <c r="F155" s="20">
        <f t="shared" si="62"/>
        <v>32139</v>
      </c>
      <c r="G155" s="20">
        <f t="shared" si="62"/>
        <v>30490</v>
      </c>
      <c r="H155" s="20">
        <f t="shared" si="62"/>
        <v>35323</v>
      </c>
      <c r="I155" s="20">
        <f t="shared" si="62"/>
        <v>54435</v>
      </c>
      <c r="J155" s="20">
        <f t="shared" si="62"/>
        <v>53181</v>
      </c>
      <c r="K155" s="9">
        <f t="shared" ref="K155:P160" si="63">K$170*K174</f>
        <v>69824.851222482088</v>
      </c>
      <c r="L155" s="9">
        <f t="shared" si="63"/>
        <v>81581.423745342734</v>
      </c>
      <c r="M155" s="9">
        <f t="shared" si="63"/>
        <v>95352.040302819165</v>
      </c>
      <c r="N155" s="9">
        <f t="shared" si="63"/>
        <v>111485.76419652406</v>
      </c>
      <c r="O155" s="9">
        <f t="shared" si="63"/>
        <v>130392.61903578647</v>
      </c>
      <c r="P155" s="9">
        <f t="shared" si="63"/>
        <v>152554.28725958735</v>
      </c>
    </row>
    <row r="156" spans="1:16" ht="15.75" customHeight="1" x14ac:dyDescent="0.3">
      <c r="A156" s="27" t="s">
        <v>61</v>
      </c>
      <c r="B156" s="20">
        <f t="shared" si="62"/>
        <v>13234</v>
      </c>
      <c r="C156" s="20">
        <f t="shared" si="62"/>
        <v>12026</v>
      </c>
      <c r="D156" s="20">
        <f t="shared" si="62"/>
        <v>14654</v>
      </c>
      <c r="E156" s="20">
        <f t="shared" si="62"/>
        <v>23128</v>
      </c>
      <c r="F156" s="20">
        <f t="shared" si="62"/>
        <v>21298</v>
      </c>
      <c r="G156" s="20">
        <f t="shared" si="62"/>
        <v>12799</v>
      </c>
      <c r="H156" s="20">
        <f t="shared" si="62"/>
        <v>20345</v>
      </c>
      <c r="I156" s="20">
        <f t="shared" si="62"/>
        <v>32848</v>
      </c>
      <c r="J156" s="20">
        <f t="shared" si="62"/>
        <v>45968</v>
      </c>
      <c r="K156" s="9">
        <f t="shared" si="63"/>
        <v>52368.638416861562</v>
      </c>
      <c r="L156" s="9">
        <f t="shared" si="63"/>
        <v>61186.067809007051</v>
      </c>
      <c r="M156" s="9">
        <f t="shared" si="63"/>
        <v>71514.030227114374</v>
      </c>
      <c r="N156" s="9">
        <f t="shared" si="63"/>
        <v>83614.32314739305</v>
      </c>
      <c r="O156" s="9">
        <f t="shared" si="63"/>
        <v>97794.464276839848</v>
      </c>
      <c r="P156" s="9">
        <f t="shared" si="63"/>
        <v>114415.7154446905</v>
      </c>
    </row>
    <row r="157" spans="1:16" ht="15.75" customHeight="1" x14ac:dyDescent="0.3">
      <c r="A157" s="27" t="s">
        <v>63</v>
      </c>
      <c r="B157" s="20">
        <f t="shared" ref="B157:J159" si="64">B86</f>
        <v>31</v>
      </c>
      <c r="C157" s="20">
        <f t="shared" si="64"/>
        <v>25</v>
      </c>
      <c r="D157" s="20">
        <f t="shared" si="64"/>
        <v>30</v>
      </c>
      <c r="E157" s="20">
        <f t="shared" si="64"/>
        <v>161</v>
      </c>
      <c r="F157" s="20">
        <f t="shared" si="64"/>
        <v>170</v>
      </c>
      <c r="G157" s="20">
        <f t="shared" si="64"/>
        <v>230</v>
      </c>
      <c r="H157" s="20">
        <f t="shared" si="64"/>
        <v>305</v>
      </c>
      <c r="I157" s="20">
        <f t="shared" si="64"/>
        <v>297</v>
      </c>
      <c r="J157" s="20">
        <f t="shared" si="64"/>
        <v>327</v>
      </c>
      <c r="K157" s="9">
        <f t="shared" si="63"/>
        <v>402.38643853072364</v>
      </c>
      <c r="L157" s="9">
        <f t="shared" si="63"/>
        <v>470.13717861792753</v>
      </c>
      <c r="M157" s="9">
        <f t="shared" si="63"/>
        <v>549.4944454924331</v>
      </c>
      <c r="N157" s="9">
        <f t="shared" si="63"/>
        <v>642.46982007848976</v>
      </c>
      <c r="O157" s="9">
        <f t="shared" si="63"/>
        <v>751.42618517474091</v>
      </c>
      <c r="P157" s="9">
        <f t="shared" si="63"/>
        <v>879.13937886363044</v>
      </c>
    </row>
    <row r="158" spans="1:16" ht="15.75" customHeight="1" x14ac:dyDescent="0.3">
      <c r="A158" s="27" t="s">
        <v>64</v>
      </c>
      <c r="B158" s="20">
        <f t="shared" si="64"/>
        <v>16611</v>
      </c>
      <c r="C158" s="20">
        <f t="shared" si="64"/>
        <v>15408</v>
      </c>
      <c r="D158" s="20">
        <f t="shared" si="64"/>
        <v>13140</v>
      </c>
      <c r="E158" s="20">
        <f t="shared" si="64"/>
        <v>5638</v>
      </c>
      <c r="F158" s="20">
        <f t="shared" si="64"/>
        <v>7974</v>
      </c>
      <c r="G158" s="20">
        <f t="shared" si="64"/>
        <v>9581</v>
      </c>
      <c r="H158" s="20">
        <f t="shared" si="64"/>
        <v>14608</v>
      </c>
      <c r="I158" s="20">
        <f t="shared" si="64"/>
        <v>15602</v>
      </c>
      <c r="J158" s="20">
        <f t="shared" si="64"/>
        <v>25077</v>
      </c>
      <c r="K158" s="9">
        <f t="shared" si="63"/>
        <v>34912.425611241044</v>
      </c>
      <c r="L158" s="9">
        <f t="shared" si="63"/>
        <v>40790.711872671367</v>
      </c>
      <c r="M158" s="9">
        <f t="shared" si="63"/>
        <v>47676.020151409582</v>
      </c>
      <c r="N158" s="9">
        <f t="shared" si="63"/>
        <v>55742.882098262031</v>
      </c>
      <c r="O158" s="9">
        <f t="shared" si="63"/>
        <v>65196.309517893234</v>
      </c>
      <c r="P158" s="9">
        <f t="shared" si="63"/>
        <v>76277.143629793674</v>
      </c>
    </row>
    <row r="159" spans="1:16" ht="15.75" customHeight="1" x14ac:dyDescent="0.3">
      <c r="A159" s="27" t="s">
        <v>65</v>
      </c>
      <c r="B159" s="20">
        <f t="shared" si="64"/>
        <v>4906</v>
      </c>
      <c r="C159" s="20">
        <f t="shared" si="64"/>
        <v>4910</v>
      </c>
      <c r="D159" s="20">
        <f t="shared" si="64"/>
        <v>4115</v>
      </c>
      <c r="E159" s="20">
        <f t="shared" si="64"/>
        <v>4277</v>
      </c>
      <c r="F159" s="20">
        <f t="shared" si="64"/>
        <v>5272</v>
      </c>
      <c r="G159" s="20">
        <f t="shared" si="64"/>
        <v>0</v>
      </c>
      <c r="H159" s="20">
        <f t="shared" si="64"/>
        <v>0</v>
      </c>
      <c r="I159" s="20">
        <f t="shared" si="64"/>
        <v>0</v>
      </c>
      <c r="J159" s="20">
        <f t="shared" si="64"/>
        <v>0</v>
      </c>
      <c r="K159" s="9">
        <f t="shared" si="63"/>
        <v>0</v>
      </c>
      <c r="L159" s="9">
        <f t="shared" si="63"/>
        <v>0</v>
      </c>
      <c r="M159" s="9">
        <f t="shared" si="63"/>
        <v>0</v>
      </c>
      <c r="N159" s="9">
        <f t="shared" si="63"/>
        <v>0</v>
      </c>
      <c r="O159" s="9">
        <f t="shared" si="63"/>
        <v>0</v>
      </c>
      <c r="P159" s="9">
        <f t="shared" si="63"/>
        <v>0</v>
      </c>
    </row>
    <row r="160" spans="1:16" ht="15.75" customHeight="1" x14ac:dyDescent="0.3">
      <c r="A160" s="1" t="s">
        <v>54</v>
      </c>
      <c r="B160" s="20">
        <f t="shared" ref="B160:J160" si="65">B91+B90+B89</f>
        <v>12896</v>
      </c>
      <c r="C160" s="20">
        <f t="shared" si="65"/>
        <v>22739</v>
      </c>
      <c r="D160" s="20">
        <f t="shared" si="65"/>
        <v>15019</v>
      </c>
      <c r="E160" s="20">
        <f t="shared" si="65"/>
        <v>55419</v>
      </c>
      <c r="F160" s="20">
        <f t="shared" si="65"/>
        <v>17263</v>
      </c>
      <c r="G160" s="20">
        <f t="shared" si="65"/>
        <v>97399</v>
      </c>
      <c r="H160" s="20">
        <f t="shared" si="65"/>
        <v>66931</v>
      </c>
      <c r="I160" s="20">
        <f t="shared" si="65"/>
        <v>26025</v>
      </c>
      <c r="J160" s="20">
        <f t="shared" si="65"/>
        <v>73511</v>
      </c>
      <c r="K160" s="9">
        <f t="shared" si="63"/>
        <v>52368.638416861562</v>
      </c>
      <c r="L160" s="9">
        <f t="shared" si="63"/>
        <v>61186.067809007051</v>
      </c>
      <c r="M160" s="9">
        <f t="shared" si="63"/>
        <v>71514.030227114374</v>
      </c>
      <c r="N160" s="9">
        <f t="shared" si="63"/>
        <v>83614.32314739305</v>
      </c>
      <c r="O160" s="9">
        <f t="shared" si="63"/>
        <v>97794.464276839848</v>
      </c>
      <c r="P160" s="9">
        <f t="shared" si="63"/>
        <v>114415.7154446905</v>
      </c>
    </row>
    <row r="161" spans="1:16" ht="15.75" customHeight="1" x14ac:dyDescent="0.3">
      <c r="A161" s="7"/>
    </row>
    <row r="162" spans="1:16" ht="15.75" customHeight="1" x14ac:dyDescent="0.3">
      <c r="A162" s="7" t="s">
        <v>37</v>
      </c>
      <c r="B162" s="22">
        <f t="shared" ref="B162:P162" si="66">SUM(B163:B168)</f>
        <v>110441</v>
      </c>
      <c r="C162" s="22">
        <f t="shared" si="66"/>
        <v>132368</v>
      </c>
      <c r="D162" s="22">
        <f t="shared" si="66"/>
        <v>154485</v>
      </c>
      <c r="E162" s="22">
        <f t="shared" si="66"/>
        <v>141605</v>
      </c>
      <c r="F162" s="22">
        <f t="shared" si="66"/>
        <v>113054</v>
      </c>
      <c r="G162" s="22">
        <f t="shared" si="66"/>
        <v>162139</v>
      </c>
      <c r="H162" s="22">
        <f t="shared" si="66"/>
        <v>170235</v>
      </c>
      <c r="I162" s="22">
        <f t="shared" si="66"/>
        <v>227667</v>
      </c>
      <c r="J162" s="22">
        <f t="shared" si="66"/>
        <v>259518</v>
      </c>
      <c r="K162" s="26">
        <f t="shared" si="66"/>
        <v>333413.66458735196</v>
      </c>
      <c r="L162" s="26">
        <f t="shared" si="66"/>
        <v>389551.29838401161</v>
      </c>
      <c r="M162" s="26">
        <f t="shared" si="66"/>
        <v>455305.99244596157</v>
      </c>
      <c r="N162" s="26">
        <f t="shared" si="66"/>
        <v>532344.52403840248</v>
      </c>
      <c r="O162" s="26">
        <f t="shared" si="66"/>
        <v>622624.7558958804</v>
      </c>
      <c r="P162" s="26">
        <f t="shared" si="66"/>
        <v>728446.72166452964</v>
      </c>
    </row>
    <row r="163" spans="1:16" ht="15.75" customHeight="1" x14ac:dyDescent="0.3">
      <c r="A163" s="1" t="s">
        <v>38</v>
      </c>
      <c r="B163" s="20">
        <f t="shared" ref="B163:J164" si="67">B56</f>
        <v>7956</v>
      </c>
      <c r="C163" s="20">
        <f t="shared" si="67"/>
        <v>8036</v>
      </c>
      <c r="D163" s="20">
        <f t="shared" si="67"/>
        <v>8541</v>
      </c>
      <c r="E163" s="20">
        <f t="shared" si="67"/>
        <v>6729</v>
      </c>
      <c r="F163" s="20">
        <f t="shared" si="67"/>
        <v>6962</v>
      </c>
      <c r="G163" s="20">
        <f t="shared" si="67"/>
        <v>8547</v>
      </c>
      <c r="H163" s="20">
        <f t="shared" si="67"/>
        <v>11113</v>
      </c>
      <c r="I163" s="20">
        <f t="shared" si="67"/>
        <v>11584</v>
      </c>
      <c r="J163" s="20">
        <f t="shared" si="67"/>
        <v>12030</v>
      </c>
      <c r="K163" s="9">
        <f t="shared" ref="K163:P168" si="68">K$170*K182</f>
        <v>17456.212805620522</v>
      </c>
      <c r="L163" s="9">
        <f t="shared" si="68"/>
        <v>20395.355936335684</v>
      </c>
      <c r="M163" s="9">
        <f t="shared" si="68"/>
        <v>23838.010075704791</v>
      </c>
      <c r="N163" s="9">
        <f t="shared" si="68"/>
        <v>27871.441049131015</v>
      </c>
      <c r="O163" s="9">
        <f t="shared" si="68"/>
        <v>32598.154758946617</v>
      </c>
      <c r="P163" s="9">
        <f t="shared" si="68"/>
        <v>38138.571814896837</v>
      </c>
    </row>
    <row r="164" spans="1:16" ht="15.75" customHeight="1" x14ac:dyDescent="0.3">
      <c r="A164" s="1" t="s">
        <v>39</v>
      </c>
      <c r="B164" s="20">
        <f t="shared" si="67"/>
        <v>774</v>
      </c>
      <c r="C164" s="20">
        <f t="shared" si="67"/>
        <v>4838</v>
      </c>
      <c r="D164" s="20">
        <f t="shared" si="67"/>
        <v>1108</v>
      </c>
      <c r="E164" s="20">
        <f t="shared" si="67"/>
        <v>1496</v>
      </c>
      <c r="F164" s="20">
        <f t="shared" si="67"/>
        <v>1063</v>
      </c>
      <c r="G164" s="20">
        <f t="shared" si="67"/>
        <v>4962</v>
      </c>
      <c r="H164" s="20">
        <f t="shared" si="67"/>
        <v>3819</v>
      </c>
      <c r="I164" s="20">
        <f t="shared" si="67"/>
        <v>12226</v>
      </c>
      <c r="J164" s="20">
        <f t="shared" si="67"/>
        <v>509</v>
      </c>
      <c r="K164" s="9">
        <f t="shared" si="68"/>
        <v>1745.6212805620521</v>
      </c>
      <c r="L164" s="9">
        <f t="shared" si="68"/>
        <v>2039.5355936335684</v>
      </c>
      <c r="M164" s="9">
        <f t="shared" si="68"/>
        <v>2383.8010075704792</v>
      </c>
      <c r="N164" s="9">
        <f t="shared" si="68"/>
        <v>2787.1441049131017</v>
      </c>
      <c r="O164" s="9">
        <f t="shared" si="68"/>
        <v>3259.8154758946616</v>
      </c>
      <c r="P164" s="9">
        <f t="shared" si="68"/>
        <v>3813.8571814896836</v>
      </c>
    </row>
    <row r="165" spans="1:16" ht="15.75" customHeight="1" x14ac:dyDescent="0.3">
      <c r="A165" s="1" t="s">
        <v>41</v>
      </c>
      <c r="B165" s="20">
        <f t="shared" ref="B165:J165" si="69">B58+B59</f>
        <v>74089</v>
      </c>
      <c r="C165" s="20">
        <f t="shared" si="69"/>
        <v>83692</v>
      </c>
      <c r="D165" s="20">
        <f t="shared" si="69"/>
        <v>104993</v>
      </c>
      <c r="E165" s="20">
        <f t="shared" si="69"/>
        <v>96377</v>
      </c>
      <c r="F165" s="20">
        <f t="shared" si="69"/>
        <v>75091</v>
      </c>
      <c r="G165" s="20">
        <f t="shared" si="69"/>
        <v>101681</v>
      </c>
      <c r="H165" s="20">
        <f t="shared" si="69"/>
        <v>97732</v>
      </c>
      <c r="I165" s="20">
        <f t="shared" si="69"/>
        <v>136755</v>
      </c>
      <c r="J165" s="20">
        <f t="shared" si="69"/>
        <v>169884</v>
      </c>
      <c r="K165" s="9">
        <f t="shared" si="68"/>
        <v>209474.55366744625</v>
      </c>
      <c r="L165" s="9">
        <f t="shared" si="68"/>
        <v>244744.2712360282</v>
      </c>
      <c r="M165" s="9">
        <f t="shared" si="68"/>
        <v>286056.12090845749</v>
      </c>
      <c r="N165" s="9">
        <f t="shared" si="68"/>
        <v>334457.2925895722</v>
      </c>
      <c r="O165" s="9">
        <f t="shared" si="68"/>
        <v>391177.85710735939</v>
      </c>
      <c r="P165" s="9">
        <f t="shared" si="68"/>
        <v>457662.86177876202</v>
      </c>
    </row>
    <row r="166" spans="1:16" ht="15.75" customHeight="1" x14ac:dyDescent="0.3">
      <c r="A166" s="1" t="s">
        <v>42</v>
      </c>
      <c r="B166" s="20">
        <f t="shared" ref="B166:J168" si="70">B60</f>
        <v>11650</v>
      </c>
      <c r="C166" s="20">
        <f t="shared" si="70"/>
        <v>18278</v>
      </c>
      <c r="D166" s="20">
        <f t="shared" si="70"/>
        <v>20896</v>
      </c>
      <c r="E166" s="20">
        <f t="shared" si="70"/>
        <v>16329</v>
      </c>
      <c r="F166" s="20">
        <f t="shared" si="70"/>
        <v>14091</v>
      </c>
      <c r="G166" s="20">
        <f t="shared" si="70"/>
        <v>26801</v>
      </c>
      <c r="H166" s="20">
        <f t="shared" si="70"/>
        <v>28686</v>
      </c>
      <c r="I166" s="20">
        <f t="shared" si="70"/>
        <v>33372</v>
      </c>
      <c r="J166" s="20">
        <f t="shared" si="70"/>
        <v>41739</v>
      </c>
      <c r="K166" s="9">
        <f t="shared" si="68"/>
        <v>52368.638416861562</v>
      </c>
      <c r="L166" s="9">
        <f t="shared" si="68"/>
        <v>61186.067809007051</v>
      </c>
      <c r="M166" s="9">
        <f t="shared" si="68"/>
        <v>71514.030227114374</v>
      </c>
      <c r="N166" s="9">
        <f t="shared" si="68"/>
        <v>83614.32314739305</v>
      </c>
      <c r="O166" s="9">
        <f t="shared" si="68"/>
        <v>97794.464276839848</v>
      </c>
      <c r="P166" s="9">
        <f t="shared" si="68"/>
        <v>114415.7154446905</v>
      </c>
    </row>
    <row r="167" spans="1:16" ht="15.75" customHeight="1" x14ac:dyDescent="0.3">
      <c r="A167" s="1" t="s">
        <v>43</v>
      </c>
      <c r="B167" s="20">
        <f t="shared" si="70"/>
        <v>3994</v>
      </c>
      <c r="C167" s="20">
        <f t="shared" si="70"/>
        <v>4496</v>
      </c>
      <c r="D167" s="20">
        <f t="shared" si="70"/>
        <v>5609</v>
      </c>
      <c r="E167" s="20">
        <f t="shared" si="70"/>
        <v>6254</v>
      </c>
      <c r="F167" s="20">
        <f t="shared" si="70"/>
        <v>6807</v>
      </c>
      <c r="G167" s="20">
        <f t="shared" si="70"/>
        <v>7428</v>
      </c>
      <c r="H167" s="20">
        <f t="shared" si="70"/>
        <v>8613</v>
      </c>
      <c r="I167" s="20">
        <f t="shared" si="70"/>
        <v>10830</v>
      </c>
      <c r="J167" s="20">
        <f t="shared" si="70"/>
        <v>13119</v>
      </c>
      <c r="K167" s="9">
        <f t="shared" si="68"/>
        <v>17456.212805620522</v>
      </c>
      <c r="L167" s="9">
        <f t="shared" si="68"/>
        <v>20395.355936335684</v>
      </c>
      <c r="M167" s="9">
        <f t="shared" si="68"/>
        <v>23838.010075704791</v>
      </c>
      <c r="N167" s="9">
        <f t="shared" si="68"/>
        <v>27871.441049131015</v>
      </c>
      <c r="O167" s="9">
        <f t="shared" si="68"/>
        <v>32598.154758946617</v>
      </c>
      <c r="P167" s="9">
        <f t="shared" si="68"/>
        <v>38138.571814896837</v>
      </c>
    </row>
    <row r="168" spans="1:16" ht="15.75" customHeight="1" x14ac:dyDescent="0.3">
      <c r="A168" s="1" t="s">
        <v>44</v>
      </c>
      <c r="B168" s="20">
        <f t="shared" si="70"/>
        <v>11978</v>
      </c>
      <c r="C168" s="20">
        <f t="shared" si="70"/>
        <v>13028</v>
      </c>
      <c r="D168" s="20">
        <f t="shared" si="70"/>
        <v>13338</v>
      </c>
      <c r="E168" s="20">
        <f t="shared" si="70"/>
        <v>14420</v>
      </c>
      <c r="F168" s="20">
        <f t="shared" si="70"/>
        <v>9040</v>
      </c>
      <c r="G168" s="20">
        <f t="shared" si="70"/>
        <v>12720</v>
      </c>
      <c r="H168" s="20">
        <f t="shared" si="70"/>
        <v>20272</v>
      </c>
      <c r="I168" s="20">
        <f t="shared" si="70"/>
        <v>22900</v>
      </c>
      <c r="J168" s="20">
        <f t="shared" si="70"/>
        <v>22237</v>
      </c>
      <c r="K168" s="9">
        <f t="shared" si="68"/>
        <v>34912.425611241044</v>
      </c>
      <c r="L168" s="9">
        <f t="shared" si="68"/>
        <v>40790.711872671367</v>
      </c>
      <c r="M168" s="9">
        <f t="shared" si="68"/>
        <v>47676.020151409582</v>
      </c>
      <c r="N168" s="9">
        <f t="shared" si="68"/>
        <v>55742.882098262031</v>
      </c>
      <c r="O168" s="9">
        <f t="shared" si="68"/>
        <v>65196.309517893234</v>
      </c>
      <c r="P168" s="9">
        <f t="shared" si="68"/>
        <v>76277.143629793674</v>
      </c>
    </row>
    <row r="169" spans="1:16" ht="15.75" customHeight="1" x14ac:dyDescent="0.3">
      <c r="A169" s="7"/>
    </row>
    <row r="170" spans="1:16" ht="15.75" customHeight="1" x14ac:dyDescent="0.3">
      <c r="A170" s="1" t="s">
        <v>89</v>
      </c>
      <c r="B170" s="22">
        <f t="shared" ref="B170:P170" si="71">B3</f>
        <v>570615</v>
      </c>
      <c r="C170" s="22">
        <f t="shared" si="71"/>
        <v>680850</v>
      </c>
      <c r="D170" s="22">
        <f t="shared" si="71"/>
        <v>798094</v>
      </c>
      <c r="E170" s="22">
        <f t="shared" si="71"/>
        <v>860685</v>
      </c>
      <c r="F170" s="22">
        <f t="shared" si="71"/>
        <v>756600</v>
      </c>
      <c r="G170" s="22">
        <f t="shared" si="71"/>
        <v>703720</v>
      </c>
      <c r="H170" s="22">
        <f t="shared" si="71"/>
        <v>883298</v>
      </c>
      <c r="I170" s="22">
        <f t="shared" si="71"/>
        <v>1184099</v>
      </c>
      <c r="J170" s="22">
        <f t="shared" si="71"/>
        <v>1418582</v>
      </c>
      <c r="K170" s="26">
        <f t="shared" si="71"/>
        <v>1745621.280562052</v>
      </c>
      <c r="L170" s="26">
        <f t="shared" si="71"/>
        <v>2039535.5936335684</v>
      </c>
      <c r="M170" s="26">
        <f t="shared" si="71"/>
        <v>2383801.0075704791</v>
      </c>
      <c r="N170" s="26">
        <f t="shared" si="71"/>
        <v>2787144.1049131015</v>
      </c>
      <c r="O170" s="26">
        <f t="shared" si="71"/>
        <v>3259815.4758946616</v>
      </c>
      <c r="P170" s="26">
        <f t="shared" si="71"/>
        <v>3813857.1814896837</v>
      </c>
    </row>
    <row r="171" spans="1:16" ht="15.75" customHeight="1" x14ac:dyDescent="0.3">
      <c r="A171" s="7"/>
    </row>
    <row r="172" spans="1:16" ht="15.75" customHeight="1" x14ac:dyDescent="0.3">
      <c r="A172" s="25" t="s">
        <v>90</v>
      </c>
    </row>
    <row r="173" spans="1:16" ht="15.75" customHeight="1" x14ac:dyDescent="0.3">
      <c r="A173" s="7" t="s">
        <v>59</v>
      </c>
      <c r="B173" s="30"/>
      <c r="C173" s="30"/>
      <c r="D173" s="30"/>
      <c r="E173" s="30"/>
      <c r="F173" s="30"/>
      <c r="G173" s="30"/>
      <c r="H173" s="30"/>
      <c r="I173" s="30"/>
      <c r="J173" s="30"/>
    </row>
    <row r="174" spans="1:16" ht="15.75" customHeight="1" x14ac:dyDescent="0.3">
      <c r="A174" s="27" t="s">
        <v>60</v>
      </c>
      <c r="B174" s="30">
        <f t="shared" ref="B174:J179" si="72">B155/B$170</f>
        <v>5.4898661969979758E-2</v>
      </c>
      <c r="C174" s="30">
        <f t="shared" si="72"/>
        <v>4.7935668649482267E-2</v>
      </c>
      <c r="D174" s="30">
        <f t="shared" si="72"/>
        <v>3.9596839470037365E-2</v>
      </c>
      <c r="E174" s="30">
        <f t="shared" si="72"/>
        <v>3.8604135078454949E-2</v>
      </c>
      <c r="F174" s="30">
        <f t="shared" si="72"/>
        <v>4.2478191911181601E-2</v>
      </c>
      <c r="G174" s="30">
        <f t="shared" si="72"/>
        <v>4.3326891377252319E-2</v>
      </c>
      <c r="H174" s="30">
        <f t="shared" si="72"/>
        <v>3.9989901482851767E-2</v>
      </c>
      <c r="I174" s="30">
        <f t="shared" si="72"/>
        <v>4.5971662842380578E-2</v>
      </c>
      <c r="J174" s="30">
        <f t="shared" si="72"/>
        <v>3.7488844494008806E-2</v>
      </c>
      <c r="K174" s="33">
        <v>0.04</v>
      </c>
      <c r="L174" s="34">
        <f t="shared" ref="L174:P175" si="73">K174</f>
        <v>0.04</v>
      </c>
      <c r="M174" s="34">
        <f t="shared" si="73"/>
        <v>0.04</v>
      </c>
      <c r="N174" s="34">
        <f t="shared" si="73"/>
        <v>0.04</v>
      </c>
      <c r="O174" s="34">
        <f t="shared" si="73"/>
        <v>0.04</v>
      </c>
      <c r="P174" s="34">
        <f t="shared" si="73"/>
        <v>0.04</v>
      </c>
    </row>
    <row r="175" spans="1:16" ht="15.75" customHeight="1" x14ac:dyDescent="0.3">
      <c r="A175" s="27" t="s">
        <v>61</v>
      </c>
      <c r="B175" s="30">
        <f t="shared" si="72"/>
        <v>2.3192520350849521E-2</v>
      </c>
      <c r="C175" s="30">
        <f t="shared" si="72"/>
        <v>1.7663215098773593E-2</v>
      </c>
      <c r="D175" s="30">
        <f t="shared" si="72"/>
        <v>1.8361245667803543E-2</v>
      </c>
      <c r="E175" s="30">
        <f t="shared" si="72"/>
        <v>2.6871619698263592E-2</v>
      </c>
      <c r="F175" s="30">
        <f t="shared" si="72"/>
        <v>2.8149616706317736E-2</v>
      </c>
      <c r="G175" s="30">
        <f t="shared" si="72"/>
        <v>1.8187631444324448E-2</v>
      </c>
      <c r="H175" s="30">
        <f t="shared" si="72"/>
        <v>2.3032996791569775E-2</v>
      </c>
      <c r="I175" s="30">
        <f t="shared" si="72"/>
        <v>2.7740923689657707E-2</v>
      </c>
      <c r="J175" s="30">
        <f t="shared" si="72"/>
        <v>3.2404189535747668E-2</v>
      </c>
      <c r="K175" s="33">
        <v>0.03</v>
      </c>
      <c r="L175" s="34">
        <f t="shared" si="73"/>
        <v>0.03</v>
      </c>
      <c r="M175" s="34">
        <f t="shared" si="73"/>
        <v>0.03</v>
      </c>
      <c r="N175" s="34">
        <f t="shared" si="73"/>
        <v>0.03</v>
      </c>
      <c r="O175" s="34">
        <f t="shared" si="73"/>
        <v>0.03</v>
      </c>
      <c r="P175" s="34">
        <f t="shared" si="73"/>
        <v>0.03</v>
      </c>
    </row>
    <row r="176" spans="1:16" ht="15.75" customHeight="1" x14ac:dyDescent="0.3">
      <c r="A176" s="27" t="s">
        <v>63</v>
      </c>
      <c r="B176" s="30">
        <f t="shared" si="72"/>
        <v>5.4327348562515883E-5</v>
      </c>
      <c r="C176" s="30">
        <f t="shared" si="72"/>
        <v>3.6718807373136523E-5</v>
      </c>
      <c r="D176" s="30">
        <f t="shared" si="72"/>
        <v>3.7589557119838017E-5</v>
      </c>
      <c r="E176" s="30">
        <f t="shared" si="72"/>
        <v>1.8706030661624172E-4</v>
      </c>
      <c r="F176" s="30">
        <f t="shared" si="72"/>
        <v>2.2468939994713189E-4</v>
      </c>
      <c r="G176" s="30">
        <f t="shared" si="72"/>
        <v>3.268345364633661E-4</v>
      </c>
      <c r="H176" s="30">
        <f t="shared" si="72"/>
        <v>3.4529683074115418E-4</v>
      </c>
      <c r="I176" s="30">
        <f t="shared" si="72"/>
        <v>2.5082362201133519E-4</v>
      </c>
      <c r="J176" s="30">
        <f t="shared" si="72"/>
        <v>2.3051187735358266E-4</v>
      </c>
      <c r="K176" s="34">
        <f t="shared" ref="K176:P177" si="74">J176</f>
        <v>2.3051187735358266E-4</v>
      </c>
      <c r="L176" s="34">
        <f t="shared" si="74"/>
        <v>2.3051187735358266E-4</v>
      </c>
      <c r="M176" s="34">
        <f t="shared" si="74"/>
        <v>2.3051187735358266E-4</v>
      </c>
      <c r="N176" s="34">
        <f t="shared" si="74"/>
        <v>2.3051187735358266E-4</v>
      </c>
      <c r="O176" s="34">
        <f t="shared" si="74"/>
        <v>2.3051187735358266E-4</v>
      </c>
      <c r="P176" s="34">
        <f t="shared" si="74"/>
        <v>2.3051187735358266E-4</v>
      </c>
    </row>
    <row r="177" spans="1:16" ht="15.75" customHeight="1" x14ac:dyDescent="0.3">
      <c r="A177" s="27" t="s">
        <v>64</v>
      </c>
      <c r="B177" s="30">
        <f t="shared" si="72"/>
        <v>2.9110696353933912E-2</v>
      </c>
      <c r="C177" s="30">
        <f t="shared" si="72"/>
        <v>2.26305353602115E-2</v>
      </c>
      <c r="D177" s="30">
        <f t="shared" si="72"/>
        <v>1.6464226018489049E-2</v>
      </c>
      <c r="E177" s="30">
        <f t="shared" si="72"/>
        <v>6.5505963273439181E-3</v>
      </c>
      <c r="F177" s="30">
        <f t="shared" si="72"/>
        <v>1.0539254559873116E-2</v>
      </c>
      <c r="G177" s="30">
        <f t="shared" si="72"/>
        <v>1.361478997328483E-2</v>
      </c>
      <c r="H177" s="30">
        <f t="shared" si="72"/>
        <v>1.6538020011366492E-2</v>
      </c>
      <c r="I177" s="30">
        <f t="shared" si="72"/>
        <v>1.3176263133403542E-2</v>
      </c>
      <c r="J177" s="30">
        <f t="shared" si="72"/>
        <v>1.7677511768794472E-2</v>
      </c>
      <c r="K177" s="33">
        <v>0.02</v>
      </c>
      <c r="L177" s="34">
        <f t="shared" si="74"/>
        <v>0.02</v>
      </c>
      <c r="M177" s="34">
        <f t="shared" si="74"/>
        <v>0.02</v>
      </c>
      <c r="N177" s="34">
        <f t="shared" si="74"/>
        <v>0.02</v>
      </c>
      <c r="O177" s="34">
        <f t="shared" si="74"/>
        <v>0.02</v>
      </c>
      <c r="P177" s="34">
        <f t="shared" si="74"/>
        <v>0.02</v>
      </c>
    </row>
    <row r="178" spans="1:16" ht="15.75" customHeight="1" x14ac:dyDescent="0.3">
      <c r="A178" s="27" t="s">
        <v>65</v>
      </c>
      <c r="B178" s="30">
        <f t="shared" si="72"/>
        <v>8.5977410337968688E-3</v>
      </c>
      <c r="C178" s="30">
        <f t="shared" si="72"/>
        <v>7.2115737680840128E-3</v>
      </c>
      <c r="D178" s="30">
        <f t="shared" si="72"/>
        <v>5.1560342516044477E-3</v>
      </c>
      <c r="E178" s="30">
        <f t="shared" si="72"/>
        <v>4.9692977105445079E-3</v>
      </c>
      <c r="F178" s="30">
        <f t="shared" si="72"/>
        <v>6.9680148030663493E-3</v>
      </c>
      <c r="G178" s="30">
        <f t="shared" si="72"/>
        <v>0</v>
      </c>
      <c r="H178" s="30">
        <f t="shared" si="72"/>
        <v>0</v>
      </c>
      <c r="I178" s="30">
        <f t="shared" si="72"/>
        <v>0</v>
      </c>
      <c r="J178" s="30">
        <f t="shared" si="72"/>
        <v>0</v>
      </c>
      <c r="K178" s="34">
        <f t="shared" ref="K178:P179" si="75">J178</f>
        <v>0</v>
      </c>
      <c r="L178" s="34">
        <f t="shared" si="75"/>
        <v>0</v>
      </c>
      <c r="M178" s="34">
        <f t="shared" si="75"/>
        <v>0</v>
      </c>
      <c r="N178" s="34">
        <f t="shared" si="75"/>
        <v>0</v>
      </c>
      <c r="O178" s="34">
        <f t="shared" si="75"/>
        <v>0</v>
      </c>
      <c r="P178" s="34">
        <f t="shared" si="75"/>
        <v>0</v>
      </c>
    </row>
    <row r="179" spans="1:16" ht="15.75" customHeight="1" x14ac:dyDescent="0.3">
      <c r="A179" s="1" t="s">
        <v>54</v>
      </c>
      <c r="B179" s="30">
        <f t="shared" si="72"/>
        <v>2.2600177002006606E-2</v>
      </c>
      <c r="C179" s="30">
        <f t="shared" si="72"/>
        <v>3.3397958434310052E-2</v>
      </c>
      <c r="D179" s="30">
        <f t="shared" si="72"/>
        <v>1.8818585279428236E-2</v>
      </c>
      <c r="E179" s="30">
        <f t="shared" si="72"/>
        <v>6.4389410760034155E-2</v>
      </c>
      <c r="F179" s="30">
        <f t="shared" si="72"/>
        <v>2.281654771345493E-2</v>
      </c>
      <c r="G179" s="30">
        <f t="shared" si="72"/>
        <v>0.13840590007389303</v>
      </c>
      <c r="H179" s="30">
        <f t="shared" si="72"/>
        <v>7.5773974355200627E-2</v>
      </c>
      <c r="I179" s="30">
        <f t="shared" si="72"/>
        <v>2.1978736575235684E-2</v>
      </c>
      <c r="J179" s="30">
        <f t="shared" si="72"/>
        <v>5.1820056930089342E-2</v>
      </c>
      <c r="K179" s="33">
        <v>0.03</v>
      </c>
      <c r="L179" s="34">
        <f t="shared" si="75"/>
        <v>0.03</v>
      </c>
      <c r="M179" s="34">
        <f t="shared" si="75"/>
        <v>0.03</v>
      </c>
      <c r="N179" s="34">
        <f t="shared" si="75"/>
        <v>0.03</v>
      </c>
      <c r="O179" s="34">
        <f t="shared" si="75"/>
        <v>0.03</v>
      </c>
      <c r="P179" s="34">
        <f t="shared" si="75"/>
        <v>0.03</v>
      </c>
    </row>
    <row r="180" spans="1:16" ht="15.75" customHeight="1" x14ac:dyDescent="0.3">
      <c r="A180" s="7"/>
      <c r="B180" s="30"/>
      <c r="C180" s="30"/>
      <c r="D180" s="30"/>
      <c r="E180" s="30"/>
      <c r="F180" s="30"/>
      <c r="G180" s="30"/>
      <c r="H180" s="30"/>
      <c r="I180" s="30"/>
      <c r="J180" s="30"/>
    </row>
    <row r="181" spans="1:16" ht="15.75" customHeight="1" x14ac:dyDescent="0.3">
      <c r="A181" s="7" t="s">
        <v>37</v>
      </c>
      <c r="B181" s="30"/>
      <c r="C181" s="30"/>
      <c r="D181" s="30"/>
      <c r="E181" s="30"/>
      <c r="F181" s="30"/>
      <c r="G181" s="30"/>
      <c r="H181" s="30"/>
      <c r="I181" s="30"/>
      <c r="J181" s="30"/>
    </row>
    <row r="182" spans="1:16" ht="15.75" customHeight="1" x14ac:dyDescent="0.3">
      <c r="A182" s="1" t="s">
        <v>38</v>
      </c>
      <c r="B182" s="30">
        <f t="shared" ref="B182:J187" si="76">B163/B$170</f>
        <v>1.3942851134302462E-2</v>
      </c>
      <c r="C182" s="30">
        <f t="shared" si="76"/>
        <v>1.1802893442021003E-2</v>
      </c>
      <c r="D182" s="30">
        <f t="shared" si="76"/>
        <v>1.0701746912017883E-2</v>
      </c>
      <c r="E182" s="30">
        <f t="shared" si="76"/>
        <v>7.818191324352115E-3</v>
      </c>
      <c r="F182" s="30">
        <f t="shared" si="76"/>
        <v>9.2016917790113673E-3</v>
      </c>
      <c r="G182" s="30">
        <f t="shared" si="76"/>
        <v>1.2145455578923435E-2</v>
      </c>
      <c r="H182" s="30">
        <f t="shared" si="76"/>
        <v>1.2581257967299824E-2</v>
      </c>
      <c r="I182" s="30">
        <f t="shared" si="76"/>
        <v>9.7829657824219096E-3</v>
      </c>
      <c r="J182" s="30">
        <f t="shared" si="76"/>
        <v>8.4802993411730865E-3</v>
      </c>
      <c r="K182" s="33">
        <v>0.01</v>
      </c>
      <c r="L182" s="34">
        <f t="shared" ref="L182:P187" si="77">K182</f>
        <v>0.01</v>
      </c>
      <c r="M182" s="34">
        <f t="shared" si="77"/>
        <v>0.01</v>
      </c>
      <c r="N182" s="34">
        <f t="shared" si="77"/>
        <v>0.01</v>
      </c>
      <c r="O182" s="34">
        <f t="shared" si="77"/>
        <v>0.01</v>
      </c>
      <c r="P182" s="34">
        <f t="shared" si="77"/>
        <v>0.01</v>
      </c>
    </row>
    <row r="183" spans="1:16" ht="15.75" customHeight="1" x14ac:dyDescent="0.3">
      <c r="A183" s="1" t="s">
        <v>39</v>
      </c>
      <c r="B183" s="30">
        <f t="shared" si="76"/>
        <v>1.3564312189479771E-3</v>
      </c>
      <c r="C183" s="30">
        <f t="shared" si="76"/>
        <v>7.1058236028493796E-3</v>
      </c>
      <c r="D183" s="30">
        <f t="shared" si="76"/>
        <v>1.3883076429593506E-3</v>
      </c>
      <c r="E183" s="30">
        <f t="shared" si="76"/>
        <v>1.7381504266950163E-3</v>
      </c>
      <c r="F183" s="30">
        <f t="shared" si="76"/>
        <v>1.4049696008458896E-3</v>
      </c>
      <c r="G183" s="30">
        <f t="shared" si="76"/>
        <v>7.051099869266185E-3</v>
      </c>
      <c r="H183" s="30">
        <f t="shared" si="76"/>
        <v>4.3235691691818614E-3</v>
      </c>
      <c r="I183" s="30">
        <f t="shared" si="76"/>
        <v>1.0325150177476714E-2</v>
      </c>
      <c r="J183" s="30">
        <f t="shared" si="76"/>
        <v>3.5880900786842073E-4</v>
      </c>
      <c r="K183" s="33">
        <v>1E-3</v>
      </c>
      <c r="L183" s="34">
        <f t="shared" si="77"/>
        <v>1E-3</v>
      </c>
      <c r="M183" s="34">
        <f t="shared" si="77"/>
        <v>1E-3</v>
      </c>
      <c r="N183" s="34">
        <f t="shared" si="77"/>
        <v>1E-3</v>
      </c>
      <c r="O183" s="34">
        <f t="shared" si="77"/>
        <v>1E-3</v>
      </c>
      <c r="P183" s="34">
        <f t="shared" si="77"/>
        <v>1E-3</v>
      </c>
    </row>
    <row r="184" spans="1:16" ht="15.75" customHeight="1" x14ac:dyDescent="0.3">
      <c r="A184" s="1" t="s">
        <v>41</v>
      </c>
      <c r="B184" s="30">
        <f t="shared" si="76"/>
        <v>0.12984061056929805</v>
      </c>
      <c r="C184" s="30">
        <f t="shared" si="76"/>
        <v>0.12292281706690167</v>
      </c>
      <c r="D184" s="30">
        <f t="shared" si="76"/>
        <v>0.13155467902277176</v>
      </c>
      <c r="E184" s="30">
        <f t="shared" si="76"/>
        <v>0.11197708801710266</v>
      </c>
      <c r="F184" s="30">
        <f t="shared" si="76"/>
        <v>9.924795136135342E-2</v>
      </c>
      <c r="G184" s="30">
        <f t="shared" si="76"/>
        <v>0.14449070653100665</v>
      </c>
      <c r="H184" s="30">
        <f t="shared" si="76"/>
        <v>0.11064442577703108</v>
      </c>
      <c r="I184" s="30">
        <f t="shared" si="76"/>
        <v>0.11549287686249207</v>
      </c>
      <c r="J184" s="30">
        <f t="shared" si="76"/>
        <v>0.11975620725485027</v>
      </c>
      <c r="K184" s="33">
        <v>0.12</v>
      </c>
      <c r="L184" s="34">
        <f t="shared" si="77"/>
        <v>0.12</v>
      </c>
      <c r="M184" s="34">
        <f t="shared" si="77"/>
        <v>0.12</v>
      </c>
      <c r="N184" s="34">
        <f t="shared" si="77"/>
        <v>0.12</v>
      </c>
      <c r="O184" s="34">
        <f t="shared" si="77"/>
        <v>0.12</v>
      </c>
      <c r="P184" s="34">
        <f t="shared" si="77"/>
        <v>0.12</v>
      </c>
    </row>
    <row r="185" spans="1:16" ht="15.75" customHeight="1" x14ac:dyDescent="0.3">
      <c r="A185" s="1" t="s">
        <v>42</v>
      </c>
      <c r="B185" s="30">
        <f t="shared" si="76"/>
        <v>2.0416568088816454E-2</v>
      </c>
      <c r="C185" s="30">
        <f t="shared" si="76"/>
        <v>2.6845854446647572E-2</v>
      </c>
      <c r="D185" s="30">
        <f t="shared" si="76"/>
        <v>2.6182379519204504E-2</v>
      </c>
      <c r="E185" s="30">
        <f t="shared" si="76"/>
        <v>1.8972097805817458E-2</v>
      </c>
      <c r="F185" s="30">
        <f t="shared" si="76"/>
        <v>1.8624107850911974E-2</v>
      </c>
      <c r="G185" s="30">
        <f t="shared" si="76"/>
        <v>3.8084749616324673E-2</v>
      </c>
      <c r="H185" s="30">
        <f t="shared" si="76"/>
        <v>3.2476016021772948E-2</v>
      </c>
      <c r="I185" s="30">
        <f t="shared" si="76"/>
        <v>2.8183454255091847E-2</v>
      </c>
      <c r="J185" s="30">
        <f t="shared" si="76"/>
        <v>2.9423043574499042E-2</v>
      </c>
      <c r="K185" s="33">
        <v>0.03</v>
      </c>
      <c r="L185" s="34">
        <f t="shared" si="77"/>
        <v>0.03</v>
      </c>
      <c r="M185" s="34">
        <f t="shared" si="77"/>
        <v>0.03</v>
      </c>
      <c r="N185" s="34">
        <f t="shared" si="77"/>
        <v>0.03</v>
      </c>
      <c r="O185" s="34">
        <f t="shared" si="77"/>
        <v>0.03</v>
      </c>
      <c r="P185" s="34">
        <f t="shared" si="77"/>
        <v>0.03</v>
      </c>
    </row>
    <row r="186" spans="1:16" ht="15.75" customHeight="1" x14ac:dyDescent="0.3">
      <c r="A186" s="1" t="s">
        <v>43</v>
      </c>
      <c r="B186" s="30">
        <f t="shared" si="76"/>
        <v>6.9994654889899491E-3</v>
      </c>
      <c r="C186" s="30">
        <f t="shared" si="76"/>
        <v>6.6035103179848719E-3</v>
      </c>
      <c r="D186" s="30">
        <f t="shared" si="76"/>
        <v>7.0279941961723805E-3</v>
      </c>
      <c r="E186" s="30">
        <f t="shared" si="76"/>
        <v>7.2663053265712776E-3</v>
      </c>
      <c r="F186" s="30">
        <f t="shared" si="76"/>
        <v>8.9968279143536872E-3</v>
      </c>
      <c r="G186" s="30">
        <f t="shared" si="76"/>
        <v>1.0555334508042972E-2</v>
      </c>
      <c r="H186" s="30">
        <f t="shared" si="76"/>
        <v>9.750956075978888E-3</v>
      </c>
      <c r="I186" s="30">
        <f t="shared" si="76"/>
        <v>9.1461947016254555E-3</v>
      </c>
      <c r="J186" s="30">
        <f t="shared" si="76"/>
        <v>9.2479673363964864E-3</v>
      </c>
      <c r="K186" s="33">
        <v>0.01</v>
      </c>
      <c r="L186" s="34">
        <f t="shared" si="77"/>
        <v>0.01</v>
      </c>
      <c r="M186" s="34">
        <f t="shared" si="77"/>
        <v>0.01</v>
      </c>
      <c r="N186" s="34">
        <f t="shared" si="77"/>
        <v>0.01</v>
      </c>
      <c r="O186" s="34">
        <f t="shared" si="77"/>
        <v>0.01</v>
      </c>
      <c r="P186" s="34">
        <f t="shared" si="77"/>
        <v>0.01</v>
      </c>
    </row>
    <row r="187" spans="1:16" ht="15.75" customHeight="1" x14ac:dyDescent="0.3">
      <c r="A187" s="1" t="s">
        <v>44</v>
      </c>
      <c r="B187" s="30">
        <f t="shared" si="76"/>
        <v>2.099138648651017E-2</v>
      </c>
      <c r="C187" s="30">
        <f t="shared" si="76"/>
        <v>1.9134904898288903E-2</v>
      </c>
      <c r="D187" s="30">
        <f t="shared" si="76"/>
        <v>1.6712317095479982E-2</v>
      </c>
      <c r="E187" s="30">
        <f t="shared" si="76"/>
        <v>1.6754097027367736E-2</v>
      </c>
      <c r="F187" s="30">
        <f t="shared" si="76"/>
        <v>1.1948189267776896E-2</v>
      </c>
      <c r="G187" s="30">
        <f t="shared" si="76"/>
        <v>1.8075370886147898E-2</v>
      </c>
      <c r="H187" s="30">
        <f t="shared" si="76"/>
        <v>2.2950351976343205E-2</v>
      </c>
      <c r="I187" s="30">
        <f t="shared" si="76"/>
        <v>1.9339599138247732E-2</v>
      </c>
      <c r="J187" s="30">
        <f t="shared" si="76"/>
        <v>1.5675512589332165E-2</v>
      </c>
      <c r="K187" s="33">
        <v>0.02</v>
      </c>
      <c r="L187" s="34">
        <f t="shared" si="77"/>
        <v>0.02</v>
      </c>
      <c r="M187" s="34">
        <f t="shared" si="77"/>
        <v>0.02</v>
      </c>
      <c r="N187" s="34">
        <f t="shared" si="77"/>
        <v>0.02</v>
      </c>
      <c r="O187" s="34">
        <f t="shared" si="77"/>
        <v>0.02</v>
      </c>
      <c r="P187" s="34">
        <f t="shared" si="77"/>
        <v>0.02</v>
      </c>
    </row>
    <row r="188" spans="1:16" ht="15.75" customHeight="1" x14ac:dyDescent="0.3">
      <c r="A188" s="7"/>
    </row>
    <row r="189" spans="1:16" ht="15.75" customHeight="1" x14ac:dyDescent="0.3">
      <c r="A189" s="1" t="s">
        <v>91</v>
      </c>
      <c r="B189" s="20">
        <f t="shared" ref="B189:P189" si="78">B154-B162</f>
        <v>-31437</v>
      </c>
      <c r="C189" s="20">
        <f t="shared" si="78"/>
        <v>-44623</v>
      </c>
      <c r="D189" s="20">
        <f t="shared" si="78"/>
        <v>-75925</v>
      </c>
      <c r="E189" s="20">
        <f t="shared" si="78"/>
        <v>-19756</v>
      </c>
      <c r="F189" s="20">
        <f t="shared" si="78"/>
        <v>-28938</v>
      </c>
      <c r="G189" s="20">
        <f t="shared" si="78"/>
        <v>-11640</v>
      </c>
      <c r="H189" s="20">
        <f t="shared" si="78"/>
        <v>-32723</v>
      </c>
      <c r="I189" s="20">
        <f t="shared" si="78"/>
        <v>-98460</v>
      </c>
      <c r="J189" s="20">
        <f t="shared" si="78"/>
        <v>-61454</v>
      </c>
      <c r="K189" s="9">
        <f t="shared" si="78"/>
        <v>-123536.72448137499</v>
      </c>
      <c r="L189" s="9">
        <f t="shared" si="78"/>
        <v>-144336.88996936547</v>
      </c>
      <c r="M189" s="9">
        <f t="shared" si="78"/>
        <v>-168700.37709201162</v>
      </c>
      <c r="N189" s="9">
        <f t="shared" si="78"/>
        <v>-197244.76162875182</v>
      </c>
      <c r="O189" s="9">
        <f t="shared" si="78"/>
        <v>-230695.47260334628</v>
      </c>
      <c r="P189" s="9">
        <f t="shared" si="78"/>
        <v>-269904.72050690401</v>
      </c>
    </row>
    <row r="190" spans="1:16" ht="15.75" customHeight="1" x14ac:dyDescent="0.3">
      <c r="A190" s="1" t="s">
        <v>92</v>
      </c>
      <c r="C190" s="20">
        <f t="shared" ref="C190:P190" si="79">C189-B189</f>
        <v>-13186</v>
      </c>
      <c r="D190" s="20">
        <f t="shared" si="79"/>
        <v>-31302</v>
      </c>
      <c r="E190" s="20">
        <f t="shared" si="79"/>
        <v>56169</v>
      </c>
      <c r="F190" s="20">
        <f t="shared" si="79"/>
        <v>-9182</v>
      </c>
      <c r="G190" s="20">
        <f t="shared" si="79"/>
        <v>17298</v>
      </c>
      <c r="H190" s="20">
        <f t="shared" si="79"/>
        <v>-21083</v>
      </c>
      <c r="I190" s="20">
        <f t="shared" si="79"/>
        <v>-65737</v>
      </c>
      <c r="J190" s="20">
        <f t="shared" si="79"/>
        <v>37006</v>
      </c>
      <c r="K190" s="9">
        <f t="shared" si="79"/>
        <v>-62082.724481374986</v>
      </c>
      <c r="L190" s="9">
        <f t="shared" si="79"/>
        <v>-20800.165487990482</v>
      </c>
      <c r="M190" s="9">
        <f t="shared" si="79"/>
        <v>-24363.487122646155</v>
      </c>
      <c r="N190" s="9">
        <f t="shared" si="79"/>
        <v>-28544.384536740195</v>
      </c>
      <c r="O190" s="9">
        <f t="shared" si="79"/>
        <v>-33450.710974594462</v>
      </c>
      <c r="P190" s="9">
        <f t="shared" si="79"/>
        <v>-39209.247903557727</v>
      </c>
    </row>
    <row r="191" spans="1:16" ht="15.75" customHeight="1" x14ac:dyDescent="0.3">
      <c r="A191" s="7"/>
    </row>
    <row r="192" spans="1:16" ht="15.75" customHeight="1" x14ac:dyDescent="0.3">
      <c r="A192" s="25" t="s">
        <v>93</v>
      </c>
    </row>
    <row r="193" spans="1:16" ht="15.75" customHeight="1" x14ac:dyDescent="0.3">
      <c r="A193" s="7" t="s">
        <v>94</v>
      </c>
      <c r="B193" s="20">
        <f t="shared" ref="B193:J193" si="80">B69+B71</f>
        <v>131896</v>
      </c>
      <c r="C193" s="20">
        <f t="shared" si="80"/>
        <v>141900</v>
      </c>
      <c r="D193" s="20">
        <f t="shared" si="80"/>
        <v>152092</v>
      </c>
      <c r="E193" s="20">
        <f t="shared" si="80"/>
        <v>165931</v>
      </c>
      <c r="F193" s="20">
        <f t="shared" si="80"/>
        <v>161348</v>
      </c>
      <c r="G193" s="20">
        <f t="shared" si="80"/>
        <v>153778</v>
      </c>
      <c r="H193" s="20">
        <f t="shared" si="80"/>
        <v>154723</v>
      </c>
      <c r="I193" s="20">
        <f t="shared" si="80"/>
        <v>308569</v>
      </c>
      <c r="J193" s="20">
        <f t="shared" si="80"/>
        <v>343025</v>
      </c>
    </row>
    <row r="194" spans="1:16" ht="15.75" customHeight="1" x14ac:dyDescent="0.3">
      <c r="A194" s="7" t="s">
        <v>95</v>
      </c>
      <c r="B194" s="20">
        <f t="shared" ref="B194:J194" si="81">B70+B72+B73</f>
        <v>3469</v>
      </c>
      <c r="C194" s="20">
        <f t="shared" si="81"/>
        <v>3730</v>
      </c>
      <c r="D194" s="20">
        <f t="shared" si="81"/>
        <v>3117</v>
      </c>
      <c r="E194" s="20">
        <f t="shared" si="81"/>
        <v>4511</v>
      </c>
      <c r="F194" s="20">
        <f t="shared" si="81"/>
        <v>10248</v>
      </c>
      <c r="G194" s="20">
        <f t="shared" si="81"/>
        <v>11077</v>
      </c>
      <c r="H194" s="20">
        <f t="shared" si="81"/>
        <v>12114</v>
      </c>
      <c r="I194" s="20">
        <f t="shared" si="81"/>
        <v>12275</v>
      </c>
      <c r="J194" s="20">
        <f t="shared" si="81"/>
        <v>12971</v>
      </c>
    </row>
    <row r="195" spans="1:16" ht="15.75" customHeight="1" x14ac:dyDescent="0.3">
      <c r="A195" s="29" t="s">
        <v>45</v>
      </c>
      <c r="B195" s="22">
        <f t="shared" ref="B195:J195" si="82">SUM(B193:B194)</f>
        <v>135365</v>
      </c>
      <c r="C195" s="22">
        <f t="shared" si="82"/>
        <v>145630</v>
      </c>
      <c r="D195" s="22">
        <f t="shared" si="82"/>
        <v>155209</v>
      </c>
      <c r="E195" s="22">
        <f t="shared" si="82"/>
        <v>170442</v>
      </c>
      <c r="F195" s="22">
        <f t="shared" si="82"/>
        <v>171596</v>
      </c>
      <c r="G195" s="22">
        <f t="shared" si="82"/>
        <v>164855</v>
      </c>
      <c r="H195" s="22">
        <f t="shared" si="82"/>
        <v>166837</v>
      </c>
      <c r="I195" s="22">
        <f t="shared" si="82"/>
        <v>320844</v>
      </c>
      <c r="J195" s="22">
        <f t="shared" si="82"/>
        <v>355996</v>
      </c>
      <c r="K195" s="21">
        <f t="shared" ref="K195:P195" si="83">K95*K197/10^6</f>
        <v>408000</v>
      </c>
      <c r="L195" s="21">
        <f t="shared" si="83"/>
        <v>456000</v>
      </c>
      <c r="M195" s="21">
        <f t="shared" si="83"/>
        <v>504000</v>
      </c>
      <c r="N195" s="21">
        <f t="shared" si="83"/>
        <v>552000</v>
      </c>
      <c r="O195" s="21">
        <f t="shared" si="83"/>
        <v>600000</v>
      </c>
      <c r="P195" s="21">
        <f t="shared" si="83"/>
        <v>648000</v>
      </c>
    </row>
    <row r="196" spans="1:16" ht="15.75" customHeight="1" x14ac:dyDescent="0.3">
      <c r="A196" s="7"/>
    </row>
    <row r="197" spans="1:16" ht="15.75" customHeight="1" x14ac:dyDescent="0.3">
      <c r="A197" s="29" t="s">
        <v>96</v>
      </c>
      <c r="B197" s="26">
        <f t="shared" ref="B197:J197" si="84">B195/B95*10^6</f>
        <v>90243.333333333328</v>
      </c>
      <c r="C197" s="26">
        <f t="shared" si="84"/>
        <v>93954.838709677409</v>
      </c>
      <c r="D197" s="26">
        <f t="shared" si="84"/>
        <v>99492.948717948719</v>
      </c>
      <c r="E197" s="26">
        <f t="shared" si="84"/>
        <v>107874.6835443038</v>
      </c>
      <c r="F197" s="26">
        <f t="shared" si="84"/>
        <v>85798</v>
      </c>
      <c r="G197" s="26">
        <f t="shared" si="84"/>
        <v>73268.888888888891</v>
      </c>
      <c r="H197" s="26">
        <f t="shared" si="84"/>
        <v>74149.777777777766</v>
      </c>
      <c r="I197" s="26">
        <f t="shared" si="84"/>
        <v>142597.33333333331</v>
      </c>
      <c r="J197" s="26">
        <f t="shared" si="84"/>
        <v>158220.44444444444</v>
      </c>
      <c r="K197" s="35">
        <v>160000</v>
      </c>
      <c r="L197" s="35">
        <f t="shared" ref="L197:P197" si="85">K197</f>
        <v>160000</v>
      </c>
      <c r="M197" s="35">
        <f t="shared" si="85"/>
        <v>160000</v>
      </c>
      <c r="N197" s="35">
        <f t="shared" si="85"/>
        <v>160000</v>
      </c>
      <c r="O197" s="35">
        <f t="shared" si="85"/>
        <v>160000</v>
      </c>
      <c r="P197" s="35">
        <f t="shared" si="85"/>
        <v>160000</v>
      </c>
    </row>
    <row r="198" spans="1:16" ht="15.75" customHeight="1" x14ac:dyDescent="0.3">
      <c r="A198" s="7"/>
    </row>
    <row r="199" spans="1:16" ht="15.75" customHeight="1" x14ac:dyDescent="0.3">
      <c r="A199" s="7" t="s">
        <v>97</v>
      </c>
      <c r="K199" s="11">
        <f t="shared" ref="K199:P199" si="86">K197*K96/10^6</f>
        <v>48000</v>
      </c>
      <c r="L199" s="11">
        <f t="shared" si="86"/>
        <v>48000</v>
      </c>
      <c r="M199" s="11">
        <f t="shared" si="86"/>
        <v>48000</v>
      </c>
      <c r="N199" s="11">
        <f t="shared" si="86"/>
        <v>48000</v>
      </c>
      <c r="O199" s="11">
        <f t="shared" si="86"/>
        <v>48000</v>
      </c>
      <c r="P199" s="11">
        <f t="shared" si="86"/>
        <v>48000</v>
      </c>
    </row>
    <row r="200" spans="1:16" ht="15.75" customHeight="1" x14ac:dyDescent="0.3">
      <c r="A200" s="7" t="s">
        <v>98</v>
      </c>
      <c r="K200" s="20">
        <f t="shared" ref="K200:P200" si="87">J203</f>
        <v>52558</v>
      </c>
      <c r="L200" s="11">
        <f t="shared" si="87"/>
        <v>61200</v>
      </c>
      <c r="M200" s="11">
        <f t="shared" si="87"/>
        <v>68400</v>
      </c>
      <c r="N200" s="11">
        <f t="shared" si="87"/>
        <v>75600</v>
      </c>
      <c r="O200" s="11">
        <f t="shared" si="87"/>
        <v>82800</v>
      </c>
      <c r="P200" s="11">
        <f t="shared" si="87"/>
        <v>90000</v>
      </c>
    </row>
    <row r="201" spans="1:16" ht="15.75" customHeight="1" x14ac:dyDescent="0.3">
      <c r="A201" s="7" t="s">
        <v>99</v>
      </c>
      <c r="K201" s="11">
        <f t="shared" ref="K201:P201" si="88">SUM(K199:K200)</f>
        <v>100558</v>
      </c>
      <c r="L201" s="11">
        <f t="shared" si="88"/>
        <v>109200</v>
      </c>
      <c r="M201" s="11">
        <f t="shared" si="88"/>
        <v>116400</v>
      </c>
      <c r="N201" s="11">
        <f t="shared" si="88"/>
        <v>123600</v>
      </c>
      <c r="O201" s="11">
        <f t="shared" si="88"/>
        <v>130800</v>
      </c>
      <c r="P201" s="11">
        <f t="shared" si="88"/>
        <v>138000</v>
      </c>
    </row>
    <row r="202" spans="1:16" ht="15.75" customHeight="1" x14ac:dyDescent="0.3">
      <c r="A202" s="7"/>
    </row>
    <row r="203" spans="1:16" ht="15.75" customHeight="1" x14ac:dyDescent="0.3">
      <c r="A203" s="7" t="s">
        <v>100</v>
      </c>
      <c r="B203" s="20">
        <f t="shared" ref="B203:J203" si="89">B20</f>
        <v>28670</v>
      </c>
      <c r="C203" s="20">
        <f t="shared" si="89"/>
        <v>26039</v>
      </c>
      <c r="D203" s="20">
        <f t="shared" si="89"/>
        <v>27598</v>
      </c>
      <c r="E203" s="20">
        <f t="shared" si="89"/>
        <v>30208</v>
      </c>
      <c r="F203" s="20">
        <f t="shared" si="89"/>
        <v>35284</v>
      </c>
      <c r="G203" s="20">
        <f t="shared" si="89"/>
        <v>30341</v>
      </c>
      <c r="H203" s="20">
        <f t="shared" si="89"/>
        <v>27890</v>
      </c>
      <c r="I203" s="20">
        <f t="shared" si="89"/>
        <v>48460</v>
      </c>
      <c r="J203" s="20">
        <f t="shared" si="89"/>
        <v>52558</v>
      </c>
      <c r="K203" s="11">
        <f t="shared" ref="K203:P203" si="90">K195*K204</f>
        <v>61200</v>
      </c>
      <c r="L203" s="11">
        <f t="shared" si="90"/>
        <v>68400</v>
      </c>
      <c r="M203" s="11">
        <f t="shared" si="90"/>
        <v>75600</v>
      </c>
      <c r="N203" s="11">
        <f t="shared" si="90"/>
        <v>82800</v>
      </c>
      <c r="O203" s="11">
        <f t="shared" si="90"/>
        <v>90000</v>
      </c>
      <c r="P203" s="11">
        <f t="shared" si="90"/>
        <v>97200</v>
      </c>
    </row>
    <row r="204" spans="1:16" ht="15.75" customHeight="1" x14ac:dyDescent="0.3">
      <c r="A204" s="7" t="s">
        <v>101</v>
      </c>
      <c r="B204" s="30">
        <f t="shared" ref="B204:J204" si="91">B203/B195</f>
        <v>0.21179773205776972</v>
      </c>
      <c r="C204" s="30">
        <f t="shared" si="91"/>
        <v>0.17880244455126004</v>
      </c>
      <c r="D204" s="30">
        <f t="shared" si="91"/>
        <v>0.17781185369405125</v>
      </c>
      <c r="E204" s="30">
        <f t="shared" si="91"/>
        <v>0.1772333110383591</v>
      </c>
      <c r="F204" s="30">
        <f t="shared" si="91"/>
        <v>0.2056225086831861</v>
      </c>
      <c r="G204" s="30">
        <f t="shared" si="91"/>
        <v>0.1840465863941039</v>
      </c>
      <c r="H204" s="30">
        <f t="shared" si="91"/>
        <v>0.16716915312550573</v>
      </c>
      <c r="I204" s="30">
        <f t="shared" si="91"/>
        <v>0.15103913428332771</v>
      </c>
      <c r="J204" s="30">
        <f t="shared" si="91"/>
        <v>0.14763649029764381</v>
      </c>
      <c r="K204" s="36">
        <v>0.15</v>
      </c>
      <c r="L204" s="37">
        <f t="shared" ref="L204:P204" si="92">K204</f>
        <v>0.15</v>
      </c>
      <c r="M204" s="37">
        <f t="shared" si="92"/>
        <v>0.15</v>
      </c>
      <c r="N204" s="37">
        <f t="shared" si="92"/>
        <v>0.15</v>
      </c>
      <c r="O204" s="37">
        <f t="shared" si="92"/>
        <v>0.15</v>
      </c>
      <c r="P204" s="37">
        <f t="shared" si="92"/>
        <v>0.15</v>
      </c>
    </row>
    <row r="205" spans="1:16" ht="15.75" customHeight="1" x14ac:dyDescent="0.3">
      <c r="A205" s="1"/>
    </row>
    <row r="206" spans="1:16" ht="15.75" customHeight="1" x14ac:dyDescent="0.3">
      <c r="A206" s="25" t="s">
        <v>102</v>
      </c>
    </row>
    <row r="207" spans="1:16" ht="15.75" customHeight="1" x14ac:dyDescent="0.3">
      <c r="A207" s="1" t="s">
        <v>103</v>
      </c>
      <c r="B207" s="20">
        <f t="shared" ref="B207:P207" si="93">B36</f>
        <v>46988</v>
      </c>
      <c r="C207" s="20">
        <f t="shared" si="93"/>
        <v>77326</v>
      </c>
      <c r="D207" s="20">
        <f t="shared" si="93"/>
        <v>82118</v>
      </c>
      <c r="E207" s="20">
        <f t="shared" si="93"/>
        <v>74103</v>
      </c>
      <c r="F207" s="20">
        <f t="shared" si="93"/>
        <v>52359</v>
      </c>
      <c r="G207" s="20">
        <f t="shared" si="93"/>
        <v>49027</v>
      </c>
      <c r="H207" s="20">
        <f t="shared" si="93"/>
        <v>41924</v>
      </c>
      <c r="I207" s="20">
        <f t="shared" si="93"/>
        <v>83223</v>
      </c>
      <c r="J207" s="20">
        <f t="shared" si="93"/>
        <v>137551</v>
      </c>
      <c r="K207" s="20">
        <f t="shared" si="93"/>
        <v>170690.01137873245</v>
      </c>
      <c r="L207" s="20">
        <f t="shared" si="93"/>
        <v>198731.1173270896</v>
      </c>
      <c r="M207" s="20">
        <f t="shared" si="93"/>
        <v>232439.41955771588</v>
      </c>
      <c r="N207" s="20">
        <f t="shared" si="93"/>
        <v>272797.12611133698</v>
      </c>
      <c r="O207" s="20">
        <f t="shared" si="93"/>
        <v>320957.97753905074</v>
      </c>
      <c r="P207" s="20">
        <f t="shared" si="93"/>
        <v>378277.35082393663</v>
      </c>
    </row>
    <row r="208" spans="1:16" ht="15.75" customHeight="1" x14ac:dyDescent="0.3">
      <c r="A208" s="1" t="s">
        <v>104</v>
      </c>
      <c r="B208" s="20">
        <f t="shared" ref="B208:P208" si="94">B20</f>
        <v>28670</v>
      </c>
      <c r="C208" s="20">
        <f t="shared" si="94"/>
        <v>26039</v>
      </c>
      <c r="D208" s="20">
        <f t="shared" si="94"/>
        <v>27598</v>
      </c>
      <c r="E208" s="20">
        <f t="shared" si="94"/>
        <v>30208</v>
      </c>
      <c r="F208" s="20">
        <f t="shared" si="94"/>
        <v>35284</v>
      </c>
      <c r="G208" s="20">
        <f t="shared" si="94"/>
        <v>30341</v>
      </c>
      <c r="H208" s="20">
        <f t="shared" si="94"/>
        <v>27890</v>
      </c>
      <c r="I208" s="20">
        <f t="shared" si="94"/>
        <v>48460</v>
      </c>
      <c r="J208" s="20">
        <f t="shared" si="94"/>
        <v>52558</v>
      </c>
      <c r="K208" s="11">
        <f t="shared" si="94"/>
        <v>61200</v>
      </c>
      <c r="L208" s="11">
        <f t="shared" si="94"/>
        <v>68400</v>
      </c>
      <c r="M208" s="11">
        <f t="shared" si="94"/>
        <v>75600</v>
      </c>
      <c r="N208" s="11">
        <f t="shared" si="94"/>
        <v>82800</v>
      </c>
      <c r="O208" s="11">
        <f t="shared" si="94"/>
        <v>90000</v>
      </c>
      <c r="P208" s="11">
        <f t="shared" si="94"/>
        <v>97200</v>
      </c>
    </row>
    <row r="209" spans="1:23" ht="15.75" customHeight="1" x14ac:dyDescent="0.3">
      <c r="A209" s="1" t="s">
        <v>105</v>
      </c>
      <c r="C209" s="20">
        <f t="shared" ref="C209:P209" si="95">C50-B50</f>
        <v>0</v>
      </c>
      <c r="D209" s="20">
        <f t="shared" si="95"/>
        <v>100</v>
      </c>
      <c r="E209" s="20">
        <f t="shared" si="95"/>
        <v>-20</v>
      </c>
      <c r="F209" s="20">
        <f t="shared" si="95"/>
        <v>572</v>
      </c>
      <c r="G209" s="20">
        <f t="shared" si="95"/>
        <v>-232</v>
      </c>
      <c r="H209" s="20">
        <f t="shared" si="95"/>
        <v>-91</v>
      </c>
      <c r="I209" s="20">
        <f t="shared" si="95"/>
        <v>-79</v>
      </c>
      <c r="J209" s="20">
        <f t="shared" si="95"/>
        <v>427</v>
      </c>
      <c r="K209" s="20">
        <f t="shared" si="95"/>
        <v>0</v>
      </c>
      <c r="L209" s="20">
        <f t="shared" si="95"/>
        <v>0</v>
      </c>
      <c r="M209" s="20">
        <f t="shared" si="95"/>
        <v>0</v>
      </c>
      <c r="N209" s="20">
        <f t="shared" si="95"/>
        <v>0</v>
      </c>
      <c r="O209" s="20">
        <f t="shared" si="95"/>
        <v>0</v>
      </c>
      <c r="P209" s="20">
        <f t="shared" si="95"/>
        <v>0</v>
      </c>
    </row>
    <row r="210" spans="1:23" ht="15.75" customHeight="1" x14ac:dyDescent="0.3">
      <c r="A210" s="1" t="s">
        <v>106</v>
      </c>
      <c r="B210" s="11">
        <f t="shared" ref="B210:P210" si="96">B190</f>
        <v>0</v>
      </c>
      <c r="C210" s="20">
        <f t="shared" si="96"/>
        <v>-13186</v>
      </c>
      <c r="D210" s="20">
        <f t="shared" si="96"/>
        <v>-31302</v>
      </c>
      <c r="E210" s="20">
        <f t="shared" si="96"/>
        <v>56169</v>
      </c>
      <c r="F210" s="20">
        <f t="shared" si="96"/>
        <v>-9182</v>
      </c>
      <c r="G210" s="20">
        <f t="shared" si="96"/>
        <v>17298</v>
      </c>
      <c r="H210" s="20">
        <f t="shared" si="96"/>
        <v>-21083</v>
      </c>
      <c r="I210" s="20">
        <f t="shared" si="96"/>
        <v>-65737</v>
      </c>
      <c r="J210" s="20">
        <f t="shared" si="96"/>
        <v>37006</v>
      </c>
      <c r="K210" s="9">
        <f t="shared" si="96"/>
        <v>-62082.724481374986</v>
      </c>
      <c r="L210" s="9">
        <f t="shared" si="96"/>
        <v>-20800.165487990482</v>
      </c>
      <c r="M210" s="9">
        <f t="shared" si="96"/>
        <v>-24363.487122646155</v>
      </c>
      <c r="N210" s="9">
        <f t="shared" si="96"/>
        <v>-28544.384536740195</v>
      </c>
      <c r="O210" s="9">
        <f t="shared" si="96"/>
        <v>-33450.710974594462</v>
      </c>
      <c r="P210" s="9">
        <f t="shared" si="96"/>
        <v>-39209.247903557727</v>
      </c>
    </row>
    <row r="211" spans="1:23" ht="15.75" customHeight="1" x14ac:dyDescent="0.3">
      <c r="A211" s="1" t="s">
        <v>107</v>
      </c>
      <c r="B211" s="11">
        <f t="shared" ref="B211:P211" si="97">B201</f>
        <v>0</v>
      </c>
      <c r="C211" s="11">
        <f t="shared" si="97"/>
        <v>0</v>
      </c>
      <c r="D211" s="11">
        <f t="shared" si="97"/>
        <v>0</v>
      </c>
      <c r="E211" s="11">
        <f t="shared" si="97"/>
        <v>0</v>
      </c>
      <c r="F211" s="11">
        <f t="shared" si="97"/>
        <v>0</v>
      </c>
      <c r="G211" s="11">
        <f t="shared" si="97"/>
        <v>0</v>
      </c>
      <c r="H211" s="11">
        <f t="shared" si="97"/>
        <v>0</v>
      </c>
      <c r="I211" s="11">
        <f t="shared" si="97"/>
        <v>0</v>
      </c>
      <c r="J211" s="11">
        <f t="shared" si="97"/>
        <v>0</v>
      </c>
      <c r="K211" s="11">
        <f t="shared" si="97"/>
        <v>100558</v>
      </c>
      <c r="L211" s="11">
        <f t="shared" si="97"/>
        <v>109200</v>
      </c>
      <c r="M211" s="11">
        <f t="shared" si="97"/>
        <v>116400</v>
      </c>
      <c r="N211" s="11">
        <f t="shared" si="97"/>
        <v>123600</v>
      </c>
      <c r="O211" s="11">
        <f t="shared" si="97"/>
        <v>130800</v>
      </c>
      <c r="P211" s="11">
        <f t="shared" si="97"/>
        <v>138000</v>
      </c>
    </row>
    <row r="212" spans="1:23" ht="15.75" customHeight="1" x14ac:dyDescent="0.3">
      <c r="A212" s="38"/>
    </row>
    <row r="213" spans="1:23" ht="15.75" customHeight="1" x14ac:dyDescent="0.3">
      <c r="A213" s="1" t="s">
        <v>108</v>
      </c>
      <c r="K213" s="20">
        <f t="shared" ref="K213:P213" si="98">J215</f>
        <v>28274</v>
      </c>
      <c r="L213" s="20">
        <f t="shared" si="98"/>
        <v>221688.73586010747</v>
      </c>
      <c r="M213" s="20">
        <f t="shared" si="98"/>
        <v>400420.01867518754</v>
      </c>
      <c r="N213" s="20">
        <f t="shared" si="98"/>
        <v>616422.92535554967</v>
      </c>
      <c r="O213" s="20">
        <f t="shared" si="98"/>
        <v>876964.43600362679</v>
      </c>
      <c r="P213" s="20">
        <f t="shared" si="98"/>
        <v>1190573.124517272</v>
      </c>
    </row>
    <row r="214" spans="1:23" ht="15.75" customHeight="1" x14ac:dyDescent="0.3">
      <c r="A214" s="1" t="s">
        <v>109</v>
      </c>
      <c r="K214" s="20">
        <f t="shared" ref="K214:P214" si="99">K207+K208+K209-K210-K211</f>
        <v>193414.73586010747</v>
      </c>
      <c r="L214" s="20">
        <f t="shared" si="99"/>
        <v>178731.28281508008</v>
      </c>
      <c r="M214" s="20">
        <f t="shared" si="99"/>
        <v>216002.90668036207</v>
      </c>
      <c r="N214" s="20">
        <f t="shared" si="99"/>
        <v>260541.51064807718</v>
      </c>
      <c r="O214" s="20">
        <f t="shared" si="99"/>
        <v>313608.6885136452</v>
      </c>
      <c r="P214" s="20">
        <f t="shared" si="99"/>
        <v>376686.59872749436</v>
      </c>
      <c r="Q214" s="9">
        <f t="shared" ref="Q214:V214" si="100">P214*(1+Q216)</f>
        <v>443034.5650313613</v>
      </c>
      <c r="R214" s="9">
        <f t="shared" si="100"/>
        <v>509992.91420503648</v>
      </c>
      <c r="S214" s="9">
        <f t="shared" si="100"/>
        <v>574321.23901774269</v>
      </c>
      <c r="T214" s="9">
        <f t="shared" si="100"/>
        <v>632405.63259629172</v>
      </c>
      <c r="U214" s="9">
        <f t="shared" si="100"/>
        <v>680554.29248295398</v>
      </c>
      <c r="V214" s="9">
        <f t="shared" si="100"/>
        <v>715354.92807576514</v>
      </c>
      <c r="W214" s="9">
        <f>V214*(1+W216)/(B221-W216)</f>
        <v>7296620.2663728055</v>
      </c>
    </row>
    <row r="215" spans="1:23" ht="15.75" customHeight="1" x14ac:dyDescent="0.3">
      <c r="A215" s="25" t="s">
        <v>110</v>
      </c>
      <c r="J215" s="20">
        <f>J85</f>
        <v>28274</v>
      </c>
      <c r="K215" s="20">
        <f t="shared" ref="K215:P215" si="101">K214+K213</f>
        <v>221688.73586010747</v>
      </c>
      <c r="L215" s="20">
        <f t="shared" si="101"/>
        <v>400420.01867518754</v>
      </c>
      <c r="M215" s="20">
        <f t="shared" si="101"/>
        <v>616422.92535554967</v>
      </c>
      <c r="N215" s="20">
        <f t="shared" si="101"/>
        <v>876964.43600362679</v>
      </c>
      <c r="O215" s="20">
        <f t="shared" si="101"/>
        <v>1190573.124517272</v>
      </c>
      <c r="P215" s="20">
        <f t="shared" si="101"/>
        <v>1567259.7232447662</v>
      </c>
    </row>
    <row r="216" spans="1:23" ht="15.75" customHeight="1" x14ac:dyDescent="0.3">
      <c r="A216" s="1" t="s">
        <v>111</v>
      </c>
      <c r="L216" s="30">
        <f t="shared" ref="L216:P216" si="102">L214/K214-1</f>
        <v>-7.591693042275538E-2</v>
      </c>
      <c r="M216" s="30">
        <f t="shared" si="102"/>
        <v>0.20853441702113318</v>
      </c>
      <c r="N216" s="30">
        <f t="shared" si="102"/>
        <v>0.2061944658625483</v>
      </c>
      <c r="O216" s="30">
        <f t="shared" si="102"/>
        <v>0.20368031847810908</v>
      </c>
      <c r="P216" s="30">
        <f t="shared" si="102"/>
        <v>0.20113572271485269</v>
      </c>
      <c r="Q216" s="30">
        <f t="shared" ref="Q216:V216" si="103">P216-$B$220</f>
        <v>0.1761357227148527</v>
      </c>
      <c r="R216" s="30">
        <f t="shared" si="103"/>
        <v>0.1511357227148527</v>
      </c>
      <c r="S216" s="30">
        <f t="shared" si="103"/>
        <v>0.12613572271485271</v>
      </c>
      <c r="T216" s="30">
        <f t="shared" si="103"/>
        <v>0.10113572271485272</v>
      </c>
      <c r="U216" s="30">
        <f t="shared" si="103"/>
        <v>7.6135722714852722E-2</v>
      </c>
      <c r="V216" s="30">
        <f t="shared" si="103"/>
        <v>5.113572271485272E-2</v>
      </c>
      <c r="W216" s="30">
        <f>B219</f>
        <v>0.02</v>
      </c>
    </row>
    <row r="217" spans="1:23" ht="15.75" customHeight="1" x14ac:dyDescent="0.3">
      <c r="A217" s="38"/>
    </row>
    <row r="218" spans="1:23" ht="15.75" customHeight="1" x14ac:dyDescent="0.3">
      <c r="A218" s="38"/>
    </row>
    <row r="219" spans="1:23" ht="15.75" customHeight="1" x14ac:dyDescent="0.3">
      <c r="A219" s="1" t="s">
        <v>112</v>
      </c>
      <c r="B219" s="33">
        <v>0.02</v>
      </c>
    </row>
    <row r="220" spans="1:23" ht="15.75" customHeight="1" x14ac:dyDescent="0.3">
      <c r="A220" s="1" t="s">
        <v>113</v>
      </c>
      <c r="B220" s="33">
        <v>2.5000000000000001E-2</v>
      </c>
    </row>
    <row r="221" spans="1:23" ht="15.75" customHeight="1" x14ac:dyDescent="0.3">
      <c r="A221" s="1" t="s">
        <v>114</v>
      </c>
      <c r="B221" s="39">
        <f>SUM(B222:B223)</f>
        <v>0.12</v>
      </c>
    </row>
    <row r="222" spans="1:23" ht="15.75" customHeight="1" x14ac:dyDescent="0.3">
      <c r="A222" s="1" t="s">
        <v>115</v>
      </c>
      <c r="B222" s="33">
        <v>7.0000000000000007E-2</v>
      </c>
    </row>
    <row r="223" spans="1:23" ht="15.75" customHeight="1" x14ac:dyDescent="0.3">
      <c r="A223" s="1" t="s">
        <v>116</v>
      </c>
      <c r="B223" s="39">
        <f>(12%-7%)*B224</f>
        <v>4.9999999999999989E-2</v>
      </c>
    </row>
    <row r="224" spans="1:23" ht="15.75" customHeight="1" x14ac:dyDescent="0.3">
      <c r="A224" s="1" t="s">
        <v>117</v>
      </c>
      <c r="B224" s="40">
        <v>1</v>
      </c>
    </row>
    <row r="225" spans="1:23" ht="15.75" customHeight="1" x14ac:dyDescent="0.3">
      <c r="A225" s="1" t="s">
        <v>118</v>
      </c>
      <c r="B225" s="20">
        <f>SUM(K225:W225)</f>
        <v>4072516.9827174079</v>
      </c>
      <c r="K225" s="20">
        <f t="shared" ref="K225:V225" si="104">-PV($B$221,K1-$J$1,,K214,)</f>
        <v>172691.7284465245</v>
      </c>
      <c r="L225" s="20">
        <f t="shared" si="104"/>
        <v>142483.48438702172</v>
      </c>
      <c r="M225" s="20">
        <f t="shared" si="104"/>
        <v>153746.60244536516</v>
      </c>
      <c r="N225" s="20">
        <f t="shared" si="104"/>
        <v>165578.84019175786</v>
      </c>
      <c r="O225" s="20">
        <f t="shared" si="104"/>
        <v>177949.99204933128</v>
      </c>
      <c r="P225" s="20">
        <f t="shared" si="104"/>
        <v>190841.15384578196</v>
      </c>
      <c r="Q225" s="20">
        <f t="shared" si="104"/>
        <v>200406.33785905817</v>
      </c>
      <c r="R225" s="20">
        <f t="shared" si="104"/>
        <v>205977.5844357356</v>
      </c>
      <c r="S225" s="20">
        <f t="shared" si="104"/>
        <v>207105.99634963993</v>
      </c>
      <c r="T225" s="20">
        <f t="shared" si="104"/>
        <v>203617.68836521462</v>
      </c>
      <c r="U225" s="20">
        <f t="shared" si="104"/>
        <v>195643.09663073914</v>
      </c>
      <c r="V225" s="20">
        <f t="shared" si="104"/>
        <v>183613.7926527891</v>
      </c>
      <c r="W225" s="20">
        <f>-PV($B$221,V1-$J$1,,W214,)</f>
        <v>1872860.6850584489</v>
      </c>
    </row>
    <row r="226" spans="1:23" ht="15.75" customHeight="1" thickBot="1" x14ac:dyDescent="0.35">
      <c r="A226" s="1" t="s">
        <v>119</v>
      </c>
      <c r="B226" s="20">
        <f>SUM(J85,J89,J90)</f>
        <v>101582</v>
      </c>
    </row>
    <row r="227" spans="1:23" ht="15.75" customHeight="1" thickTop="1" x14ac:dyDescent="0.3">
      <c r="A227" s="41" t="s">
        <v>120</v>
      </c>
      <c r="B227" s="20">
        <f>SUM(B225:B226)</f>
        <v>4174098.9827174079</v>
      </c>
      <c r="C227" s="11" t="s">
        <v>121</v>
      </c>
    </row>
    <row r="228" spans="1:23" ht="15.75" customHeight="1" x14ac:dyDescent="0.3">
      <c r="A228" s="1" t="s">
        <v>122</v>
      </c>
      <c r="B228" s="20">
        <f>314400202/10^6</f>
        <v>314.40020199999998</v>
      </c>
    </row>
    <row r="229" spans="1:23" ht="15.75" customHeight="1" x14ac:dyDescent="0.3">
      <c r="A229" s="1" t="s">
        <v>123</v>
      </c>
      <c r="B229" s="9">
        <f>B227/B228</f>
        <v>13276.387725467835</v>
      </c>
    </row>
    <row r="230" spans="1:23" ht="15.75" customHeight="1" x14ac:dyDescent="0.3">
      <c r="A230" s="25" t="s">
        <v>124</v>
      </c>
      <c r="B230" s="22">
        <v>15374</v>
      </c>
    </row>
    <row r="231" spans="1:23" ht="15.75" customHeight="1" x14ac:dyDescent="0.3">
      <c r="A231" s="1"/>
      <c r="B231" s="20">
        <f>B230-B229</f>
        <v>2097.6122745321645</v>
      </c>
      <c r="C231" s="11" t="s">
        <v>125</v>
      </c>
    </row>
    <row r="232" spans="1:23" ht="15.75" customHeight="1" x14ac:dyDescent="0.3">
      <c r="A232" s="25"/>
    </row>
    <row r="233" spans="1:23" ht="15.75" customHeight="1" x14ac:dyDescent="0.3">
      <c r="A233" s="1"/>
    </row>
    <row r="234" spans="1:23" ht="15.75" customHeight="1" x14ac:dyDescent="0.3">
      <c r="A234" s="1"/>
    </row>
    <row r="235" spans="1:23" ht="15.75" customHeight="1" x14ac:dyDescent="0.3">
      <c r="A235" s="1"/>
    </row>
    <row r="236" spans="1:23" ht="15.75" customHeight="1" x14ac:dyDescent="0.3">
      <c r="A236" s="1"/>
    </row>
    <row r="237" spans="1:23" ht="15.75" customHeight="1" x14ac:dyDescent="0.3">
      <c r="A237" s="1"/>
    </row>
    <row r="238" spans="1:23" ht="15.75" customHeight="1" x14ac:dyDescent="0.3">
      <c r="A238" s="1"/>
    </row>
    <row r="239" spans="1:23" ht="15.75" customHeight="1" x14ac:dyDescent="0.3">
      <c r="A239" s="1"/>
    </row>
    <row r="240" spans="1:23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/>
    <row r="406" spans="1:1" ht="15.75" customHeight="1" x14ac:dyDescent="0.3"/>
    <row r="407" spans="1:1" ht="15.75" customHeight="1" x14ac:dyDescent="0.3"/>
    <row r="408" spans="1:1" ht="15.75" customHeight="1" x14ac:dyDescent="0.3"/>
    <row r="409" spans="1:1" ht="15.75" customHeight="1" x14ac:dyDescent="0.3"/>
    <row r="410" spans="1:1" ht="15.75" customHeight="1" x14ac:dyDescent="0.3"/>
    <row r="411" spans="1:1" ht="15.75" customHeight="1" x14ac:dyDescent="0.3"/>
    <row r="412" spans="1:1" ht="15.75" customHeight="1" x14ac:dyDescent="0.3"/>
    <row r="413" spans="1:1" ht="15.75" customHeight="1" x14ac:dyDescent="0.3"/>
    <row r="414" spans="1:1" ht="15.75" customHeight="1" x14ac:dyDescent="0.3"/>
    <row r="415" spans="1:1" ht="15.75" customHeight="1" x14ac:dyDescent="0.3"/>
    <row r="416" spans="1:1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8613-A9F4-456B-86B9-6E27A3978977}">
  <sheetPr>
    <outlinePr summaryBelow="0" summaryRight="0"/>
  </sheetPr>
  <dimension ref="A1:L1000"/>
  <sheetViews>
    <sheetView topLeftCell="A17" workbookViewId="0"/>
  </sheetViews>
  <sheetFormatPr defaultColWidth="12.6640625" defaultRowHeight="15" customHeight="1" x14ac:dyDescent="0.3"/>
  <cols>
    <col min="1" max="1" width="35.88671875" style="5" customWidth="1"/>
    <col min="2" max="6" width="12.6640625" style="5" customWidth="1"/>
    <col min="7" max="16384" width="12.6640625" style="5"/>
  </cols>
  <sheetData>
    <row r="1" spans="1:8" ht="15.75" customHeight="1" x14ac:dyDescent="0.3">
      <c r="A1" s="38" t="s">
        <v>126</v>
      </c>
      <c r="B1" s="42" t="s">
        <v>127</v>
      </c>
    </row>
    <row r="2" spans="1:8" ht="15.75" customHeight="1" x14ac:dyDescent="0.3">
      <c r="C2" s="31"/>
      <c r="D2" s="31"/>
      <c r="E2" s="31"/>
      <c r="F2" s="31"/>
    </row>
    <row r="3" spans="1:8" ht="15.75" customHeight="1" x14ac:dyDescent="0.3">
      <c r="A3" s="43"/>
      <c r="B3" s="44">
        <v>2020</v>
      </c>
      <c r="C3" s="44">
        <f t="shared" ref="C3:F3" si="0">B3+1</f>
        <v>2021</v>
      </c>
      <c r="D3" s="44">
        <f t="shared" si="0"/>
        <v>2022</v>
      </c>
      <c r="E3" s="44">
        <f t="shared" si="0"/>
        <v>2023</v>
      </c>
      <c r="F3" s="44">
        <f t="shared" si="0"/>
        <v>2024</v>
      </c>
      <c r="G3" s="45" t="s">
        <v>128</v>
      </c>
    </row>
    <row r="4" spans="1:8" ht="15.75" customHeight="1" x14ac:dyDescent="0.3">
      <c r="A4" s="46" t="s">
        <v>129</v>
      </c>
      <c r="B4" s="47" t="s">
        <v>130</v>
      </c>
      <c r="C4" s="48"/>
      <c r="D4" s="48"/>
      <c r="E4" s="48"/>
      <c r="F4" s="49"/>
      <c r="G4" s="50"/>
    </row>
    <row r="5" spans="1:8" ht="15.75" customHeight="1" x14ac:dyDescent="0.3">
      <c r="A5" s="51" t="s">
        <v>131</v>
      </c>
      <c r="B5" s="52">
        <v>75660</v>
      </c>
      <c r="C5" s="52">
        <v>70372</v>
      </c>
      <c r="D5" s="52">
        <v>88330</v>
      </c>
      <c r="E5" s="52">
        <v>117571</v>
      </c>
      <c r="F5" s="52">
        <v>141858</v>
      </c>
      <c r="G5" s="53">
        <f t="shared" ref="G5:G11" si="1">(F5/B5)^(1/5)-1</f>
        <v>0.13395938346353597</v>
      </c>
      <c r="H5" s="31"/>
    </row>
    <row r="6" spans="1:8" ht="15.75" customHeight="1" x14ac:dyDescent="0.3">
      <c r="A6" s="51" t="s">
        <v>132</v>
      </c>
      <c r="B6" s="52">
        <v>7355</v>
      </c>
      <c r="C6" s="52">
        <v>5411</v>
      </c>
      <c r="D6" s="52">
        <v>5752</v>
      </c>
      <c r="E6" s="52">
        <v>11029</v>
      </c>
      <c r="F6" s="52">
        <v>18626</v>
      </c>
      <c r="G6" s="53">
        <f t="shared" si="1"/>
        <v>0.20422429372888895</v>
      </c>
    </row>
    <row r="7" spans="1:8" ht="15.75" customHeight="1" x14ac:dyDescent="0.3">
      <c r="A7" s="51" t="s">
        <v>17</v>
      </c>
      <c r="B7" s="54">
        <v>134</v>
      </c>
      <c r="C7" s="54">
        <v>102</v>
      </c>
      <c r="D7" s="54">
        <v>127</v>
      </c>
      <c r="E7" s="55">
        <v>187</v>
      </c>
      <c r="F7" s="54">
        <v>194</v>
      </c>
      <c r="G7" s="53">
        <f t="shared" si="1"/>
        <v>7.681075934691739E-2</v>
      </c>
    </row>
    <row r="8" spans="1:8" ht="15.75" customHeight="1" x14ac:dyDescent="0.3">
      <c r="A8" s="51" t="s">
        <v>133</v>
      </c>
      <c r="B8" s="52">
        <v>5678</v>
      </c>
      <c r="C8" s="52">
        <v>4389</v>
      </c>
      <c r="D8" s="52">
        <v>3880</v>
      </c>
      <c r="E8" s="52">
        <v>8211</v>
      </c>
      <c r="F8" s="52">
        <v>13488</v>
      </c>
      <c r="G8" s="53">
        <f t="shared" si="1"/>
        <v>0.1889139800712234</v>
      </c>
    </row>
    <row r="9" spans="1:8" ht="15.75" customHeight="1" x14ac:dyDescent="0.3">
      <c r="A9" s="51" t="s">
        <v>134</v>
      </c>
      <c r="B9" s="56"/>
      <c r="C9" s="56"/>
      <c r="D9" s="56"/>
      <c r="E9" s="56"/>
      <c r="F9" s="56"/>
      <c r="G9" s="53" t="e">
        <f t="shared" si="1"/>
        <v>#DIV/0!</v>
      </c>
    </row>
    <row r="10" spans="1:8" ht="15.75" customHeight="1" x14ac:dyDescent="0.3">
      <c r="A10" s="51" t="s">
        <v>135</v>
      </c>
      <c r="B10" s="56"/>
      <c r="C10" s="56"/>
      <c r="D10" s="56"/>
      <c r="E10" s="56"/>
      <c r="F10" s="56"/>
      <c r="G10" s="53" t="e">
        <f t="shared" si="1"/>
        <v>#DIV/0!</v>
      </c>
    </row>
    <row r="11" spans="1:8" ht="15.75" customHeight="1" x14ac:dyDescent="0.3">
      <c r="A11" s="51" t="s">
        <v>136</v>
      </c>
      <c r="B11" s="52">
        <v>3496</v>
      </c>
      <c r="C11" s="52">
        <v>8856</v>
      </c>
      <c r="D11" s="52">
        <v>1840</v>
      </c>
      <c r="E11" s="52">
        <v>9251</v>
      </c>
      <c r="F11" s="52">
        <v>16801</v>
      </c>
      <c r="G11" s="53">
        <f t="shared" si="1"/>
        <v>0.36884017012646186</v>
      </c>
    </row>
    <row r="12" spans="1:8" ht="15.75" customHeight="1" x14ac:dyDescent="0.3">
      <c r="A12" s="51"/>
      <c r="B12" s="57"/>
      <c r="C12" s="57"/>
      <c r="D12" s="57"/>
      <c r="E12" s="57"/>
      <c r="F12" s="57"/>
      <c r="G12" s="50"/>
    </row>
    <row r="13" spans="1:8" ht="15.75" customHeight="1" x14ac:dyDescent="0.3">
      <c r="A13" s="51" t="s">
        <v>137</v>
      </c>
      <c r="B13" s="52">
        <f>151+49262</f>
        <v>49413</v>
      </c>
      <c r="C13" s="52">
        <f>151+52350</f>
        <v>52501</v>
      </c>
      <c r="D13" s="52">
        <f>151+55182</f>
        <v>55333</v>
      </c>
      <c r="E13" s="52">
        <f>151+61640</f>
        <v>61791</v>
      </c>
      <c r="F13" s="52">
        <f>151+85479</f>
        <v>85630</v>
      </c>
      <c r="G13" s="53">
        <f t="shared" ref="G13:G15" si="2">(F13/B13)^(1/5)-1</f>
        <v>0.1162383632719679</v>
      </c>
    </row>
    <row r="14" spans="1:8" ht="15.75" customHeight="1" x14ac:dyDescent="0.3">
      <c r="A14" s="51" t="s">
        <v>138</v>
      </c>
      <c r="B14" s="52">
        <v>2890</v>
      </c>
      <c r="C14" s="52">
        <v>2662</v>
      </c>
      <c r="D14" s="52">
        <v>2157</v>
      </c>
      <c r="E14" s="52">
        <v>2739</v>
      </c>
      <c r="F14" s="52">
        <v>3716</v>
      </c>
      <c r="G14" s="53">
        <f t="shared" si="2"/>
        <v>5.1563667733926621E-2</v>
      </c>
    </row>
    <row r="15" spans="1:8" ht="15.75" customHeight="1" x14ac:dyDescent="0.3">
      <c r="A15" s="51" t="s">
        <v>139</v>
      </c>
      <c r="B15" s="52">
        <v>15744</v>
      </c>
      <c r="C15" s="52">
        <v>14989</v>
      </c>
      <c r="D15" s="52">
        <v>13747</v>
      </c>
      <c r="E15" s="52">
        <v>17830</v>
      </c>
      <c r="F15" s="52">
        <v>27865</v>
      </c>
      <c r="G15" s="53">
        <f t="shared" si="2"/>
        <v>0.12095658681128274</v>
      </c>
    </row>
    <row r="16" spans="1:8" ht="15.75" customHeight="1" x14ac:dyDescent="0.3">
      <c r="A16" s="58"/>
      <c r="B16" s="59"/>
      <c r="C16" s="60"/>
      <c r="D16" s="58"/>
      <c r="E16" s="58"/>
      <c r="F16" s="58"/>
      <c r="G16" s="58"/>
    </row>
    <row r="17" spans="1:12" ht="15.75" customHeight="1" x14ac:dyDescent="0.3">
      <c r="A17" s="58"/>
      <c r="B17" s="58"/>
      <c r="C17" s="58"/>
      <c r="D17" s="58"/>
      <c r="E17" s="58"/>
      <c r="F17" s="58"/>
      <c r="G17" s="58"/>
    </row>
    <row r="18" spans="1:12" ht="15.75" customHeight="1" x14ac:dyDescent="0.3">
      <c r="A18" s="43" t="s">
        <v>140</v>
      </c>
      <c r="B18" s="61">
        <f t="shared" ref="B18:F18" si="3">B6/B5</f>
        <v>9.7211208035950306E-2</v>
      </c>
      <c r="C18" s="61">
        <f t="shared" si="3"/>
        <v>7.6891377252316262E-2</v>
      </c>
      <c r="D18" s="61">
        <f t="shared" si="3"/>
        <v>6.5119438469376206E-2</v>
      </c>
      <c r="E18" s="61">
        <f t="shared" si="3"/>
        <v>9.3807146320095944E-2</v>
      </c>
      <c r="F18" s="61">
        <f t="shared" si="3"/>
        <v>0.13130031439890594</v>
      </c>
      <c r="G18" s="58"/>
    </row>
    <row r="19" spans="1:12" ht="15.75" customHeight="1" x14ac:dyDescent="0.3">
      <c r="A19" s="51" t="s">
        <v>141</v>
      </c>
      <c r="B19" s="61">
        <f t="shared" ref="B19:F19" si="4">B8/B5</f>
        <v>7.5046259582342054E-2</v>
      </c>
      <c r="C19" s="61">
        <f t="shared" si="4"/>
        <v>6.236855567555278E-2</v>
      </c>
      <c r="D19" s="61">
        <f t="shared" si="4"/>
        <v>4.3926185893807312E-2</v>
      </c>
      <c r="E19" s="61">
        <f t="shared" si="4"/>
        <v>6.9838650687669576E-2</v>
      </c>
      <c r="F19" s="61">
        <f t="shared" si="4"/>
        <v>9.5080996489447192E-2</v>
      </c>
      <c r="G19" s="58"/>
    </row>
    <row r="20" spans="1:12" ht="15.75" customHeight="1" x14ac:dyDescent="0.3">
      <c r="A20" s="51" t="s">
        <v>142</v>
      </c>
      <c r="B20" s="62">
        <f t="shared" ref="B20:F20" si="5">B11/B7</f>
        <v>26.089552238805972</v>
      </c>
      <c r="C20" s="62">
        <f t="shared" si="5"/>
        <v>86.82352941176471</v>
      </c>
      <c r="D20" s="62">
        <f t="shared" si="5"/>
        <v>14.488188976377952</v>
      </c>
      <c r="E20" s="62">
        <f t="shared" si="5"/>
        <v>49.470588235294116</v>
      </c>
      <c r="F20" s="62">
        <f t="shared" si="5"/>
        <v>86.603092783505161</v>
      </c>
      <c r="G20" s="58"/>
    </row>
    <row r="21" spans="1:12" ht="15.75" customHeight="1" x14ac:dyDescent="0.3">
      <c r="A21" s="51" t="s">
        <v>143</v>
      </c>
      <c r="B21" s="62">
        <f t="shared" ref="B21:F21" si="6">B6/B7</f>
        <v>54.888059701492537</v>
      </c>
      <c r="C21" s="62">
        <f t="shared" si="6"/>
        <v>53.049019607843135</v>
      </c>
      <c r="D21" s="62">
        <f t="shared" si="6"/>
        <v>45.291338582677163</v>
      </c>
      <c r="E21" s="62">
        <f t="shared" si="6"/>
        <v>58.978609625668447</v>
      </c>
      <c r="F21" s="62">
        <f t="shared" si="6"/>
        <v>96.010309278350519</v>
      </c>
      <c r="G21" s="58"/>
    </row>
    <row r="22" spans="1:12" ht="15.75" customHeight="1" x14ac:dyDescent="0.3">
      <c r="A22" s="51" t="s">
        <v>144</v>
      </c>
      <c r="B22" s="61">
        <f t="shared" ref="B22:F22" si="7">B14/B13</f>
        <v>5.848663307226843E-2</v>
      </c>
      <c r="C22" s="61">
        <f t="shared" si="7"/>
        <v>5.0703796118169178E-2</v>
      </c>
      <c r="D22" s="61">
        <f t="shared" si="7"/>
        <v>3.8982162543147847E-2</v>
      </c>
      <c r="E22" s="61">
        <f t="shared" si="7"/>
        <v>4.432684371510414E-2</v>
      </c>
      <c r="F22" s="61">
        <f t="shared" si="7"/>
        <v>4.3396006072638091E-2</v>
      </c>
      <c r="G22" s="58"/>
    </row>
    <row r="23" spans="1:12" ht="15.75" customHeight="1" x14ac:dyDescent="0.3">
      <c r="A23" s="51"/>
      <c r="B23" s="63"/>
      <c r="C23" s="63"/>
      <c r="D23" s="63"/>
      <c r="E23" s="63"/>
      <c r="F23" s="63"/>
      <c r="G23" s="58"/>
      <c r="I23" s="64"/>
      <c r="J23" s="64"/>
      <c r="K23" s="64"/>
      <c r="L23" s="64"/>
    </row>
    <row r="24" spans="1:12" ht="15.75" customHeight="1" x14ac:dyDescent="0.3">
      <c r="A24" s="51" t="s">
        <v>145</v>
      </c>
      <c r="B24" s="62">
        <f t="shared" ref="B24:F24" si="8">B8/B13</f>
        <v>0.11490903203610386</v>
      </c>
      <c r="C24" s="62">
        <f t="shared" si="8"/>
        <v>8.3598407649378106E-2</v>
      </c>
      <c r="D24" s="62">
        <f t="shared" si="8"/>
        <v>7.0120904342797247E-2</v>
      </c>
      <c r="E24" s="62">
        <f t="shared" si="8"/>
        <v>0.13288342962567365</v>
      </c>
      <c r="F24" s="62">
        <f t="shared" si="8"/>
        <v>0.15751488964148078</v>
      </c>
      <c r="G24" s="58"/>
      <c r="I24" s="64"/>
      <c r="J24" s="64"/>
      <c r="K24" s="64"/>
      <c r="L24" s="64"/>
    </row>
    <row r="25" spans="1:12" ht="15.75" customHeight="1" x14ac:dyDescent="0.3">
      <c r="A25" s="51" t="s">
        <v>146</v>
      </c>
      <c r="B25" s="62">
        <f t="shared" ref="B25:F25" si="9">B6/SUM(B13:B14)</f>
        <v>0.14062290881976178</v>
      </c>
      <c r="C25" s="62">
        <f t="shared" si="9"/>
        <v>9.8091111795950189E-2</v>
      </c>
      <c r="D25" s="62">
        <f t="shared" si="9"/>
        <v>0.1000521829883458</v>
      </c>
      <c r="E25" s="62">
        <f t="shared" si="9"/>
        <v>0.17091275375794204</v>
      </c>
      <c r="F25" s="62">
        <f t="shared" si="9"/>
        <v>0.20847044075839993</v>
      </c>
      <c r="G25" s="58"/>
      <c r="I25" s="64"/>
      <c r="J25" s="64"/>
      <c r="K25" s="65"/>
      <c r="L25" s="64"/>
    </row>
    <row r="26" spans="1:12" ht="15.75" customHeight="1" x14ac:dyDescent="0.3">
      <c r="A26" s="51" t="s">
        <v>147</v>
      </c>
      <c r="B26" s="66">
        <v>0</v>
      </c>
      <c r="C26" s="66">
        <v>0</v>
      </c>
      <c r="D26" s="66">
        <v>0</v>
      </c>
      <c r="E26" s="66">
        <v>0</v>
      </c>
      <c r="F26" s="66">
        <v>0</v>
      </c>
      <c r="G26" s="58"/>
      <c r="I26" s="64"/>
      <c r="J26" s="64"/>
      <c r="K26" s="64"/>
      <c r="L26" s="64"/>
    </row>
    <row r="27" spans="1:12" ht="15.75" customHeight="1" x14ac:dyDescent="0.3">
      <c r="A27" s="51" t="s">
        <v>148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58"/>
      <c r="I27" s="64"/>
      <c r="J27" s="64"/>
      <c r="K27" s="64"/>
      <c r="L27" s="64"/>
    </row>
    <row r="28" spans="1:12" ht="15.75" customHeight="1" x14ac:dyDescent="0.3">
      <c r="A28" s="51"/>
      <c r="B28" s="63"/>
      <c r="C28" s="63"/>
      <c r="D28" s="63"/>
      <c r="E28" s="63"/>
      <c r="F28" s="63"/>
      <c r="G28" s="58"/>
      <c r="I28" s="64"/>
      <c r="J28" s="64"/>
      <c r="K28" s="64"/>
      <c r="L28" s="64"/>
    </row>
    <row r="29" spans="1:12" ht="15.75" customHeight="1" x14ac:dyDescent="0.3">
      <c r="A29" s="51"/>
      <c r="B29" s="63"/>
      <c r="C29" s="63"/>
      <c r="D29" s="63"/>
      <c r="E29" s="63"/>
      <c r="F29" s="63"/>
      <c r="G29" s="58"/>
      <c r="I29" s="64"/>
      <c r="J29" s="64"/>
      <c r="K29" s="64"/>
    </row>
    <row r="30" spans="1:12" ht="15.75" customHeight="1" x14ac:dyDescent="0.3">
      <c r="A30" s="51" t="s">
        <v>141</v>
      </c>
      <c r="B30" s="68">
        <f t="shared" ref="B30:F30" si="10">B19</f>
        <v>7.5046259582342054E-2</v>
      </c>
      <c r="C30" s="68">
        <f t="shared" si="10"/>
        <v>6.236855567555278E-2</v>
      </c>
      <c r="D30" s="68">
        <f t="shared" si="10"/>
        <v>4.3926185893807312E-2</v>
      </c>
      <c r="E30" s="68">
        <f t="shared" si="10"/>
        <v>6.9838650687669576E-2</v>
      </c>
      <c r="F30" s="68">
        <f t="shared" si="10"/>
        <v>9.5080996489447192E-2</v>
      </c>
      <c r="G30" s="58"/>
      <c r="I30" s="64"/>
      <c r="J30" s="64"/>
      <c r="K30" s="64"/>
      <c r="L30" s="64"/>
    </row>
    <row r="31" spans="1:12" ht="15.75" customHeight="1" x14ac:dyDescent="0.3">
      <c r="A31" s="51" t="s">
        <v>149</v>
      </c>
      <c r="B31" s="62">
        <f t="shared" ref="B31:F31" si="11">B5/B15</f>
        <v>4.805640243902439</v>
      </c>
      <c r="C31" s="62">
        <f t="shared" si="11"/>
        <v>4.6949096003736077</v>
      </c>
      <c r="D31" s="62">
        <f t="shared" si="11"/>
        <v>6.4254019058703715</v>
      </c>
      <c r="E31" s="62">
        <f t="shared" si="11"/>
        <v>6.5939988782950083</v>
      </c>
      <c r="F31" s="62">
        <f t="shared" si="11"/>
        <v>5.0909025659429394</v>
      </c>
      <c r="G31" s="58"/>
      <c r="I31" s="64"/>
      <c r="J31" s="64"/>
      <c r="K31" s="64"/>
      <c r="L31" s="64"/>
    </row>
    <row r="32" spans="1:12" ht="15.75" customHeight="1" x14ac:dyDescent="0.3">
      <c r="A32" s="51" t="s">
        <v>150</v>
      </c>
      <c r="B32" s="62">
        <f t="shared" ref="B32:F32" si="12">B15/B13</f>
        <v>0.31862060591342362</v>
      </c>
      <c r="C32" s="62">
        <f t="shared" si="12"/>
        <v>0.28549932382240339</v>
      </c>
      <c r="D32" s="62">
        <f t="shared" si="12"/>
        <v>0.24844125567021488</v>
      </c>
      <c r="E32" s="62">
        <f t="shared" si="12"/>
        <v>0.28855334919324821</v>
      </c>
      <c r="F32" s="62">
        <f t="shared" si="12"/>
        <v>0.32541165479388062</v>
      </c>
      <c r="G32" s="58"/>
      <c r="I32" s="64"/>
      <c r="J32" s="64"/>
      <c r="K32" s="64"/>
      <c r="L32" s="64"/>
    </row>
    <row r="33" spans="1:7" ht="15.75" customHeight="1" x14ac:dyDescent="0.3">
      <c r="A33" s="51" t="s">
        <v>151</v>
      </c>
      <c r="B33" s="62">
        <f t="shared" ref="B33:F33" si="13">B30*B31*B32</f>
        <v>0.11490903203610386</v>
      </c>
      <c r="C33" s="62">
        <f t="shared" si="13"/>
        <v>8.3598407649378134E-2</v>
      </c>
      <c r="D33" s="62">
        <f t="shared" si="13"/>
        <v>7.0120904342797233E-2</v>
      </c>
      <c r="E33" s="62">
        <f t="shared" si="13"/>
        <v>0.13288342962567365</v>
      </c>
      <c r="F33" s="62">
        <f t="shared" si="13"/>
        <v>0.15751488964148078</v>
      </c>
      <c r="G33" s="58"/>
    </row>
    <row r="34" spans="1:7" ht="15.75" customHeight="1" x14ac:dyDescent="0.3">
      <c r="A34" s="58"/>
      <c r="B34" s="58"/>
      <c r="C34" s="58"/>
      <c r="D34" s="58"/>
      <c r="E34" s="58"/>
      <c r="F34" s="58"/>
      <c r="G34" s="58"/>
    </row>
    <row r="35" spans="1:7" ht="15.75" customHeight="1" x14ac:dyDescent="0.3">
      <c r="A35" s="43" t="s">
        <v>152</v>
      </c>
      <c r="B35" s="69">
        <v>5</v>
      </c>
      <c r="C35" s="58" t="s">
        <v>153</v>
      </c>
      <c r="D35" s="58"/>
      <c r="E35" s="58"/>
      <c r="F35" s="58"/>
      <c r="G35" s="58"/>
    </row>
    <row r="36" spans="1:7" ht="15.75" customHeight="1" x14ac:dyDescent="0.3">
      <c r="A36" s="51" t="s">
        <v>154</v>
      </c>
      <c r="B36" s="70">
        <v>513624</v>
      </c>
      <c r="C36" s="58" t="s">
        <v>153</v>
      </c>
      <c r="D36" s="58"/>
      <c r="E36" s="58"/>
      <c r="F36" s="58"/>
      <c r="G36" s="58"/>
    </row>
    <row r="37" spans="1:7" ht="15.75" customHeight="1" x14ac:dyDescent="0.3">
      <c r="A37" s="51" t="s">
        <v>155</v>
      </c>
      <c r="B37" s="71">
        <f>F8*(1+G8)</f>
        <v>16036.071763200662</v>
      </c>
      <c r="C37" s="58" t="s">
        <v>156</v>
      </c>
      <c r="D37" s="58"/>
      <c r="E37" s="58"/>
      <c r="F37" s="58"/>
      <c r="G37" s="58"/>
    </row>
    <row r="38" spans="1:7" ht="15.75" customHeight="1" x14ac:dyDescent="0.3">
      <c r="A38" s="51" t="s">
        <v>157</v>
      </c>
      <c r="B38" s="70">
        <v>35.299999999999997</v>
      </c>
      <c r="C38" s="58"/>
      <c r="D38" s="58"/>
      <c r="E38" s="58"/>
      <c r="F38" s="58"/>
      <c r="G38" s="58"/>
    </row>
    <row r="39" spans="1:7" ht="15.75" customHeight="1" x14ac:dyDescent="0.3">
      <c r="A39" s="51"/>
      <c r="B39" s="63"/>
      <c r="C39" s="58"/>
      <c r="D39" s="58"/>
      <c r="E39" s="58"/>
      <c r="F39" s="58"/>
      <c r="G39" s="58"/>
    </row>
    <row r="40" spans="1:7" ht="15.75" customHeight="1" x14ac:dyDescent="0.3">
      <c r="A40" s="51" t="s">
        <v>158</v>
      </c>
      <c r="B40" s="72">
        <v>40</v>
      </c>
      <c r="C40" s="58" t="s">
        <v>159</v>
      </c>
      <c r="D40" s="58"/>
      <c r="E40" s="58"/>
      <c r="F40" s="58"/>
      <c r="G40" s="58"/>
    </row>
    <row r="41" spans="1:7" ht="15.75" customHeight="1" x14ac:dyDescent="0.3">
      <c r="A41" s="51" t="s">
        <v>160</v>
      </c>
      <c r="B41" s="73">
        <f>F5*(1+G41)^3</f>
        <v>215748.28574999992</v>
      </c>
      <c r="C41" s="58"/>
      <c r="D41" s="43" t="s">
        <v>161</v>
      </c>
      <c r="E41" s="74"/>
      <c r="F41" s="74"/>
      <c r="G41" s="75">
        <v>0.15</v>
      </c>
    </row>
    <row r="42" spans="1:7" ht="15.75" customHeight="1" x14ac:dyDescent="0.3">
      <c r="A42" s="51" t="s">
        <v>162</v>
      </c>
      <c r="B42" s="76">
        <v>0.1</v>
      </c>
      <c r="C42" s="58"/>
      <c r="D42" s="58"/>
      <c r="E42" s="58"/>
      <c r="F42" s="58"/>
      <c r="G42" s="58"/>
    </row>
    <row r="43" spans="1:7" ht="15.75" customHeight="1" x14ac:dyDescent="0.3">
      <c r="A43" s="51" t="s">
        <v>163</v>
      </c>
      <c r="B43" s="73">
        <f>B41*B42</f>
        <v>21574.828574999992</v>
      </c>
      <c r="C43" s="58"/>
      <c r="D43" s="58"/>
      <c r="E43" s="58"/>
      <c r="F43" s="58"/>
      <c r="G43" s="58"/>
    </row>
    <row r="44" spans="1:7" ht="15.75" customHeight="1" x14ac:dyDescent="0.3">
      <c r="A44" s="51" t="s">
        <v>164</v>
      </c>
      <c r="B44" s="77">
        <f>B43*B40</f>
        <v>862993.14299999969</v>
      </c>
      <c r="C44" s="58"/>
      <c r="D44" s="58"/>
      <c r="E44" s="58"/>
      <c r="F44" s="58"/>
      <c r="G44" s="58"/>
    </row>
    <row r="45" spans="1:7" ht="15.75" customHeight="1" x14ac:dyDescent="0.3">
      <c r="A45" s="58"/>
      <c r="B45" s="58"/>
      <c r="C45" s="58"/>
      <c r="D45" s="58"/>
      <c r="E45" s="58"/>
      <c r="F45" s="58"/>
      <c r="G45" s="58"/>
    </row>
    <row r="46" spans="1:7" ht="15.75" customHeight="1" x14ac:dyDescent="0.3">
      <c r="A46" s="43" t="s">
        <v>165</v>
      </c>
      <c r="B46" s="78">
        <f>(B44/B36)-1</f>
        <v>0.68020408508948127</v>
      </c>
      <c r="C46" s="74"/>
      <c r="D46" s="74"/>
      <c r="E46" s="74"/>
      <c r="F46" s="74"/>
      <c r="G46" s="74"/>
    </row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4:F4"/>
  </mergeCells>
  <hyperlinks>
    <hyperlink ref="B1" r:id="rId1" location="profit-loss" xr:uid="{8582E5D5-6FE1-4DEB-8AC3-E04BA67D198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Model</vt:lpstr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Kumari</dc:creator>
  <cp:lastModifiedBy>Rashmi Kumari</cp:lastModifiedBy>
  <dcterms:created xsi:type="dcterms:W3CDTF">2026-01-14T07:57:20Z</dcterms:created>
  <dcterms:modified xsi:type="dcterms:W3CDTF">2026-01-14T08:01:29Z</dcterms:modified>
</cp:coreProperties>
</file>