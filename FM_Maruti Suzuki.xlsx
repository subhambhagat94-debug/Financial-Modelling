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2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65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70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74.xml"/>
  <Override ContentType="application/vnd.openxmlformats-officedocument.drawing+xml" PartName="/xl/drawings/drawing10.xml"/>
  <Override ContentType="application/vnd.openxmlformats-officedocument.drawing+xml" PartName="/xl/drawings/drawing70.xml"/>
  <Override ContentType="application/vnd.openxmlformats-officedocument.drawing+xml" PartName="/xl/drawings/drawing53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6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5.xml"/>
  <Override ContentType="application/vnd.openxmlformats-officedocument.drawing+xml" PartName="/xl/drawings/drawing54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72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6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58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SM" sheetId="1" r:id="rId4"/>
    <sheet state="visible" name=" 3SM AD" sheetId="2" r:id="rId5"/>
    <sheet state="visible" name="Copy of 3SM rekha" sheetId="3" r:id="rId6"/>
    <sheet state="visible" name="3SM_Subham" sheetId="4" r:id="rId7"/>
    <sheet state="visible" name="3SM_JJ" sheetId="5" r:id="rId8"/>
    <sheet state="visible" name="BV_Umesh" sheetId="6" r:id="rId9"/>
    <sheet state="visible" name="3SM_JK" sheetId="7" r:id="rId10"/>
    <sheet state="visible" name="3SM_SUYOG Y" sheetId="8" r:id="rId11"/>
    <sheet state="visible" name="3SM ROBIN" sheetId="9" r:id="rId12"/>
    <sheet state="visible" name="Umesh 3SM_JK" sheetId="10" r:id="rId13"/>
    <sheet state="visible" name=" 3SM_AD" sheetId="11" r:id="rId14"/>
    <sheet state="visible" name="Noel_3SM_JK" sheetId="12" r:id="rId15"/>
    <sheet state="visible" name="3SM_Sushanth" sheetId="13" r:id="rId16"/>
    <sheet state="visible" name="3SM_Harshita" sheetId="14" r:id="rId17"/>
    <sheet state="visible" name=" 3SM JK 5_Bharati" sheetId="15" r:id="rId18"/>
    <sheet state="visible" name="3SM Ayushi" sheetId="16" r:id="rId19"/>
    <sheet state="visible" name="3SM Sonal" sheetId="17" r:id="rId20"/>
    <sheet state="visible" name="shashank 3sm jk" sheetId="18" r:id="rId21"/>
    <sheet state="visible" name="Copy of 3SM JK 1" sheetId="19" r:id="rId22"/>
    <sheet state="visible" name="3SM-ANKIT" sheetId="20" r:id="rId23"/>
    <sheet state="visible" name="rucksana " sheetId="21" r:id="rId24"/>
    <sheet state="visible" name="3SM_Deepika" sheetId="22" r:id="rId25"/>
    <sheet state="visible" name="3SM JK Umesh" sheetId="23" r:id="rId26"/>
    <sheet state="visible" name="3SM _VK" sheetId="24" r:id="rId27"/>
    <sheet state="visible" name=" 3SM_Geeta" sheetId="25" r:id="rId28"/>
    <sheet state="visible" name="3SM Bhumi" sheetId="26" r:id="rId29"/>
    <sheet state="visible" name="3SM NISHI" sheetId="27" r:id="rId30"/>
    <sheet state="visible" name="3SM Ashwin" sheetId="28" r:id="rId31"/>
    <sheet state="visible" name="3SM shalini" sheetId="29" r:id="rId32"/>
    <sheet state="visible" name="Sheet6" sheetId="30" r:id="rId33"/>
    <sheet state="visible" name="Sheet7" sheetId="31" r:id="rId34"/>
    <sheet state="visible" name="Sheet5" sheetId="32" r:id="rId35"/>
    <sheet state="visible" name="Sheet8" sheetId="33" r:id="rId36"/>
    <sheet state="visible" name="3SM Shimi" sheetId="34" r:id="rId37"/>
    <sheet state="visible" name="3SM _DIVYA" sheetId="35" r:id="rId38"/>
    <sheet state="visible" name="BV" sheetId="36" r:id="rId39"/>
    <sheet state="visible" name="BV_JK" sheetId="37" r:id="rId40"/>
    <sheet state="visible" name="BV Amlan" sheetId="38" r:id="rId41"/>
    <sheet state="visible" name="BV_Sushanth" sheetId="39" r:id="rId42"/>
    <sheet state="visible" name="BV_SUYOG Y" sheetId="40" r:id="rId43"/>
    <sheet state="visible" name="BV_Harshita" sheetId="41" r:id="rId44"/>
    <sheet state="visible" name="BV_Subham" sheetId="42" r:id="rId45"/>
    <sheet state="visible" name=" 3SM Aarti" sheetId="43" r:id="rId46"/>
    <sheet state="visible" name=" BV_Ayushi" sheetId="44" r:id="rId47"/>
    <sheet state="visible" name="BV Rekha" sheetId="45" r:id="rId48"/>
    <sheet state="visible" name="BV_Shimi" sheetId="46" r:id="rId49"/>
    <sheet state="visible" name="BV_Bikash" sheetId="47" r:id="rId50"/>
    <sheet state="visible" name="BV NISHI" sheetId="48" r:id="rId51"/>
    <sheet state="visible" name="BV_Deepika" sheetId="49" r:id="rId52"/>
    <sheet state="visible" name="BV_Geeta" sheetId="50" r:id="rId53"/>
    <sheet state="visible" name="Copy of BV_JK 3" sheetId="51" r:id="rId54"/>
    <sheet state="visible" name=" BV_shalini" sheetId="52" r:id="rId55"/>
    <sheet state="visible" name="BV_Ashwin" sheetId="53" r:id="rId56"/>
    <sheet state="visible" name="BV_Gaurav" sheetId="54" r:id="rId57"/>
    <sheet state="visible" name="BV Shrui" sheetId="55" r:id="rId58"/>
    <sheet state="visible" name="BV_JJ" sheetId="56" r:id="rId59"/>
    <sheet state="visible" name="BV_DIVYA" sheetId="57" r:id="rId60"/>
    <sheet state="visible" name="shashank bv" sheetId="58" r:id="rId61"/>
    <sheet state="visible" name="BV JK Aarti" sheetId="59" r:id="rId62"/>
    <sheet state="visible" name="BV_VK" sheetId="60" r:id="rId63"/>
    <sheet state="visible" name="BV_ROBIN" sheetId="61" r:id="rId64"/>
    <sheet state="visible" name="BV-NISHI" sheetId="62" r:id="rId65"/>
    <sheet state="visible" name="Sheet3" sheetId="63" r:id="rId66"/>
    <sheet state="visible" name="Sheet4" sheetId="64" r:id="rId67"/>
    <sheet state="visible" name="Copy of BV 2" sheetId="65" r:id="rId68"/>
    <sheet state="visible" name="Copy of BV 1" sheetId="66" r:id="rId69"/>
    <sheet state="visible" name=" BV_AD" sheetId="67" r:id="rId70"/>
    <sheet state="visible" name="BV Bhumi" sheetId="68" r:id="rId71"/>
    <sheet state="visible" name=" BV_BharatiG" sheetId="69" r:id="rId72"/>
    <sheet state="visible" name="Copy of BV_JK 2" sheetId="70" r:id="rId73"/>
    <sheet state="visible" name="Copy of BV_Va" sheetId="71" r:id="rId74"/>
    <sheet state="visible" name="BV Sonal" sheetId="72" r:id="rId75"/>
    <sheet state="visible" name="rucksana" sheetId="73" r:id="rId76"/>
    <sheet state="visible" name="Sheet10" sheetId="74" r:id="rId77"/>
  </sheets>
  <definedNames/>
  <calcPr/>
  <extLst>
    <ext uri="GoogleSheetsCustomDataVersion2">
      <go:sheetsCustomData xmlns:go="http://customooxmlschemas.google.com/" r:id="rId78" roundtripDataChecksum="Tt3wAM6zKOHrg5j8zTI41U1WUZpLXZIvKSFu3gno4QI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4">
      <text>
        <t xml:space="preserve">average of historic data
======</t>
      </text>
    </comment>
    <comment authorId="0" ref="K112">
      <text>
        <t xml:space="preserve">average growth rate of historic years
======</t>
      </text>
    </comment>
    <comment authorId="0" ref="K113">
      <text>
        <t xml:space="preserve">average growth rate of historic years
======</t>
      </text>
    </comment>
    <comment authorId="0" ref="K118">
      <text>
        <t xml:space="preserve">average growth rate of historic years
======</t>
      </text>
    </comment>
  </commentList>
</comments>
</file>

<file path=xl/sharedStrings.xml><?xml version="1.0" encoding="utf-8"?>
<sst xmlns="http://schemas.openxmlformats.org/spreadsheetml/2006/main" count="6503" uniqueCount="253">
  <si>
    <t>Revenue</t>
  </si>
  <si>
    <t>Gross Revenue from operations</t>
  </si>
  <si>
    <t>Other Income</t>
  </si>
  <si>
    <t>Total Revenue</t>
  </si>
  <si>
    <t>Costs</t>
  </si>
  <si>
    <t>Raw Materials</t>
  </si>
  <si>
    <t>Purchases</t>
  </si>
  <si>
    <t>Sheet not to be used</t>
  </si>
  <si>
    <t>Changes in Stock in Trade</t>
  </si>
  <si>
    <t>Dont make copy of this sheet</t>
  </si>
  <si>
    <t>Employee Cost</t>
  </si>
  <si>
    <t>instead use 3SM_JK to create copy</t>
  </si>
  <si>
    <t>Other Expenses</t>
  </si>
  <si>
    <t>Vehicles or Dies for Own Usage</t>
  </si>
  <si>
    <t>Total Costs</t>
  </si>
  <si>
    <t>Operating Profits</t>
  </si>
  <si>
    <t>Depreciation &amp; Amortization</t>
  </si>
  <si>
    <t>zz</t>
  </si>
  <si>
    <t>EBIT</t>
  </si>
  <si>
    <t>Interest</t>
  </si>
  <si>
    <t>S</t>
  </si>
  <si>
    <t>Z</t>
  </si>
  <si>
    <t>QWDH</t>
  </si>
  <si>
    <t>Profit Before Exceptional Items and Taxes</t>
  </si>
  <si>
    <t>Other/Exceptional Items</t>
  </si>
  <si>
    <t>Profit Before Taxes</t>
  </si>
  <si>
    <t>Taxes</t>
  </si>
  <si>
    <t>Profit Before Minority Interest and Share in Associates</t>
  </si>
  <si>
    <t>Share in Associates + JV</t>
  </si>
  <si>
    <t>Profit for the Year</t>
  </si>
  <si>
    <t>Sources of Funds</t>
  </si>
  <si>
    <t>Shareholder Funds</t>
  </si>
  <si>
    <t>Share Capital</t>
  </si>
  <si>
    <t>Reserves &amp; Surplus</t>
  </si>
  <si>
    <t>Money Received against Warrants</t>
  </si>
  <si>
    <t>Minority Interest</t>
  </si>
  <si>
    <t>Share Application Money Pending Allotment</t>
  </si>
  <si>
    <t>Long Term Liabilities</t>
  </si>
  <si>
    <t>Loans</t>
  </si>
  <si>
    <t>Other Long Term Liabilities</t>
  </si>
  <si>
    <t>Long Term Provisions</t>
  </si>
  <si>
    <t>Deferred Tax Liabilities</t>
  </si>
  <si>
    <t>Current Liabilities</t>
  </si>
  <si>
    <t>Tax Liabilities</t>
  </si>
  <si>
    <t>Short Term Borrowings</t>
  </si>
  <si>
    <t>Trade Payables</t>
  </si>
  <si>
    <t>Other Current Liabilities</t>
  </si>
  <si>
    <t>Short Term Provisions</t>
  </si>
  <si>
    <t>Other Finance Liabilities</t>
  </si>
  <si>
    <t>Total</t>
  </si>
  <si>
    <t>Application Of Funds</t>
  </si>
  <si>
    <t>Long Term Assets</t>
  </si>
  <si>
    <t>Tangible Assets</t>
  </si>
  <si>
    <t>Intangible Assets</t>
  </si>
  <si>
    <t>Capital Work in Progress</t>
  </si>
  <si>
    <t>Intangible Assets Under Development</t>
  </si>
  <si>
    <t>Non-Current Investments</t>
  </si>
  <si>
    <t>Other Financial Assets</t>
  </si>
  <si>
    <t>Long Term Loans and Advances</t>
  </si>
  <si>
    <t>Other Non Current Assets</t>
  </si>
  <si>
    <t>Current Assets</t>
  </si>
  <si>
    <t>Inventories</t>
  </si>
  <si>
    <t>Receivables</t>
  </si>
  <si>
    <t>Cash &amp; Bank Balances</t>
  </si>
  <si>
    <t>Loans &amp; Advances</t>
  </si>
  <si>
    <t>Other Current Assets</t>
  </si>
  <si>
    <t>Current Tax Asset</t>
  </si>
  <si>
    <t>Investments</t>
  </si>
  <si>
    <t>Capacity</t>
  </si>
  <si>
    <t>New Capacity</t>
  </si>
  <si>
    <t>Domestic</t>
  </si>
  <si>
    <t>Exports</t>
  </si>
  <si>
    <t>Capacity Utilization</t>
  </si>
  <si>
    <t>Growth in Domestic Sales</t>
  </si>
  <si>
    <t>Growth in Export Sales</t>
  </si>
  <si>
    <t>Growth in Total Sales</t>
  </si>
  <si>
    <t>Industry Data</t>
  </si>
  <si>
    <t>Domestic Sales</t>
  </si>
  <si>
    <t>Growth in Domestic Market</t>
  </si>
  <si>
    <t>Growth in Exports</t>
  </si>
  <si>
    <t>Market Share</t>
  </si>
  <si>
    <t>Overall</t>
  </si>
  <si>
    <t>Revenue Per Car</t>
  </si>
  <si>
    <t>Growth</t>
  </si>
  <si>
    <t>Cost Drivers</t>
  </si>
  <si>
    <t>Own Use Vehicles</t>
  </si>
  <si>
    <t>Cost Per Car</t>
  </si>
  <si>
    <t>Working Capital Assumptions</t>
  </si>
  <si>
    <t>Revenue for Operations</t>
  </si>
  <si>
    <t>Working Capital as % of Sales</t>
  </si>
  <si>
    <t>Total Working Capital</t>
  </si>
  <si>
    <t>Change in Net Working Capital</t>
  </si>
  <si>
    <t>Capex Schedule</t>
  </si>
  <si>
    <t>Tangible</t>
  </si>
  <si>
    <t>Intangible</t>
  </si>
  <si>
    <t>Assets per Car Capacity</t>
  </si>
  <si>
    <t>Capex on Account of New Capacity</t>
  </si>
  <si>
    <t>Capex on Account of Wear and Tear</t>
  </si>
  <si>
    <t>Total Capex</t>
  </si>
  <si>
    <t>Depreciation</t>
  </si>
  <si>
    <t>Depreciation as % of LY Net Fixed Assets</t>
  </si>
  <si>
    <t>Tangible Assets (PPE)</t>
  </si>
  <si>
    <t>Right to use of asset</t>
  </si>
  <si>
    <t>Non Current tax</t>
  </si>
  <si>
    <t>Defer Tax</t>
  </si>
  <si>
    <t>Asset for sale</t>
  </si>
  <si>
    <t>Balance check</t>
  </si>
  <si>
    <t>All the values below are in "Ml" millions</t>
  </si>
  <si>
    <t>TV</t>
  </si>
  <si>
    <t>Total Costs (COGS)</t>
  </si>
  <si>
    <t>Trade Payables Micro</t>
  </si>
  <si>
    <t>Tangible Assets(PPE)</t>
  </si>
  <si>
    <t>Non current tax</t>
  </si>
  <si>
    <t xml:space="preserve">Deferred tax </t>
  </si>
  <si>
    <t>balance check</t>
  </si>
  <si>
    <t>Free Cash flow (FCF)</t>
  </si>
  <si>
    <t>PAT (Net Profit)</t>
  </si>
  <si>
    <t>Add : Depreciation</t>
  </si>
  <si>
    <t>Add : Change in Debt</t>
  </si>
  <si>
    <t>Less : Change in working Capital</t>
  </si>
  <si>
    <t>Less : CAPEX</t>
  </si>
  <si>
    <t>Opening Cash</t>
  </si>
  <si>
    <t>Cash Flow for the period</t>
  </si>
  <si>
    <t>Closing Cash</t>
  </si>
  <si>
    <t>Growth %</t>
  </si>
  <si>
    <t>Terminal Value</t>
  </si>
  <si>
    <t>Cash Growth</t>
  </si>
  <si>
    <t>Discount Rate</t>
  </si>
  <si>
    <t>Risk free rate</t>
  </si>
  <si>
    <t>Market Premium</t>
  </si>
  <si>
    <t>Switch MP</t>
  </si>
  <si>
    <t>PV of cash for the period</t>
  </si>
  <si>
    <t>Cash as on today (T)</t>
  </si>
  <si>
    <t>Total EV (Enterprise value)</t>
  </si>
  <si>
    <t>&lt;&lt; VALUATION</t>
  </si>
  <si>
    <t>No of Shares</t>
  </si>
  <si>
    <t>Per Share value</t>
  </si>
  <si>
    <t>Current share price</t>
  </si>
  <si>
    <t>P/L</t>
  </si>
  <si>
    <t>Maruti Suzuki</t>
  </si>
  <si>
    <t>https://www.screener.in/company/MARUTI/consolidated/#profit-loss</t>
  </si>
  <si>
    <t>CAGR</t>
  </si>
  <si>
    <t>All numbers are in Crores (Cr.)</t>
  </si>
  <si>
    <t>Fill in the company details here</t>
  </si>
  <si>
    <t>Sales</t>
  </si>
  <si>
    <t>Operating Profit (EBITDA)</t>
  </si>
  <si>
    <t>Profit (PAT)</t>
  </si>
  <si>
    <t>Dividend</t>
  </si>
  <si>
    <t>DPS</t>
  </si>
  <si>
    <t>Cash Flow from Operating Activities</t>
  </si>
  <si>
    <t>Net Worth</t>
  </si>
  <si>
    <t>Debt</t>
  </si>
  <si>
    <t>Assets</t>
  </si>
  <si>
    <t>Operating Profit Margin</t>
  </si>
  <si>
    <t>Net Profit Margin</t>
  </si>
  <si>
    <t>CFO / Interest</t>
  </si>
  <si>
    <t>OP / Interest</t>
  </si>
  <si>
    <t>Debt/Equity</t>
  </si>
  <si>
    <t>Return on Equity</t>
  </si>
  <si>
    <t>Return on Capital Employed</t>
  </si>
  <si>
    <t>Dividend Rate</t>
  </si>
  <si>
    <t>Dividend Payout Ratio</t>
  </si>
  <si>
    <t>Asset Turnover Ratio</t>
  </si>
  <si>
    <t>Gearing</t>
  </si>
  <si>
    <t>Return on Equity - Dupont</t>
  </si>
  <si>
    <t>Face Value</t>
  </si>
  <si>
    <t>Market Capitalization</t>
  </si>
  <si>
    <t>Expected Profits Current Year</t>
  </si>
  <si>
    <t>Current P/E</t>
  </si>
  <si>
    <t>3-year Forward PE Multiple</t>
  </si>
  <si>
    <t>Sales in 2027</t>
  </si>
  <si>
    <t>Expected sales growth rate</t>
  </si>
  <si>
    <t>NPM</t>
  </si>
  <si>
    <t>Net Profit in 2027</t>
  </si>
  <si>
    <t>Expected Market Capitalization in 2027</t>
  </si>
  <si>
    <t>CAGR in stock price</t>
  </si>
  <si>
    <t>All the values in 3statement in "Ml" millions</t>
  </si>
  <si>
    <t>EBITDA</t>
  </si>
  <si>
    <t>EBIT (Operating Profits)</t>
  </si>
  <si>
    <t>Profit Before Taxes (PBT)</t>
  </si>
  <si>
    <t>Profit for the Year (PAT)</t>
  </si>
  <si>
    <t>Export</t>
  </si>
  <si>
    <t>T</t>
  </si>
  <si>
    <t>&lt;&lt; Valuation</t>
  </si>
  <si>
    <t>Profit Before Taxes(PBT)</t>
  </si>
  <si>
    <t>Trade Payables micro</t>
  </si>
  <si>
    <t>start</t>
  </si>
  <si>
    <t>Non Current Tax</t>
  </si>
  <si>
    <t>Differed Tax</t>
  </si>
  <si>
    <t>Asset for Sale</t>
  </si>
  <si>
    <t>Operating Profits (EBITDA)</t>
  </si>
  <si>
    <t>EBITA</t>
  </si>
  <si>
    <t>Operating profit (EBIT)</t>
  </si>
  <si>
    <t>Other Equity</t>
  </si>
  <si>
    <t>Loans(Lease Liabilities)</t>
  </si>
  <si>
    <t>Right-of-use assets</t>
  </si>
  <si>
    <t xml:space="preserve">Non-current tax assets </t>
  </si>
  <si>
    <t>Deferred Tax</t>
  </si>
  <si>
    <t>Asset Classified as held for sale</t>
  </si>
  <si>
    <t>Current tax Assets</t>
  </si>
  <si>
    <t>EBIT Operating Profits</t>
  </si>
  <si>
    <t>Non Controlling Interest</t>
  </si>
  <si>
    <t>Lease Liabilities</t>
  </si>
  <si>
    <t>Loans (Borrowings)</t>
  </si>
  <si>
    <t>Tax Liabilities (Current Tax Liabilities)</t>
  </si>
  <si>
    <t xml:space="preserve">Asset classified as held for sale </t>
  </si>
  <si>
    <t>Balance Check</t>
  </si>
  <si>
    <t>#</t>
  </si>
  <si>
    <t>Total Costs(COGS)</t>
  </si>
  <si>
    <t>Operating Profits(EBITDA)</t>
  </si>
  <si>
    <t>Profit for the Year(PAT)</t>
  </si>
  <si>
    <t>Right of use assets</t>
  </si>
  <si>
    <t>other non current tax assets</t>
  </si>
  <si>
    <t>deffere tax assets (net)</t>
  </si>
  <si>
    <t>assets classified held for sale</t>
  </si>
  <si>
    <t>All the values below are in Millions</t>
  </si>
  <si>
    <t>Tangible Assets PPE</t>
  </si>
  <si>
    <t>Non current Tax</t>
  </si>
  <si>
    <t>-</t>
  </si>
  <si>
    <t>Asset classified as sale</t>
  </si>
  <si>
    <t>All numbers are in crore(cr)</t>
  </si>
  <si>
    <t>instead use BV_JK to create copy</t>
  </si>
  <si>
    <t>D_Cost</t>
  </si>
  <si>
    <t>OP</t>
  </si>
  <si>
    <t>I_Cost</t>
  </si>
  <si>
    <t>PBT</t>
  </si>
  <si>
    <t>&lt;&lt; PM BT</t>
  </si>
  <si>
    <t>Tax</t>
  </si>
  <si>
    <t>PAT</t>
  </si>
  <si>
    <t>&lt;&lt; NPM</t>
  </si>
  <si>
    <t>&lt;&lt; 2025</t>
  </si>
  <si>
    <t>&lt;&lt; Assumption</t>
  </si>
  <si>
    <t>&lt;&lt;NPM</t>
  </si>
  <si>
    <t>&lt;&lt;Assumption</t>
  </si>
  <si>
    <t>(from screener link)</t>
  </si>
  <si>
    <t>Screener</t>
  </si>
  <si>
    <t>&lt;&lt;2025</t>
  </si>
  <si>
    <t>Net Profit Margin (NPM)</t>
  </si>
  <si>
    <t>All the values below are in millions</t>
  </si>
  <si>
    <t>Assumption</t>
  </si>
  <si>
    <t>All the numbers are in crores</t>
  </si>
  <si>
    <t>Maruti Suzuki India Ltd share price</t>
  </si>
  <si>
    <t>all numbers are in crores</t>
  </si>
  <si>
    <t>C</t>
  </si>
  <si>
    <t xml:space="preserve">rucksana </t>
  </si>
  <si>
    <t>ALL NUMBERS IN CRORES (CR)</t>
  </si>
  <si>
    <t xml:space="preserve"> </t>
  </si>
  <si>
    <t xml:space="preserve">All numbers in crores </t>
  </si>
  <si>
    <t>sales</t>
  </si>
  <si>
    <t xml:space="preserve">D cost </t>
  </si>
  <si>
    <t>op</t>
  </si>
  <si>
    <t>i cost</t>
  </si>
  <si>
    <t xml:space="preserve">PBT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</si>
</sst>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[$₹]#,##0"/>
    <numFmt numFmtId="166" formatCode="0.0"/>
  </numFmts>
  <fonts count="46">
    <font>
      <sz val="10.0"/>
      <color rgb="FF000000"/>
      <name val="Arial"/>
      <scheme val="minor"/>
    </font>
    <font>
      <sz val="11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000000"/>
      <name val="Arial"/>
    </font>
    <font>
      <sz val="10.0"/>
      <color theme="1"/>
      <name val="Arial"/>
    </font>
    <font>
      <b/>
      <sz val="10.0"/>
      <color theme="1"/>
      <name val="Arial"/>
    </font>
    <font>
      <color rgb="FFFFFFFF"/>
      <name val="Arial"/>
      <scheme val="minor"/>
    </font>
    <font>
      <color theme="1"/>
      <name val="Arial"/>
      <scheme val="minor"/>
    </font>
    <font>
      <color rgb="FF0000FF"/>
      <name val="Arial"/>
      <scheme val="minor"/>
    </font>
    <font>
      <b/>
      <color theme="1"/>
      <name val="Arial"/>
      <scheme val="minor"/>
    </font>
    <font>
      <i/>
      <sz val="10.0"/>
      <color theme="1"/>
      <name val="Arial"/>
    </font>
    <font>
      <i/>
      <sz val="10.0"/>
      <color theme="1"/>
      <name val="Arial"/>
      <scheme val="minor"/>
    </font>
    <font>
      <sz val="12.0"/>
      <color rgb="FFF4F5F7"/>
      <name val="Muli"/>
    </font>
    <font>
      <color theme="4"/>
      <name val="Arial"/>
      <scheme val="minor"/>
    </font>
    <font>
      <color theme="1"/>
      <name val="Arial"/>
    </font>
    <font>
      <color rgb="FF0000FF"/>
      <name val="Arial"/>
    </font>
    <font>
      <color rgb="FF4285F4"/>
      <name val="Arial"/>
      <scheme val="minor"/>
    </font>
    <font>
      <b/>
      <color theme="1"/>
      <name val="Arial"/>
    </font>
    <font>
      <u/>
      <sz val="10.0"/>
      <color theme="10"/>
      <name val="Arial"/>
    </font>
    <font>
      <sz val="11.0"/>
      <color rgb="FF000000"/>
      <name val="Calibri"/>
    </font>
    <font>
      <i/>
      <sz val="11.0"/>
      <color rgb="FF000000"/>
      <name val="Calibri"/>
    </font>
    <font>
      <b/>
      <sz val="11.0"/>
      <color rgb="FF000000"/>
      <name val="Calibri"/>
    </font>
    <font/>
    <font>
      <sz val="11.0"/>
      <color rgb="FF2F75B5"/>
      <name val="Calibri"/>
    </font>
    <font>
      <color rgb="FF22222F"/>
      <name val="&quot;Inter var&quot;"/>
    </font>
    <font>
      <sz val="10.0"/>
      <color theme="1"/>
      <name val="Arial"/>
      <scheme val="minor"/>
    </font>
    <font>
      <b/>
      <color rgb="FF0000FF"/>
      <name val="Arial"/>
      <scheme val="minor"/>
    </font>
    <font>
      <b/>
      <color rgb="FF4A86E8"/>
      <name val="Arial"/>
      <scheme val="minor"/>
    </font>
    <font>
      <sz val="10.0"/>
      <color rgb="FF0000FF"/>
      <name val="Arial"/>
    </font>
    <font>
      <color rgb="FF0B5394"/>
      <name val="Arial"/>
      <scheme val="minor"/>
    </font>
    <font>
      <color rgb="FF000000"/>
      <name val="Arial"/>
    </font>
    <font>
      <b/>
      <color rgb="FF0000FF"/>
      <name val="Arial"/>
    </font>
    <font>
      <b/>
      <color rgb="FF000000"/>
      <name val="Arial"/>
    </font>
    <font>
      <color rgb="FF000000"/>
      <name val="Arial"/>
      <scheme val="minor"/>
    </font>
    <font>
      <i/>
      <sz val="11.0"/>
      <color theme="1"/>
      <name val="Arial"/>
    </font>
    <font>
      <b/>
      <sz val="11.0"/>
      <color rgb="FF0000FF"/>
      <name val="Arial"/>
    </font>
    <font>
      <u/>
      <sz val="10.0"/>
      <color rgb="FF0000FF"/>
      <name val="Arial"/>
    </font>
    <font>
      <sz val="10.0"/>
      <color theme="10"/>
      <name val="Arial"/>
    </font>
    <font>
      <sz val="11.0"/>
      <color rgb="FF22222F"/>
      <name val="&quot;Inter var&quot;"/>
    </font>
    <font>
      <sz val="11.0"/>
      <color rgb="FF22222F"/>
      <name val="Arial"/>
    </font>
    <font>
      <sz val="11.0"/>
      <color theme="1"/>
      <name val="Calibri"/>
    </font>
    <font>
      <u/>
      <color rgb="FF0000FF"/>
      <name val="Arial"/>
    </font>
    <font>
      <i/>
      <sz val="11.0"/>
      <color theme="1"/>
      <name val="Calibri"/>
    </font>
    <font>
      <b/>
      <sz val="11.0"/>
      <color theme="1"/>
      <name val="Calibri"/>
    </font>
    <font>
      <color rgb="FF22222F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980000"/>
        <bgColor rgb="FF980000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6FA8DC"/>
        <bgColor rgb="FF6FA8DC"/>
      </patternFill>
    </fill>
    <fill>
      <patternFill patternType="solid">
        <fgColor rgb="FF102548"/>
        <bgColor rgb="FF102548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theme="0"/>
        <bgColor theme="0"/>
      </patternFill>
    </fill>
    <fill>
      <patternFill patternType="solid">
        <fgColor rgb="FFE06666"/>
        <bgColor rgb="FFE06666"/>
      </patternFill>
    </fill>
    <fill>
      <patternFill patternType="solid">
        <fgColor rgb="FFFFE699"/>
        <bgColor rgb="FFFFE699"/>
      </patternFill>
    </fill>
    <fill>
      <patternFill patternType="solid">
        <fgColor rgb="FFFFFF99"/>
        <bgColor rgb="FFFFFF99"/>
      </patternFill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6B26B"/>
        <bgColor rgb="FFF6B26B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CCCCCC"/>
        <bgColor rgb="FFCCCCCC"/>
      </patternFill>
    </fill>
    <fill>
      <patternFill patternType="solid">
        <fgColor rgb="FFF8F8FC"/>
        <bgColor rgb="FFF8F8FC"/>
      </patternFill>
    </fill>
    <fill>
      <patternFill patternType="solid">
        <fgColor rgb="FFFFE599"/>
        <bgColor rgb="FFFFE599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double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DBE4F0"/>
      </top>
    </border>
    <border>
      <top style="thin">
        <color rgb="FFDBE4F0"/>
      </top>
    </border>
  </borders>
  <cellStyleXfs count="1">
    <xf borderId="0" fillId="0" fontId="0" numFmtId="0" applyAlignment="1" applyFont="1"/>
  </cellStyleXfs>
  <cellXfs count="37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Border="1" applyFill="1" applyFont="1"/>
    <xf borderId="1" fillId="3" fontId="2" numFmtId="0" xfId="0" applyBorder="1" applyFill="1" applyFont="1"/>
    <xf borderId="2" fillId="0" fontId="3" numFmtId="0" xfId="0" applyBorder="1" applyFont="1"/>
    <xf borderId="0" fillId="0" fontId="4" numFmtId="0" xfId="0" applyFont="1"/>
    <xf borderId="0" fillId="0" fontId="5" numFmtId="3" xfId="0" applyFont="1" applyNumberFormat="1"/>
    <xf borderId="2" fillId="0" fontId="1" numFmtId="0" xfId="0" applyBorder="1" applyFont="1"/>
    <xf borderId="3" fillId="0" fontId="3" numFmtId="0" xfId="0" applyBorder="1" applyFont="1"/>
    <xf borderId="4" fillId="0" fontId="6" numFmtId="3" xfId="0" applyBorder="1" applyFont="1" applyNumberFormat="1"/>
    <xf borderId="4" fillId="0" fontId="6" numFmtId="0" xfId="0" applyBorder="1" applyFont="1"/>
    <xf borderId="0" fillId="4" fontId="7" numFmtId="0" xfId="0" applyAlignment="1" applyFill="1" applyFont="1">
      <alignment readingOrder="0"/>
    </xf>
    <xf borderId="0" fillId="4" fontId="7" numFmtId="0" xfId="0" applyFont="1"/>
    <xf borderId="4" fillId="0" fontId="5" numFmtId="3" xfId="0" applyBorder="1" applyFont="1" applyNumberFormat="1"/>
    <xf borderId="4" fillId="0" fontId="5" numFmtId="0" xfId="0" applyBorder="1" applyFont="1"/>
    <xf borderId="0" fillId="0" fontId="8" numFmtId="0" xfId="0" applyAlignment="1" applyFont="1">
      <alignment readingOrder="0"/>
    </xf>
    <xf borderId="0" fillId="0" fontId="1" numFmtId="0" xfId="0" applyAlignment="1" applyFont="1">
      <alignment horizontal="left"/>
    </xf>
    <xf borderId="0" fillId="0" fontId="2" numFmtId="0" xfId="0" applyFont="1"/>
    <xf borderId="0" fillId="0" fontId="3" numFmtId="0" xfId="0" applyFont="1"/>
    <xf borderId="0" fillId="0" fontId="8" numFmtId="3" xfId="0" applyFont="1" applyNumberFormat="1"/>
    <xf borderId="0" fillId="5" fontId="8" numFmtId="3" xfId="0" applyAlignment="1" applyFill="1" applyFont="1" applyNumberFormat="1">
      <alignment readingOrder="0"/>
    </xf>
    <xf borderId="0" fillId="0" fontId="9" numFmtId="3" xfId="0" applyFont="1" applyNumberFormat="1"/>
    <xf borderId="0" fillId="0" fontId="8" numFmtId="3" xfId="0" applyAlignment="1" applyFont="1" applyNumberFormat="1">
      <alignment readingOrder="0"/>
    </xf>
    <xf borderId="0" fillId="0" fontId="6" numFmtId="3" xfId="0" applyFont="1" applyNumberFormat="1"/>
    <xf borderId="0" fillId="6" fontId="8" numFmtId="0" xfId="0" applyFill="1" applyFont="1"/>
    <xf borderId="0" fillId="0" fontId="8" numFmtId="1" xfId="0" applyFont="1" applyNumberFormat="1"/>
    <xf borderId="0" fillId="0" fontId="8" numFmtId="9" xfId="0" applyAlignment="1" applyFont="1" applyNumberFormat="1">
      <alignment readingOrder="0"/>
    </xf>
    <xf borderId="0" fillId="0" fontId="10" numFmtId="3" xfId="0" applyFont="1" applyNumberFormat="1"/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4" fillId="0" fontId="10" numFmtId="3" xfId="0" applyBorder="1" applyFont="1" applyNumberFormat="1"/>
    <xf borderId="0" fillId="7" fontId="8" numFmtId="3" xfId="0" applyFill="1" applyFont="1" applyNumberFormat="1"/>
    <xf borderId="0" fillId="0" fontId="11" numFmtId="0" xfId="0" applyAlignment="1" applyFont="1">
      <alignment readingOrder="0"/>
    </xf>
    <xf borderId="0" fillId="0" fontId="12" numFmtId="3" xfId="0" applyFont="1" applyNumberFormat="1"/>
    <xf borderId="0" fillId="0" fontId="10" numFmtId="0" xfId="0" applyFont="1"/>
    <xf borderId="0" fillId="0" fontId="8" numFmtId="164" xfId="0" applyFont="1" applyNumberFormat="1"/>
    <xf borderId="0" fillId="0" fontId="10" numFmtId="164" xfId="0" applyFont="1" applyNumberFormat="1"/>
    <xf borderId="0" fillId="5" fontId="8" numFmtId="164" xfId="0" applyAlignment="1" applyFont="1" applyNumberFormat="1">
      <alignment readingOrder="0"/>
    </xf>
    <xf borderId="0" fillId="5" fontId="9" numFmtId="164" xfId="0" applyFont="1" applyNumberFormat="1"/>
    <xf borderId="0" fillId="0" fontId="8" numFmtId="10" xfId="0" applyFont="1" applyNumberFormat="1"/>
    <xf borderId="0" fillId="0" fontId="8" numFmtId="10" xfId="0" applyAlignment="1" applyFont="1" applyNumberFormat="1">
      <alignment readingOrder="0"/>
    </xf>
    <xf borderId="0" fillId="8" fontId="13" numFmtId="4" xfId="0" applyFill="1" applyFont="1" applyNumberFormat="1"/>
    <xf borderId="1" fillId="9" fontId="3" numFmtId="0" xfId="0" applyAlignment="1" applyBorder="1" applyFill="1" applyFont="1">
      <alignment horizontal="right" vertical="bottom"/>
    </xf>
    <xf borderId="0" fillId="10" fontId="8" numFmtId="0" xfId="0" applyAlignment="1" applyFill="1" applyFont="1">
      <alignment readingOrder="0"/>
    </xf>
    <xf borderId="0" fillId="0" fontId="8" numFmtId="0" xfId="0" applyFont="1"/>
    <xf borderId="3" fillId="0" fontId="3" numFmtId="0" xfId="0" applyAlignment="1" applyBorder="1" applyFont="1">
      <alignment readingOrder="0"/>
    </xf>
    <xf borderId="0" fillId="11" fontId="14" numFmtId="3" xfId="0" applyFill="1" applyFont="1" applyNumberFormat="1"/>
    <xf borderId="0" fillId="10" fontId="8" numFmtId="9" xfId="0" applyAlignment="1" applyFont="1" applyNumberFormat="1">
      <alignment readingOrder="0"/>
    </xf>
    <xf borderId="0" fillId="10" fontId="8" numFmtId="3" xfId="0" applyFont="1" applyNumberFormat="1"/>
    <xf borderId="0" fillId="0" fontId="15" numFmtId="3" xfId="0" applyAlignment="1" applyFont="1" applyNumberFormat="1">
      <alignment horizontal="right" vertical="bottom"/>
    </xf>
    <xf borderId="0" fillId="0" fontId="14" numFmtId="3" xfId="0" applyFont="1" applyNumberFormat="1"/>
    <xf borderId="0" fillId="0" fontId="15" numFmtId="3" xfId="0" applyAlignment="1" applyFont="1" applyNumberFormat="1">
      <alignment vertical="bottom"/>
    </xf>
    <xf borderId="0" fillId="0" fontId="10" numFmtId="3" xfId="0" applyAlignment="1" applyFont="1" applyNumberFormat="1">
      <alignment readingOrder="0"/>
    </xf>
    <xf borderId="0" fillId="0" fontId="10" numFmtId="1" xfId="0" applyAlignment="1" applyFont="1" applyNumberFormat="1">
      <alignment readingOrder="0"/>
    </xf>
    <xf borderId="0" fillId="0" fontId="10" numFmtId="1" xfId="0" applyFont="1" applyNumberFormat="1"/>
    <xf borderId="0" fillId="0" fontId="15" numFmtId="0" xfId="0" applyAlignment="1" applyFont="1">
      <alignment horizontal="right" vertical="bottom"/>
    </xf>
    <xf borderId="0" fillId="12" fontId="8" numFmtId="9" xfId="0" applyAlignment="1" applyFill="1" applyFont="1" applyNumberFormat="1">
      <alignment readingOrder="0"/>
    </xf>
    <xf borderId="0" fillId="0" fontId="8" numFmtId="9" xfId="0" applyFont="1" applyNumberFormat="1"/>
    <xf borderId="0" fillId="5" fontId="15" numFmtId="164" xfId="0" applyAlignment="1" applyFont="1" applyNumberFormat="1">
      <alignment horizontal="right" vertical="bottom"/>
    </xf>
    <xf borderId="0" fillId="5" fontId="16" numFmtId="164" xfId="0" applyAlignment="1" applyFont="1" applyNumberFormat="1">
      <alignment horizontal="right" vertical="bottom"/>
    </xf>
    <xf borderId="0" fillId="0" fontId="14" numFmtId="0" xfId="0" applyAlignment="1" applyFont="1">
      <alignment readingOrder="0"/>
    </xf>
    <xf borderId="0" fillId="0" fontId="14" numFmtId="0" xfId="0" applyFont="1"/>
    <xf borderId="0" fillId="0" fontId="17" numFmtId="9" xfId="0" applyAlignment="1" applyFont="1" applyNumberFormat="1">
      <alignment readingOrder="0"/>
    </xf>
    <xf borderId="0" fillId="0" fontId="14" numFmtId="9" xfId="0" applyFont="1" applyNumberFormat="1"/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5" numFmtId="0" xfId="0" applyAlignment="1" applyFont="1">
      <alignment vertical="bottom"/>
    </xf>
    <xf borderId="0" fillId="0" fontId="15" numFmtId="164" xfId="0" applyAlignment="1" applyFont="1" applyNumberFormat="1">
      <alignment horizontal="right" vertical="bottom"/>
    </xf>
    <xf borderId="0" fillId="5" fontId="15" numFmtId="0" xfId="0" applyAlignment="1" applyFont="1">
      <alignment horizontal="right" readingOrder="0" vertical="bottom"/>
    </xf>
    <xf borderId="5" fillId="0" fontId="3" numFmtId="0" xfId="0" applyAlignment="1" applyBorder="1" applyFont="1">
      <alignment vertical="bottom"/>
    </xf>
    <xf borderId="0" fillId="0" fontId="15" numFmtId="0" xfId="0" applyAlignment="1" applyFont="1">
      <alignment vertical="bottom"/>
    </xf>
    <xf borderId="0" fillId="5" fontId="15" numFmtId="3" xfId="0" applyAlignment="1" applyFont="1" applyNumberFormat="1">
      <alignment horizontal="right" vertical="bottom"/>
    </xf>
    <xf borderId="0" fillId="0" fontId="18" numFmtId="3" xfId="0" applyAlignment="1" applyFont="1" applyNumberFormat="1">
      <alignment horizontal="right" vertical="bottom"/>
    </xf>
    <xf borderId="0" fillId="0" fontId="18" numFmtId="164" xfId="0" applyAlignment="1" applyFont="1" applyNumberFormat="1">
      <alignment horizontal="right" vertical="bottom"/>
    </xf>
    <xf borderId="0" fillId="0" fontId="8" numFmtId="164" xfId="0" applyAlignment="1" applyFont="1" applyNumberFormat="1">
      <alignment readingOrder="0"/>
    </xf>
    <xf borderId="0" fillId="0" fontId="5" numFmtId="0" xfId="0" applyFont="1"/>
    <xf borderId="0" fillId="0" fontId="19" numFmtId="0" xfId="0" applyFont="1"/>
    <xf borderId="1" fillId="0" fontId="20" numFmtId="0" xfId="0" applyBorder="1" applyFont="1"/>
    <xf borderId="6" fillId="0" fontId="20" numFmtId="0" xfId="0" applyAlignment="1" applyBorder="1" applyFont="1">
      <alignment horizontal="center"/>
    </xf>
    <xf borderId="6" fillId="0" fontId="21" numFmtId="0" xfId="0" applyAlignment="1" applyBorder="1" applyFont="1">
      <alignment horizontal="center"/>
    </xf>
    <xf borderId="7" fillId="0" fontId="20" numFmtId="0" xfId="0" applyAlignment="1" applyBorder="1" applyFont="1">
      <alignment readingOrder="0"/>
    </xf>
    <xf borderId="8" fillId="13" fontId="22" numFmtId="0" xfId="0" applyAlignment="1" applyBorder="1" applyFill="1" applyFont="1">
      <alignment horizontal="center"/>
    </xf>
    <xf borderId="4" fillId="0" fontId="23" numFmtId="0" xfId="0" applyBorder="1" applyFont="1"/>
    <xf borderId="6" fillId="0" fontId="23" numFmtId="0" xfId="0" applyBorder="1" applyFont="1"/>
    <xf borderId="9" fillId="0" fontId="21" numFmtId="0" xfId="0" applyAlignment="1" applyBorder="1" applyFont="1">
      <alignment horizontal="center"/>
    </xf>
    <xf borderId="10" fillId="0" fontId="20" numFmtId="0" xfId="0" applyBorder="1" applyFont="1"/>
    <xf borderId="11" fillId="14" fontId="24" numFmtId="3" xfId="0" applyAlignment="1" applyBorder="1" applyFill="1" applyFont="1" applyNumberFormat="1">
      <alignment readingOrder="0"/>
    </xf>
    <xf borderId="9" fillId="0" fontId="21" numFmtId="9" xfId="0" applyAlignment="1" applyBorder="1" applyFont="1" applyNumberFormat="1">
      <alignment horizontal="center"/>
    </xf>
    <xf borderId="12" fillId="14" fontId="24" numFmtId="3" xfId="0" applyAlignment="1" applyBorder="1" applyFont="1" applyNumberFormat="1">
      <alignment readingOrder="0"/>
    </xf>
    <xf borderId="12" fillId="14" fontId="24" numFmtId="0" xfId="0" applyAlignment="1" applyBorder="1" applyFont="1">
      <alignment readingOrder="0"/>
    </xf>
    <xf borderId="12" fillId="14" fontId="24" numFmtId="1" xfId="0" applyAlignment="1" applyBorder="1" applyFont="1" applyNumberFormat="1">
      <alignment readingOrder="0"/>
    </xf>
    <xf borderId="12" fillId="15" fontId="24" numFmtId="0" xfId="0" applyAlignment="1" applyBorder="1" applyFill="1" applyFont="1">
      <alignment readingOrder="0"/>
    </xf>
    <xf borderId="12" fillId="16" fontId="24" numFmtId="0" xfId="0" applyBorder="1" applyFill="1" applyFont="1"/>
    <xf borderId="0" fillId="16" fontId="25" numFmtId="0" xfId="0" applyFont="1"/>
    <xf borderId="12" fillId="14" fontId="24" numFmtId="3" xfId="0" applyBorder="1" applyFont="1" applyNumberFormat="1"/>
    <xf borderId="0" fillId="0" fontId="20" numFmtId="0" xfId="0" applyFont="1"/>
    <xf borderId="0" fillId="0" fontId="20" numFmtId="3" xfId="0" applyFont="1" applyNumberFormat="1"/>
    <xf borderId="0" fillId="0" fontId="24" numFmtId="0" xfId="0" applyFont="1"/>
    <xf borderId="9" fillId="0" fontId="20" numFmtId="2" xfId="0" applyBorder="1" applyFont="1" applyNumberFormat="1"/>
    <xf borderId="9" fillId="0" fontId="20" numFmtId="0" xfId="0" applyBorder="1" applyFont="1"/>
    <xf borderId="9" fillId="0" fontId="20" numFmtId="0" xfId="0" applyAlignment="1" applyBorder="1" applyFont="1">
      <alignment horizontal="right"/>
    </xf>
    <xf borderId="9" fillId="0" fontId="20" numFmtId="10" xfId="0" applyAlignment="1" applyBorder="1" applyFont="1" applyNumberFormat="1">
      <alignment horizontal="right"/>
    </xf>
    <xf borderId="13" fillId="14" fontId="20" numFmtId="0" xfId="0" applyAlignment="1" applyBorder="1" applyFont="1">
      <alignment horizontal="right"/>
    </xf>
    <xf borderId="12" fillId="11" fontId="24" numFmtId="3" xfId="0" applyBorder="1" applyFont="1" applyNumberFormat="1"/>
    <xf borderId="12" fillId="14" fontId="20" numFmtId="0" xfId="0" applyBorder="1" applyFont="1"/>
    <xf borderId="9" fillId="0" fontId="20" numFmtId="3" xfId="0" applyBorder="1" applyFont="1" applyNumberFormat="1"/>
    <xf borderId="6" fillId="0" fontId="20" numFmtId="0" xfId="0" applyBorder="1" applyFont="1"/>
    <xf borderId="13" fillId="14" fontId="20" numFmtId="9" xfId="0" applyAlignment="1" applyBorder="1" applyFont="1" applyNumberFormat="1">
      <alignment horizontal="right"/>
    </xf>
    <xf borderId="12" fillId="14" fontId="20" numFmtId="10" xfId="0" applyAlignment="1" applyBorder="1" applyFont="1" applyNumberFormat="1">
      <alignment horizontal="right"/>
    </xf>
    <xf borderId="9" fillId="0" fontId="20" numFmtId="165" xfId="0" applyBorder="1" applyFont="1" applyNumberFormat="1"/>
    <xf borderId="6" fillId="0" fontId="20" numFmtId="10" xfId="0" applyAlignment="1" applyBorder="1" applyFont="1" applyNumberFormat="1">
      <alignment horizontal="right"/>
    </xf>
    <xf borderId="1" fillId="9" fontId="2" numFmtId="0" xfId="0" applyBorder="1" applyFont="1"/>
    <xf borderId="1" fillId="9" fontId="2" numFmtId="0" xfId="0" applyAlignment="1" applyBorder="1" applyFont="1">
      <alignment horizontal="right" readingOrder="0"/>
    </xf>
    <xf borderId="2" fillId="0" fontId="3" numFmtId="0" xfId="0" applyAlignment="1" applyBorder="1" applyFont="1">
      <alignment readingOrder="0"/>
    </xf>
    <xf borderId="0" fillId="2" fontId="8" numFmtId="0" xfId="0" applyFont="1"/>
    <xf borderId="0" fillId="2" fontId="8" numFmtId="3" xfId="0" applyFont="1" applyNumberFormat="1"/>
    <xf borderId="0" fillId="5" fontId="9" numFmtId="3" xfId="0" applyFont="1" applyNumberFormat="1"/>
    <xf borderId="0" fillId="0" fontId="26" numFmtId="0" xfId="0" applyFont="1"/>
    <xf borderId="0" fillId="5" fontId="10" numFmtId="164" xfId="0" applyAlignment="1" applyFont="1" applyNumberFormat="1">
      <alignment readingOrder="0"/>
    </xf>
    <xf borderId="0" fillId="5" fontId="27" numFmtId="164" xfId="0" applyFont="1" applyNumberFormat="1"/>
    <xf borderId="0" fillId="0" fontId="1" numFmtId="3" xfId="0" applyFont="1" applyNumberFormat="1"/>
    <xf borderId="0" fillId="0" fontId="3" numFmtId="0" xfId="0" applyAlignment="1" applyFont="1">
      <alignment readingOrder="0"/>
    </xf>
    <xf borderId="0" fillId="2" fontId="10" numFmtId="0" xfId="0" applyFont="1"/>
    <xf borderId="0" fillId="2" fontId="10" numFmtId="3" xfId="0" applyFont="1" applyNumberFormat="1"/>
    <xf borderId="0" fillId="5" fontId="8" numFmtId="0" xfId="0" applyAlignment="1" applyFont="1">
      <alignment readingOrder="0"/>
    </xf>
    <xf borderId="0" fillId="0" fontId="8" numFmtId="0" xfId="0" applyAlignment="1" applyFont="1">
      <alignment horizontal="center" readingOrder="0"/>
    </xf>
    <xf borderId="5" fillId="0" fontId="3" numFmtId="0" xfId="0" applyAlignment="1" applyBorder="1" applyFont="1">
      <alignment readingOrder="0"/>
    </xf>
    <xf borderId="5" fillId="0" fontId="10" numFmtId="3" xfId="0" applyBorder="1" applyFont="1" applyNumberFormat="1"/>
    <xf borderId="0" fillId="6" fontId="8" numFmtId="3" xfId="0" applyFont="1" applyNumberFormat="1"/>
    <xf borderId="0" fillId="5" fontId="28" numFmtId="3" xfId="0" applyFont="1" applyNumberFormat="1"/>
    <xf borderId="0" fillId="17" fontId="8" numFmtId="0" xfId="0" applyFill="1" applyFont="1"/>
    <xf borderId="0" fillId="17" fontId="8" numFmtId="0" xfId="0" applyAlignment="1" applyFont="1">
      <alignment readingOrder="0"/>
    </xf>
    <xf borderId="0" fillId="18" fontId="8" numFmtId="0" xfId="0" applyAlignment="1" applyFill="1" applyFont="1">
      <alignment readingOrder="0"/>
    </xf>
    <xf borderId="0" fillId="18" fontId="9" numFmtId="0" xfId="0" applyAlignment="1" applyFont="1">
      <alignment readingOrder="0"/>
    </xf>
    <xf borderId="4" fillId="0" fontId="6" numFmtId="1" xfId="0" applyBorder="1" applyFont="1" applyNumberFormat="1"/>
    <xf borderId="4" fillId="0" fontId="5" numFmtId="1" xfId="0" applyBorder="1" applyFont="1" applyNumberFormat="1"/>
    <xf borderId="0" fillId="19" fontId="5" numFmtId="3" xfId="0" applyFill="1" applyFont="1" applyNumberFormat="1"/>
    <xf borderId="0" fillId="19" fontId="29" numFmtId="3" xfId="0" applyFont="1" applyNumberFormat="1"/>
    <xf borderId="0" fillId="0" fontId="9" numFmtId="0" xfId="0" applyFont="1"/>
    <xf borderId="0" fillId="19" fontId="5" numFmtId="9" xfId="0" applyAlignment="1" applyFont="1" applyNumberFormat="1">
      <alignment readingOrder="0"/>
    </xf>
    <xf borderId="0" fillId="19" fontId="29" numFmtId="9" xfId="0" applyAlignment="1" applyFont="1" applyNumberFormat="1">
      <alignment readingOrder="0"/>
    </xf>
    <xf borderId="0" fillId="19" fontId="5" numFmtId="3" xfId="0" applyAlignment="1" applyFont="1" applyNumberFormat="1">
      <alignment readingOrder="0"/>
    </xf>
    <xf borderId="0" fillId="17" fontId="10" numFmtId="3" xfId="0" applyFont="1" applyNumberFormat="1"/>
    <xf borderId="0" fillId="0" fontId="9" numFmtId="3" xfId="0" applyAlignment="1" applyFont="1" applyNumberFormat="1">
      <alignment readingOrder="0"/>
    </xf>
    <xf borderId="0" fillId="17" fontId="8" numFmtId="3" xfId="0" applyFont="1" applyNumberFormat="1"/>
    <xf borderId="0" fillId="20" fontId="8" numFmtId="0" xfId="0" applyFill="1" applyFont="1"/>
    <xf borderId="3" fillId="0" fontId="3" numFmtId="3" xfId="0" applyBorder="1" applyFont="1" applyNumberFormat="1"/>
    <xf borderId="0" fillId="21" fontId="8" numFmtId="0" xfId="0" applyFill="1" applyFont="1"/>
    <xf borderId="0" fillId="16" fontId="9" numFmtId="3" xfId="0" applyFont="1" applyNumberFormat="1"/>
    <xf borderId="0" fillId="22" fontId="8" numFmtId="3" xfId="0" applyFill="1" applyFont="1" applyNumberFormat="1"/>
    <xf borderId="0" fillId="18" fontId="30" numFmtId="0" xfId="0" applyAlignment="1" applyFont="1">
      <alignment readingOrder="0"/>
    </xf>
    <xf borderId="0" fillId="21" fontId="8" numFmtId="0" xfId="0" applyAlignment="1" applyFont="1">
      <alignment readingOrder="0"/>
    </xf>
    <xf borderId="0" fillId="5" fontId="9" numFmtId="164" xfId="0" applyAlignment="1" applyFont="1" applyNumberFormat="1">
      <alignment readingOrder="0"/>
    </xf>
    <xf borderId="0" fillId="0" fontId="8" numFmtId="166" xfId="0" applyFont="1" applyNumberFormat="1"/>
    <xf borderId="0" fillId="0" fontId="1" numFmtId="3" xfId="0" applyAlignment="1" applyFont="1" applyNumberFormat="1">
      <alignment horizontal="right"/>
    </xf>
    <xf borderId="0" fillId="21" fontId="8" numFmtId="164" xfId="0" applyFont="1" applyNumberFormat="1"/>
    <xf borderId="0" fillId="0" fontId="10" numFmtId="0" xfId="0" applyAlignment="1" applyFont="1">
      <alignment readingOrder="0"/>
    </xf>
    <xf borderId="0" fillId="5" fontId="8" numFmtId="9" xfId="0" applyAlignment="1" applyFont="1" applyNumberFormat="1">
      <alignment readingOrder="0"/>
    </xf>
    <xf borderId="1" fillId="23" fontId="2" numFmtId="0" xfId="0" applyBorder="1" applyFill="1" applyFont="1"/>
    <xf borderId="1" fillId="23" fontId="2" numFmtId="0" xfId="0" applyAlignment="1" applyBorder="1" applyFont="1">
      <alignment horizontal="center" readingOrder="0"/>
    </xf>
    <xf borderId="0" fillId="24" fontId="8" numFmtId="3" xfId="0" applyFill="1" applyFont="1" applyNumberFormat="1"/>
    <xf borderId="2" fillId="0" fontId="1" numFmtId="0" xfId="0" applyAlignment="1" applyBorder="1" applyFont="1">
      <alignment readingOrder="0"/>
    </xf>
    <xf borderId="0" fillId="5" fontId="8" numFmtId="3" xfId="0" applyFont="1" applyNumberFormat="1"/>
    <xf borderId="0" fillId="0" fontId="27" numFmtId="3" xfId="0" applyFont="1" applyNumberFormat="1"/>
    <xf borderId="0" fillId="0" fontId="15" numFmtId="3" xfId="0" applyAlignment="1" applyFont="1" applyNumberFormat="1">
      <alignment readingOrder="0" vertical="bottom"/>
    </xf>
    <xf borderId="0" fillId="2" fontId="15" numFmtId="3" xfId="0" applyAlignment="1" applyFont="1" applyNumberFormat="1">
      <alignment vertical="bottom"/>
    </xf>
    <xf borderId="0" fillId="0" fontId="16" numFmtId="3" xfId="0" applyAlignment="1" applyFont="1" applyNumberFormat="1">
      <alignment vertical="bottom"/>
    </xf>
    <xf borderId="0" fillId="25" fontId="15" numFmtId="3" xfId="0" applyAlignment="1" applyFill="1" applyFont="1" applyNumberFormat="1">
      <alignment vertical="bottom"/>
    </xf>
    <xf borderId="4" fillId="0" fontId="18" numFmtId="3" xfId="0" applyAlignment="1" applyBorder="1" applyFont="1" applyNumberFormat="1">
      <alignment horizontal="right" vertical="bottom"/>
    </xf>
    <xf borderId="0" fillId="0" fontId="31" numFmtId="3" xfId="0" applyAlignment="1" applyFont="1" applyNumberFormat="1">
      <alignment horizontal="right" readingOrder="0" shrinkToFit="0" vertical="bottom" wrapText="0"/>
    </xf>
    <xf borderId="0" fillId="0" fontId="31" numFmtId="3" xfId="0" applyAlignment="1" applyFont="1" applyNumberFormat="1">
      <alignment shrinkToFit="0" vertical="bottom" wrapText="0"/>
    </xf>
    <xf borderId="0" fillId="0" fontId="31" numFmtId="0" xfId="0" applyAlignment="1" applyFont="1">
      <alignment horizontal="right" shrinkToFit="0" vertical="bottom" wrapText="0"/>
    </xf>
    <xf borderId="0" fillId="0" fontId="31" numFmtId="0" xfId="0" applyAlignment="1" applyFont="1">
      <alignment shrinkToFit="0" vertical="bottom" wrapText="0"/>
    </xf>
    <xf borderId="0" fillId="0" fontId="31" numFmtId="0" xfId="0" applyAlignment="1" applyFont="1">
      <alignment horizontal="right" readingOrder="0" shrinkToFit="0" vertical="bottom" wrapText="0"/>
    </xf>
    <xf borderId="0" fillId="19" fontId="31" numFmtId="3" xfId="0" applyAlignment="1" applyFont="1" applyNumberFormat="1">
      <alignment horizontal="right" readingOrder="0" shrinkToFit="0" vertical="bottom" wrapText="0"/>
    </xf>
    <xf borderId="0" fillId="19" fontId="32" numFmtId="3" xfId="0" applyAlignment="1" applyFont="1" applyNumberFormat="1">
      <alignment horizontal="right" readingOrder="0" shrinkToFit="0" vertical="bottom" wrapText="0"/>
    </xf>
    <xf borderId="0" fillId="0" fontId="32" numFmtId="3" xfId="0" applyAlignment="1" applyFont="1" applyNumberFormat="1">
      <alignment horizontal="right" readingOrder="0" shrinkToFit="0" vertical="bottom" wrapText="0"/>
    </xf>
    <xf borderId="0" fillId="0" fontId="31" numFmtId="0" xfId="0" applyAlignment="1" applyFont="1">
      <alignment readingOrder="0" shrinkToFit="0" vertical="bottom" wrapText="0"/>
    </xf>
    <xf borderId="0" fillId="0" fontId="33" numFmtId="0" xfId="0" applyAlignment="1" applyFont="1">
      <alignment horizontal="right" readingOrder="0" shrinkToFit="0" vertical="bottom" wrapText="0"/>
    </xf>
    <xf borderId="0" fillId="0" fontId="33" numFmtId="0" xfId="0" applyAlignment="1" applyFont="1">
      <alignment shrinkToFit="0" vertical="bottom" wrapText="0"/>
    </xf>
    <xf borderId="0" fillId="19" fontId="8" numFmtId="164" xfId="0" applyAlignment="1" applyFont="1" applyNumberFormat="1">
      <alignment readingOrder="0"/>
    </xf>
    <xf borderId="0" fillId="19" fontId="27" numFmtId="164" xfId="0" applyFont="1" applyNumberFormat="1"/>
    <xf borderId="0" fillId="0" fontId="27" numFmtId="10" xfId="0" applyFont="1" applyNumberFormat="1"/>
    <xf borderId="0" fillId="19" fontId="27" numFmtId="164" xfId="0" applyAlignment="1" applyFont="1" applyNumberFormat="1">
      <alignment readingOrder="0"/>
    </xf>
    <xf borderId="0" fillId="19" fontId="8" numFmtId="10" xfId="0" applyAlignment="1" applyFont="1" applyNumberFormat="1">
      <alignment readingOrder="0"/>
    </xf>
    <xf borderId="0" fillId="19" fontId="27" numFmtId="10" xfId="0" applyFont="1" applyNumberFormat="1"/>
    <xf borderId="0" fillId="0" fontId="9" numFmtId="164" xfId="0" applyFont="1" applyNumberFormat="1"/>
    <xf borderId="0" fillId="0" fontId="34" numFmtId="164" xfId="0" applyAlignment="1" applyFont="1" applyNumberFormat="1">
      <alignment readingOrder="0"/>
    </xf>
    <xf borderId="0" fillId="0" fontId="10" numFmtId="4" xfId="0" applyFont="1" applyNumberFormat="1"/>
    <xf borderId="0" fillId="0" fontId="26" numFmtId="3" xfId="0" applyAlignment="1" applyFont="1" applyNumberFormat="1">
      <alignment readingOrder="0"/>
    </xf>
    <xf borderId="0" fillId="0" fontId="5" numFmtId="3" xfId="0" applyAlignment="1" applyFont="1" applyNumberFormat="1">
      <alignment horizontal="right"/>
    </xf>
    <xf borderId="0" fillId="0" fontId="1" numFmtId="4" xfId="0" applyAlignment="1" applyFont="1" applyNumberFormat="1">
      <alignment horizontal="left"/>
    </xf>
    <xf borderId="0" fillId="0" fontId="1" numFmtId="4" xfId="0" applyAlignment="1" applyFont="1" applyNumberFormat="1">
      <alignment horizontal="left" readingOrder="0"/>
    </xf>
    <xf borderId="0" fillId="19" fontId="9" numFmtId="164" xfId="0" applyAlignment="1" applyFont="1" applyNumberFormat="1">
      <alignment readingOrder="0"/>
    </xf>
    <xf borderId="0" fillId="0" fontId="2" numFmtId="3" xfId="0" applyFont="1" applyNumberFormat="1"/>
    <xf borderId="0" fillId="0" fontId="8" numFmtId="4" xfId="0" applyFont="1" applyNumberFormat="1"/>
    <xf borderId="0" fillId="26" fontId="8" numFmtId="0" xfId="0" applyFill="1" applyFont="1"/>
    <xf borderId="0" fillId="26" fontId="10" numFmtId="3" xfId="0" applyFont="1" applyNumberFormat="1"/>
    <xf borderId="0" fillId="0" fontId="34" numFmtId="3" xfId="0" applyFont="1" applyNumberFormat="1"/>
    <xf borderId="0" fillId="0" fontId="35" numFmtId="0" xfId="0" applyAlignment="1" applyFont="1">
      <alignment readingOrder="0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3" numFmtId="3" xfId="0" applyAlignment="1" applyFont="1" applyNumberFormat="1">
      <alignment vertical="bottom"/>
    </xf>
    <xf borderId="0" fillId="0" fontId="1" numFmtId="3" xfId="0" applyAlignment="1" applyFont="1" applyNumberFormat="1">
      <alignment readingOrder="0"/>
    </xf>
    <xf borderId="0" fillId="26" fontId="10" numFmtId="0" xfId="0" applyFont="1"/>
    <xf borderId="1" fillId="3" fontId="36" numFmtId="0" xfId="0" applyBorder="1" applyFont="1"/>
    <xf borderId="0" fillId="18" fontId="8" numFmtId="3" xfId="0" applyAlignment="1" applyFont="1" applyNumberFormat="1">
      <alignment readingOrder="0"/>
    </xf>
    <xf borderId="0" fillId="18" fontId="9" numFmtId="3" xfId="0" applyFont="1" applyNumberFormat="1"/>
    <xf borderId="0" fillId="24" fontId="8" numFmtId="0" xfId="0" applyFont="1"/>
    <xf borderId="0" fillId="18" fontId="8" numFmtId="10" xfId="0" applyAlignment="1" applyFont="1" applyNumberFormat="1">
      <alignment readingOrder="0"/>
    </xf>
    <xf borderId="0" fillId="18" fontId="9" numFmtId="10" xfId="0" applyAlignment="1" applyFont="1" applyNumberFormat="1">
      <alignment readingOrder="0"/>
    </xf>
    <xf borderId="0" fillId="11" fontId="9" numFmtId="3" xfId="0" applyFont="1" applyNumberFormat="1"/>
    <xf borderId="0" fillId="0" fontId="2" numFmtId="0" xfId="0" applyAlignment="1" applyFont="1">
      <alignment readingOrder="0"/>
    </xf>
    <xf borderId="0" fillId="18" fontId="34" numFmtId="0" xfId="0" applyAlignment="1" applyFont="1">
      <alignment readingOrder="0"/>
    </xf>
    <xf borderId="0" fillId="18" fontId="9" numFmtId="0" xfId="0" applyFont="1"/>
    <xf borderId="0" fillId="18" fontId="9" numFmtId="10" xfId="0" applyFont="1" applyNumberFormat="1"/>
    <xf borderId="0" fillId="18" fontId="8" numFmtId="9" xfId="0" applyAlignment="1" applyFont="1" applyNumberFormat="1">
      <alignment readingOrder="0"/>
    </xf>
    <xf borderId="0" fillId="18" fontId="9" numFmtId="9" xfId="0" applyFont="1" applyNumberFormat="1"/>
    <xf borderId="0" fillId="18" fontId="8" numFmtId="164" xfId="0" applyAlignment="1" applyFont="1" applyNumberFormat="1">
      <alignment readingOrder="0"/>
    </xf>
    <xf borderId="0" fillId="18" fontId="9" numFmtId="164" xfId="0" applyAlignment="1" applyFont="1" applyNumberFormat="1">
      <alignment readingOrder="0"/>
    </xf>
    <xf borderId="0" fillId="18" fontId="9" numFmtId="164" xfId="0" applyFont="1" applyNumberFormat="1"/>
    <xf borderId="0" fillId="10" fontId="8" numFmtId="10" xfId="0" applyAlignment="1" applyFont="1" applyNumberFormat="1">
      <alignment readingOrder="0"/>
    </xf>
    <xf borderId="0" fillId="0" fontId="8" numFmtId="3" xfId="0" applyAlignment="1" applyFont="1" applyNumberFormat="1">
      <alignment horizontal="right" readingOrder="0"/>
    </xf>
    <xf borderId="0" fillId="0" fontId="8" numFmtId="3" xfId="0" applyAlignment="1" applyFont="1" applyNumberFormat="1">
      <alignment horizontal="center" readingOrder="0"/>
    </xf>
    <xf borderId="0" fillId="0" fontId="8" numFmtId="0" xfId="0" applyAlignment="1" applyFont="1">
      <alignment vertical="bottom"/>
    </xf>
    <xf borderId="0" fillId="10" fontId="34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164" xfId="0" applyAlignment="1" applyFont="1" applyNumberFormat="1">
      <alignment readingOrder="0"/>
    </xf>
    <xf borderId="0" fillId="10" fontId="8" numFmtId="164" xfId="0" applyAlignment="1" applyFont="1" applyNumberFormat="1">
      <alignment readingOrder="0"/>
    </xf>
    <xf borderId="0" fillId="10" fontId="17" numFmtId="164" xfId="0" applyAlignment="1" applyFont="1" applyNumberFormat="1">
      <alignment readingOrder="0"/>
    </xf>
    <xf borderId="0" fillId="10" fontId="8" numFmtId="164" xfId="0" applyFont="1" applyNumberFormat="1"/>
    <xf borderId="0" fillId="10" fontId="14" numFmtId="164" xfId="0" applyFont="1" applyNumberFormat="1"/>
    <xf borderId="0" fillId="5" fontId="9" numFmtId="3" xfId="0" applyAlignment="1" applyFont="1" applyNumberFormat="1">
      <alignment readingOrder="0"/>
    </xf>
    <xf borderId="0" fillId="0" fontId="37" numFmtId="0" xfId="0" applyAlignment="1" applyFont="1">
      <alignment readingOrder="0"/>
    </xf>
    <xf borderId="10" fillId="0" fontId="20" numFmtId="0" xfId="0" applyAlignment="1" applyBorder="1" applyFont="1">
      <alignment readingOrder="0"/>
    </xf>
    <xf borderId="7" fillId="0" fontId="22" numFmtId="0" xfId="0" applyAlignment="1" applyBorder="1" applyFont="1">
      <alignment readingOrder="0"/>
    </xf>
    <xf borderId="9" fillId="14" fontId="24" numFmtId="3" xfId="0" applyAlignment="1" applyBorder="1" applyFont="1" applyNumberFormat="1">
      <alignment horizontal="right" readingOrder="0" shrinkToFit="0" vertical="bottom" wrapText="0"/>
    </xf>
    <xf borderId="9" fillId="14" fontId="24" numFmtId="0" xfId="0" applyAlignment="1" applyBorder="1" applyFont="1">
      <alignment horizontal="right" readingOrder="0" shrinkToFit="0" vertical="bottom" wrapText="0"/>
    </xf>
    <xf borderId="9" fillId="14" fontId="24" numFmtId="1" xfId="0" applyAlignment="1" applyBorder="1" applyFont="1" applyNumberFormat="1">
      <alignment horizontal="right" readingOrder="0" shrinkToFit="0" vertical="bottom" wrapText="0"/>
    </xf>
    <xf borderId="9" fillId="15" fontId="24" numFmtId="0" xfId="0" applyAlignment="1" applyBorder="1" applyFont="1">
      <alignment readingOrder="0" shrinkToFit="0" vertical="bottom" wrapText="0"/>
    </xf>
    <xf borderId="9" fillId="16" fontId="24" numFmtId="0" xfId="0" applyAlignment="1" applyBorder="1" applyFont="1">
      <alignment shrinkToFit="0" vertical="bottom" wrapText="0"/>
    </xf>
    <xf borderId="9" fillId="0" fontId="20" numFmtId="164" xfId="0" applyBorder="1" applyFont="1" applyNumberFormat="1"/>
    <xf borderId="0" fillId="0" fontId="24" numFmtId="3" xfId="0" applyAlignment="1" applyFont="1" applyNumberFormat="1">
      <alignment readingOrder="0"/>
    </xf>
    <xf borderId="0" fillId="0" fontId="24" numFmtId="9" xfId="0" applyAlignment="1" applyFont="1" applyNumberFormat="1">
      <alignment readingOrder="0"/>
    </xf>
    <xf borderId="13" fillId="14" fontId="20" numFmtId="0" xfId="0" applyAlignment="1" applyBorder="1" applyFont="1">
      <alignment horizontal="right" readingOrder="0"/>
    </xf>
    <xf borderId="0" fillId="0" fontId="20" numFmtId="0" xfId="0" applyAlignment="1" applyFont="1">
      <alignment readingOrder="0"/>
    </xf>
    <xf borderId="12" fillId="14" fontId="20" numFmtId="0" xfId="0" applyAlignment="1" applyBorder="1" applyFont="1">
      <alignment readingOrder="0"/>
    </xf>
    <xf borderId="13" fillId="14" fontId="20" numFmtId="9" xfId="0" applyAlignment="1" applyBorder="1" applyFont="1" applyNumberFormat="1">
      <alignment horizontal="right" readingOrder="0"/>
    </xf>
    <xf borderId="12" fillId="14" fontId="20" numFmtId="10" xfId="0" applyAlignment="1" applyBorder="1" applyFont="1" applyNumberFormat="1">
      <alignment horizontal="right" readingOrder="0"/>
    </xf>
    <xf borderId="1" fillId="0" fontId="20" numFmtId="0" xfId="0" applyAlignment="1" applyBorder="1" applyFont="1">
      <alignment readingOrder="0"/>
    </xf>
    <xf borderId="0" fillId="0" fontId="31" numFmtId="10" xfId="0" applyAlignment="1" applyFont="1" applyNumberFormat="1">
      <alignment horizontal="right" readingOrder="0" shrinkToFit="0" vertical="bottom" wrapText="0"/>
    </xf>
    <xf borderId="0" fillId="0" fontId="31" numFmtId="3" xfId="0" applyAlignment="1" applyFont="1" applyNumberFormat="1">
      <alignment readingOrder="0" shrinkToFit="0" vertical="bottom" wrapText="0"/>
    </xf>
    <xf borderId="6" fillId="14" fontId="20" numFmtId="0" xfId="0" applyAlignment="1" applyBorder="1" applyFont="1">
      <alignment horizontal="right" readingOrder="0" shrinkToFit="0" vertical="bottom" wrapText="0"/>
    </xf>
    <xf borderId="9" fillId="16" fontId="24" numFmtId="3" xfId="0" applyAlignment="1" applyBorder="1" applyFont="1" applyNumberFormat="1">
      <alignment horizontal="right" readingOrder="0" shrinkToFit="0" vertical="bottom" wrapText="0"/>
    </xf>
    <xf borderId="9" fillId="0" fontId="20" numFmtId="0" xfId="0" applyAlignment="1" applyBorder="1" applyFont="1">
      <alignment shrinkToFit="0" vertical="bottom" wrapText="0"/>
    </xf>
    <xf borderId="9" fillId="14" fontId="20" numFmtId="0" xfId="0" applyAlignment="1" applyBorder="1" applyFont="1">
      <alignment horizontal="right" readingOrder="0" shrinkToFit="0" vertical="bottom" wrapText="0"/>
    </xf>
    <xf borderId="9" fillId="0" fontId="20" numFmtId="3" xfId="0" applyAlignment="1" applyBorder="1" applyFont="1" applyNumberFormat="1">
      <alignment horizontal="right" readingOrder="0" shrinkToFit="0" vertical="bottom" wrapText="0"/>
    </xf>
    <xf borderId="9" fillId="14" fontId="20" numFmtId="10" xfId="0" applyAlignment="1" applyBorder="1" applyFont="1" applyNumberFormat="1">
      <alignment horizontal="right" readingOrder="0" shrinkToFit="0" vertical="bottom" wrapText="0"/>
    </xf>
    <xf borderId="9" fillId="0" fontId="20" numFmtId="165" xfId="0" applyAlignment="1" applyBorder="1" applyFont="1" applyNumberFormat="1">
      <alignment horizontal="right" readingOrder="0" shrinkToFit="0" vertical="bottom" wrapText="0"/>
    </xf>
    <xf borderId="0" fillId="0" fontId="38" numFmtId="0" xfId="0" applyFont="1"/>
    <xf borderId="0" fillId="0" fontId="20" numFmtId="0" xfId="0" applyAlignment="1" applyFont="1">
      <alignment horizontal="center"/>
    </xf>
    <xf borderId="0" fillId="0" fontId="21" numFmtId="0" xfId="0" applyAlignment="1" applyFont="1">
      <alignment horizontal="center"/>
    </xf>
    <xf borderId="0" fillId="0" fontId="22" numFmtId="0" xfId="0" applyAlignment="1" applyFont="1">
      <alignment readingOrder="0"/>
    </xf>
    <xf borderId="0" fillId="0" fontId="22" numFmtId="0" xfId="0" applyAlignment="1" applyFont="1">
      <alignment horizontal="center"/>
    </xf>
    <xf borderId="0" fillId="0" fontId="24" numFmtId="3" xfId="0" applyAlignment="1" applyFont="1" applyNumberFormat="1">
      <alignment horizontal="right" readingOrder="0" shrinkToFit="0" vertical="bottom" wrapText="0"/>
    </xf>
    <xf borderId="0" fillId="0" fontId="21" numFmtId="9" xfId="0" applyAlignment="1" applyFont="1" applyNumberFormat="1">
      <alignment horizontal="center"/>
    </xf>
    <xf borderId="0" fillId="0" fontId="24" numFmtId="0" xfId="0" applyAlignment="1" applyFont="1">
      <alignment horizontal="right" readingOrder="0" shrinkToFit="0" vertical="bottom" wrapText="0"/>
    </xf>
    <xf borderId="0" fillId="0" fontId="24" numFmtId="1" xfId="0" applyAlignment="1" applyFont="1" applyNumberFormat="1">
      <alignment horizontal="right" readingOrder="0" shrinkToFit="0" vertical="bottom" wrapText="0"/>
    </xf>
    <xf borderId="0" fillId="0" fontId="24" numFmtId="0" xfId="0" applyAlignment="1" applyFont="1">
      <alignment readingOrder="0" shrinkToFit="0" vertical="bottom" wrapText="0"/>
    </xf>
    <xf borderId="0" fillId="0" fontId="24" numFmtId="0" xfId="0" applyAlignment="1" applyFont="1">
      <alignment shrinkToFit="0" vertical="bottom" wrapText="0"/>
    </xf>
    <xf borderId="0" fillId="0" fontId="20" numFmtId="164" xfId="0" applyFont="1" applyNumberFormat="1"/>
    <xf borderId="0" fillId="0" fontId="20" numFmtId="2" xfId="0" applyFont="1" applyNumberFormat="1"/>
    <xf borderId="0" fillId="0" fontId="20" numFmtId="0" xfId="0" applyAlignment="1" applyFont="1">
      <alignment horizontal="right"/>
    </xf>
    <xf borderId="0" fillId="0" fontId="20" numFmtId="10" xfId="0" applyAlignment="1" applyFont="1" applyNumberFormat="1">
      <alignment horizontal="right"/>
    </xf>
    <xf borderId="0" fillId="0" fontId="20" numFmtId="0" xfId="0" applyAlignment="1" applyFont="1">
      <alignment horizontal="right" readingOrder="0"/>
    </xf>
    <xf borderId="0" fillId="0" fontId="24" numFmtId="3" xfId="0" applyFont="1" applyNumberFormat="1"/>
    <xf borderId="0" fillId="0" fontId="20" numFmtId="9" xfId="0" applyAlignment="1" applyFont="1" applyNumberFormat="1">
      <alignment horizontal="right" readingOrder="0"/>
    </xf>
    <xf borderId="0" fillId="0" fontId="20" numFmtId="10" xfId="0" applyAlignment="1" applyFont="1" applyNumberFormat="1">
      <alignment horizontal="right" readingOrder="0"/>
    </xf>
    <xf borderId="0" fillId="0" fontId="20" numFmtId="165" xfId="0" applyFont="1" applyNumberFormat="1"/>
    <xf borderId="9" fillId="0" fontId="20" numFmtId="10" xfId="0" applyBorder="1" applyFont="1" applyNumberFormat="1"/>
    <xf borderId="0" fillId="27" fontId="39" numFmtId="3" xfId="0" applyAlignment="1" applyFill="1" applyFont="1" applyNumberFormat="1">
      <alignment horizontal="right" readingOrder="0"/>
    </xf>
    <xf borderId="0" fillId="16" fontId="39" numFmtId="3" xfId="0" applyAlignment="1" applyFont="1" applyNumberFormat="1">
      <alignment horizontal="right" readingOrder="0"/>
    </xf>
    <xf borderId="0" fillId="16" fontId="40" numFmtId="3" xfId="0" applyAlignment="1" applyFont="1" applyNumberFormat="1">
      <alignment horizontal="right" readingOrder="0"/>
    </xf>
    <xf borderId="12" fillId="15" fontId="24" numFmtId="0" xfId="0" applyBorder="1" applyFont="1"/>
    <xf borderId="7" fillId="0" fontId="20" numFmtId="0" xfId="0" applyBorder="1" applyFont="1"/>
    <xf borderId="0" fillId="27" fontId="25" numFmtId="3" xfId="0" applyAlignment="1" applyFont="1" applyNumberFormat="1">
      <alignment horizontal="right" readingOrder="0"/>
    </xf>
    <xf borderId="14" fillId="27" fontId="25" numFmtId="3" xfId="0" applyAlignment="1" applyBorder="1" applyFont="1" applyNumberFormat="1">
      <alignment horizontal="right" readingOrder="0"/>
    </xf>
    <xf borderId="0" fillId="16" fontId="25" numFmtId="0" xfId="0" applyAlignment="1" applyFont="1">
      <alignment horizontal="right" readingOrder="0"/>
    </xf>
    <xf borderId="0" fillId="16" fontId="25" numFmtId="1" xfId="0" applyAlignment="1" applyFont="1" applyNumberFormat="1">
      <alignment horizontal="right" readingOrder="0"/>
    </xf>
    <xf borderId="14" fillId="16" fontId="25" numFmtId="3" xfId="0" applyAlignment="1" applyBorder="1" applyFont="1" applyNumberFormat="1">
      <alignment horizontal="right" readingOrder="0"/>
    </xf>
    <xf borderId="0" fillId="16" fontId="25" numFmtId="0" xfId="0" applyFont="1"/>
    <xf borderId="12" fillId="14" fontId="24" numFmtId="4" xfId="0" applyAlignment="1" applyBorder="1" applyFont="1" applyNumberFormat="1">
      <alignment readingOrder="0"/>
    </xf>
    <xf borderId="12" fillId="14" fontId="20" numFmtId="9" xfId="0" applyAlignment="1" applyBorder="1" applyFont="1" applyNumberFormat="1">
      <alignment horizontal="right" readingOrder="0"/>
    </xf>
    <xf borderId="1" fillId="0" fontId="20" numFmtId="0" xfId="0" applyAlignment="1" applyBorder="1" applyFont="1">
      <alignment horizontal="center"/>
    </xf>
    <xf borderId="1" fillId="0" fontId="21" numFmtId="0" xfId="0" applyAlignment="1" applyBorder="1" applyFont="1">
      <alignment horizontal="center"/>
    </xf>
    <xf borderId="3" fillId="13" fontId="22" numFmtId="0" xfId="0" applyAlignment="1" applyBorder="1" applyFont="1">
      <alignment horizontal="center"/>
    </xf>
    <xf borderId="1" fillId="27" fontId="39" numFmtId="3" xfId="0" applyAlignment="1" applyBorder="1" applyFont="1" applyNumberFormat="1">
      <alignment horizontal="right" readingOrder="0"/>
    </xf>
    <xf borderId="1" fillId="27" fontId="25" numFmtId="3" xfId="0" applyAlignment="1" applyBorder="1" applyFont="1" applyNumberFormat="1">
      <alignment horizontal="right" readingOrder="0"/>
    </xf>
    <xf borderId="1" fillId="0" fontId="21" numFmtId="9" xfId="0" applyAlignment="1" applyBorder="1" applyFont="1" applyNumberFormat="1">
      <alignment horizontal="center"/>
    </xf>
    <xf borderId="1" fillId="14" fontId="24" numFmtId="0" xfId="0" applyAlignment="1" applyBorder="1" applyFont="1">
      <alignment readingOrder="0"/>
    </xf>
    <xf borderId="1" fillId="14" fontId="24" numFmtId="1" xfId="0" applyAlignment="1" applyBorder="1" applyFont="1" applyNumberFormat="1">
      <alignment readingOrder="0"/>
    </xf>
    <xf borderId="1" fillId="16" fontId="39" numFmtId="3" xfId="0" applyAlignment="1" applyBorder="1" applyFont="1" applyNumberFormat="1">
      <alignment horizontal="right" readingOrder="0"/>
    </xf>
    <xf borderId="1" fillId="15" fontId="24" numFmtId="0" xfId="0" applyBorder="1" applyFont="1"/>
    <xf borderId="1" fillId="16" fontId="24" numFmtId="0" xfId="0" applyBorder="1" applyFont="1"/>
    <xf borderId="1" fillId="16" fontId="25" numFmtId="0" xfId="0" applyBorder="1" applyFont="1"/>
    <xf borderId="1" fillId="14" fontId="24" numFmtId="3" xfId="0" applyAlignment="1" applyBorder="1" applyFont="1" applyNumberFormat="1">
      <alignment horizontal="right" readingOrder="0" shrinkToFit="0" vertical="bottom" wrapText="0"/>
    </xf>
    <xf borderId="9" fillId="0" fontId="20" numFmtId="2" xfId="0" applyAlignment="1" applyBorder="1" applyFont="1" applyNumberFormat="1">
      <alignment readingOrder="0"/>
    </xf>
    <xf borderId="0" fillId="0" fontId="24" numFmtId="164" xfId="0" applyAlignment="1" applyFont="1" applyNumberFormat="1">
      <alignment readingOrder="0"/>
    </xf>
    <xf borderId="12" fillId="14" fontId="24" numFmtId="3" xfId="0" applyAlignment="1" applyBorder="1" applyFont="1" applyNumberFormat="1">
      <alignment horizontal="right" readingOrder="0"/>
    </xf>
    <xf borderId="0" fillId="0" fontId="41" numFmtId="0" xfId="0" applyAlignment="1" applyFont="1">
      <alignment readingOrder="0"/>
    </xf>
    <xf borderId="11" fillId="14" fontId="24" numFmtId="3" xfId="0" applyBorder="1" applyFont="1" applyNumberFormat="1"/>
    <xf borderId="12" fillId="14" fontId="24" numFmtId="0" xfId="0" applyBorder="1" applyFont="1"/>
    <xf borderId="12" fillId="14" fontId="24" numFmtId="1" xfId="0" applyBorder="1" applyFont="1" applyNumberFormat="1"/>
    <xf borderId="0" fillId="16" fontId="25" numFmtId="9" xfId="0" applyAlignment="1" applyFont="1" applyNumberFormat="1">
      <alignment horizontal="right" readingOrder="0"/>
    </xf>
    <xf borderId="0" fillId="16" fontId="25" numFmtId="9" xfId="0" applyAlignment="1" applyFont="1" applyNumberFormat="1">
      <alignment horizontal="right"/>
    </xf>
    <xf borderId="9" fillId="0" fontId="20" numFmtId="9" xfId="0" applyBorder="1" applyFont="1" applyNumberFormat="1"/>
    <xf borderId="9" fillId="0" fontId="20" numFmtId="165" xfId="0" applyAlignment="1" applyBorder="1" applyFont="1" applyNumberFormat="1">
      <alignment readingOrder="0"/>
    </xf>
    <xf borderId="0" fillId="0" fontId="15" numFmtId="0" xfId="0" applyAlignment="1" applyFont="1">
      <alignment readingOrder="0" vertical="bottom"/>
    </xf>
    <xf borderId="0" fillId="0" fontId="42" numFmtId="0" xfId="0" applyAlignment="1" applyFont="1">
      <alignment readingOrder="0" vertical="bottom"/>
    </xf>
    <xf borderId="1" fillId="0" fontId="15" numFmtId="0" xfId="0" applyAlignment="1" applyBorder="1" applyFont="1">
      <alignment vertical="bottom"/>
    </xf>
    <xf borderId="6" fillId="0" fontId="41" numFmtId="0" xfId="0" applyAlignment="1" applyBorder="1" applyFont="1">
      <alignment horizontal="center" vertical="bottom"/>
    </xf>
    <xf borderId="6" fillId="0" fontId="43" numFmtId="0" xfId="0" applyAlignment="1" applyBorder="1" applyFont="1">
      <alignment horizontal="center" vertical="bottom"/>
    </xf>
    <xf borderId="10" fillId="0" fontId="15" numFmtId="0" xfId="0" applyAlignment="1" applyBorder="1" applyFont="1">
      <alignment vertical="bottom"/>
    </xf>
    <xf borderId="8" fillId="13" fontId="44" numFmtId="0" xfId="0" applyAlignment="1" applyBorder="1" applyFont="1">
      <alignment horizontal="center" vertical="bottom"/>
    </xf>
    <xf borderId="9" fillId="0" fontId="15" numFmtId="0" xfId="0" applyAlignment="1" applyBorder="1" applyFont="1">
      <alignment vertical="bottom"/>
    </xf>
    <xf borderId="10" fillId="0" fontId="41" numFmtId="0" xfId="0" applyAlignment="1" applyBorder="1" applyFont="1">
      <alignment vertical="bottom"/>
    </xf>
    <xf borderId="9" fillId="0" fontId="43" numFmtId="9" xfId="0" applyAlignment="1" applyBorder="1" applyFont="1" applyNumberFormat="1">
      <alignment horizontal="center" vertical="bottom"/>
    </xf>
    <xf borderId="12" fillId="14" fontId="15" numFmtId="0" xfId="0" applyAlignment="1" applyBorder="1" applyFont="1">
      <alignment readingOrder="0" vertical="bottom"/>
    </xf>
    <xf borderId="0" fillId="28" fontId="45" numFmtId="0" xfId="0" applyAlignment="1" applyFill="1" applyFont="1">
      <alignment readingOrder="0"/>
    </xf>
    <xf borderId="12" fillId="14" fontId="15" numFmtId="1" xfId="0" applyAlignment="1" applyBorder="1" applyFont="1" applyNumberFormat="1">
      <alignment readingOrder="0" vertical="bottom"/>
    </xf>
    <xf borderId="12" fillId="15" fontId="24" numFmtId="0" xfId="0" applyAlignment="1" applyBorder="1" applyFont="1">
      <alignment vertical="bottom"/>
    </xf>
    <xf borderId="12" fillId="16" fontId="15" numFmtId="0" xfId="0" applyAlignment="1" applyBorder="1" applyFont="1">
      <alignment vertical="bottom"/>
    </xf>
    <xf borderId="12" fillId="14" fontId="15" numFmtId="3" xfId="0" applyAlignment="1" applyBorder="1" applyFont="1" applyNumberFormat="1">
      <alignment vertical="bottom"/>
    </xf>
    <xf borderId="12" fillId="14" fontId="15" numFmtId="3" xfId="0" applyAlignment="1" applyBorder="1" applyFont="1" applyNumberFormat="1">
      <alignment readingOrder="0" vertical="bottom"/>
    </xf>
    <xf borderId="1" fillId="0" fontId="41" numFmtId="0" xfId="0" applyAlignment="1" applyBorder="1" applyFont="1">
      <alignment vertical="bottom"/>
    </xf>
    <xf borderId="9" fillId="0" fontId="41" numFmtId="10" xfId="0" applyAlignment="1" applyBorder="1" applyFont="1" applyNumberFormat="1">
      <alignment horizontal="center" vertical="bottom"/>
    </xf>
    <xf borderId="9" fillId="0" fontId="41" numFmtId="2" xfId="0" applyAlignment="1" applyBorder="1" applyFont="1" applyNumberFormat="1">
      <alignment horizontal="center" vertical="bottom"/>
    </xf>
    <xf borderId="9" fillId="0" fontId="41" numFmtId="0" xfId="0" applyAlignment="1" applyBorder="1" applyFont="1">
      <alignment horizontal="right" vertical="bottom"/>
    </xf>
    <xf borderId="9" fillId="0" fontId="41" numFmtId="10" xfId="0" applyAlignment="1" applyBorder="1" applyFont="1" applyNumberFormat="1">
      <alignment horizontal="right" vertical="bottom"/>
    </xf>
    <xf borderId="13" fillId="14" fontId="15" numFmtId="0" xfId="0" applyAlignment="1" applyBorder="1" applyFont="1">
      <alignment readingOrder="0" vertical="bottom"/>
    </xf>
    <xf borderId="12" fillId="16" fontId="24" numFmtId="3" xfId="0" applyAlignment="1" applyBorder="1" applyFont="1" applyNumberFormat="1">
      <alignment horizontal="center" vertical="bottom"/>
    </xf>
    <xf borderId="9" fillId="0" fontId="41" numFmtId="3" xfId="0" applyAlignment="1" applyBorder="1" applyFont="1" applyNumberFormat="1">
      <alignment horizontal="right" vertical="bottom"/>
    </xf>
    <xf borderId="6" fillId="0" fontId="15" numFmtId="0" xfId="0" applyAlignment="1" applyBorder="1" applyFont="1">
      <alignment vertical="bottom"/>
    </xf>
    <xf borderId="13" fillId="14" fontId="15" numFmtId="9" xfId="0" applyAlignment="1" applyBorder="1" applyFont="1" applyNumberFormat="1">
      <alignment readingOrder="0" vertical="bottom"/>
    </xf>
    <xf borderId="12" fillId="14" fontId="15" numFmtId="10" xfId="0" applyAlignment="1" applyBorder="1" applyFont="1" applyNumberFormat="1">
      <alignment readingOrder="0" vertical="bottom"/>
    </xf>
    <xf borderId="9" fillId="0" fontId="41" numFmtId="165" xfId="0" applyAlignment="1" applyBorder="1" applyFont="1" applyNumberFormat="1">
      <alignment horizontal="right" vertical="bottom"/>
    </xf>
    <xf borderId="6" fillId="0" fontId="41" numFmtId="10" xfId="0" applyAlignment="1" applyBorder="1" applyFont="1" applyNumberFormat="1">
      <alignment horizontal="right" vertical="bottom"/>
    </xf>
    <xf borderId="1" fillId="14" fontId="25" numFmtId="3" xfId="0" applyAlignment="1" applyBorder="1" applyFont="1" applyNumberFormat="1">
      <alignment horizontal="right" readingOrder="0"/>
    </xf>
    <xf borderId="9" fillId="14" fontId="20" numFmtId="3" xfId="0" applyAlignment="1" applyBorder="1" applyFont="1" applyNumberFormat="1">
      <alignment horizontal="right" readingOrder="0" shrinkToFit="0" vertical="bottom" wrapText="0"/>
    </xf>
    <xf borderId="1" fillId="14" fontId="25" numFmtId="1" xfId="0" applyAlignment="1" applyBorder="1" applyFont="1" applyNumberFormat="1">
      <alignment horizontal="right" readingOrder="0"/>
    </xf>
    <xf borderId="1" fillId="27" fontId="25" numFmtId="9" xfId="0" applyAlignment="1" applyBorder="1" applyFont="1" applyNumberFormat="1">
      <alignment horizontal="center"/>
    </xf>
    <xf borderId="1" fillId="14" fontId="25" numFmtId="0" xfId="0" applyAlignment="1" applyBorder="1" applyFont="1">
      <alignment horizontal="right" readingOrder="0"/>
    </xf>
    <xf borderId="15" fillId="16" fontId="25" numFmtId="9" xfId="0" applyAlignment="1" applyBorder="1" applyFont="1" applyNumberFormat="1">
      <alignment horizontal="center"/>
    </xf>
    <xf borderId="11" fillId="15" fontId="24" numFmtId="0" xfId="0" applyBorder="1" applyFont="1"/>
    <xf borderId="0" fillId="27" fontId="25" numFmtId="9" xfId="0" applyAlignment="1" applyFont="1" applyNumberFormat="1">
      <alignment horizontal="center"/>
    </xf>
    <xf borderId="0" fillId="14" fontId="4" numFmtId="3" xfId="0" applyAlignment="1" applyFont="1" applyNumberFormat="1">
      <alignment horizontal="right" readingOrder="0" shrinkToFit="0" wrapText="0"/>
    </xf>
    <xf borderId="0" fillId="27" fontId="39" numFmtId="3" xfId="0" applyAlignment="1" applyFont="1" applyNumberFormat="1">
      <alignment readingOrder="0" shrinkToFit="0" wrapText="0"/>
    </xf>
    <xf borderId="0" fillId="0" fontId="5" numFmtId="0" xfId="0" applyAlignment="1" applyFont="1">
      <alignment readingOrder="0"/>
    </xf>
    <xf borderId="0" fillId="27" fontId="45" numFmtId="3" xfId="0" applyAlignment="1" applyFont="1" applyNumberFormat="1">
      <alignment horizontal="right" readingOrder="0"/>
    </xf>
    <xf borderId="0" fillId="27" fontId="45" numFmtId="0" xfId="0" applyAlignment="1" applyFont="1">
      <alignment horizontal="right" readingOrder="0"/>
    </xf>
    <xf borderId="0" fillId="16" fontId="39" numFmtId="0" xfId="0" applyAlignment="1" applyFont="1">
      <alignment horizontal="right" readingOrder="0"/>
    </xf>
    <xf borderId="0" fillId="16" fontId="39" numFmtId="1" xfId="0" applyAlignment="1" applyFont="1" applyNumberFormat="1">
      <alignment horizontal="right" readingOrder="0"/>
    </xf>
    <xf borderId="0" fillId="16" fontId="45" numFmtId="9" xfId="0" applyAlignment="1" applyFont="1" applyNumberFormat="1">
      <alignment horizontal="right" readingOrder="0"/>
    </xf>
    <xf borderId="0" fillId="16" fontId="45" numFmtId="3" xfId="0" applyAlignment="1" applyFont="1" applyNumberFormat="1">
      <alignment readingOrder="0"/>
    </xf>
    <xf borderId="1" fillId="14" fontId="24" numFmtId="3" xfId="0" applyAlignment="1" applyBorder="1" applyFont="1" applyNumberFormat="1">
      <alignment horizontal="right" readingOrder="0"/>
    </xf>
    <xf borderId="9" fillId="14" fontId="24" numFmtId="0" xfId="0" applyAlignment="1" applyBorder="1" applyFont="1">
      <alignment horizontal="right" vertical="bottom"/>
    </xf>
    <xf borderId="9" fillId="14" fontId="24" numFmtId="1" xfId="0" applyAlignment="1" applyBorder="1" applyFont="1" applyNumberFormat="1">
      <alignment horizontal="right" vertical="bottom"/>
    </xf>
    <xf borderId="9" fillId="14" fontId="24" numFmtId="3" xfId="0" applyAlignment="1" applyBorder="1" applyFont="1" applyNumberFormat="1">
      <alignment horizontal="right" vertical="bottom"/>
    </xf>
    <xf borderId="9" fillId="15" fontId="24" numFmtId="0" xfId="0" applyAlignment="1" applyBorder="1" applyFont="1">
      <alignment vertical="bottom"/>
    </xf>
    <xf borderId="9" fillId="16" fontId="15" numFmtId="0" xfId="0" applyAlignment="1" applyBorder="1" applyFont="1">
      <alignment vertical="bottom"/>
    </xf>
    <xf borderId="9" fillId="14" fontId="24" numFmtId="3" xfId="0" applyAlignment="1" applyBorder="1" applyFont="1" applyNumberFormat="1">
      <alignment horizontal="right" readingOrder="0" vertical="bottom"/>
    </xf>
    <xf borderId="12" fillId="14" fontId="24" numFmtId="10" xfId="0" applyAlignment="1" applyBorder="1" applyFont="1" applyNumberFormat="1">
      <alignment readingOrder="0"/>
    </xf>
    <xf borderId="0" fillId="0" fontId="8" numFmtId="2" xfId="0" applyFont="1" applyNumberFormat="1"/>
    <xf borderId="0" fillId="0" fontId="8" numFmtId="0" xfId="0" applyAlignment="1" applyFont="1">
      <alignment textRotation="0"/>
    </xf>
    <xf borderId="9" fillId="0" fontId="20" numFmtId="3" xfId="0" applyAlignment="1" applyBorder="1" applyFont="1" applyNumberFormat="1">
      <alignment readingOrder="0"/>
    </xf>
    <xf borderId="6" fillId="0" fontId="20" numFmtId="10" xfId="0" applyAlignment="1" applyBorder="1" applyFont="1" applyNumberForma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42" Type="http://schemas.openxmlformats.org/officeDocument/2006/relationships/worksheet" Target="worksheets/sheet39.xml"/><Relationship Id="rId41" Type="http://schemas.openxmlformats.org/officeDocument/2006/relationships/worksheet" Target="worksheets/sheet38.xml"/><Relationship Id="rId44" Type="http://schemas.openxmlformats.org/officeDocument/2006/relationships/worksheet" Target="worksheets/sheet41.xml"/><Relationship Id="rId43" Type="http://schemas.openxmlformats.org/officeDocument/2006/relationships/worksheet" Target="worksheets/sheet40.xml"/><Relationship Id="rId46" Type="http://schemas.openxmlformats.org/officeDocument/2006/relationships/worksheet" Target="worksheets/sheet43.xml"/><Relationship Id="rId45" Type="http://schemas.openxmlformats.org/officeDocument/2006/relationships/worksheet" Target="worksheets/sheet42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48" Type="http://schemas.openxmlformats.org/officeDocument/2006/relationships/worksheet" Target="worksheets/sheet45.xml"/><Relationship Id="rId47" Type="http://schemas.openxmlformats.org/officeDocument/2006/relationships/worksheet" Target="worksheets/sheet44.xml"/><Relationship Id="rId49" Type="http://schemas.openxmlformats.org/officeDocument/2006/relationships/worksheet" Target="worksheets/sheet4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73" Type="http://schemas.openxmlformats.org/officeDocument/2006/relationships/worksheet" Target="worksheets/sheet70.xml"/><Relationship Id="rId72" Type="http://schemas.openxmlformats.org/officeDocument/2006/relationships/worksheet" Target="worksheets/sheet69.xml"/><Relationship Id="rId31" Type="http://schemas.openxmlformats.org/officeDocument/2006/relationships/worksheet" Target="worksheets/sheet28.xml"/><Relationship Id="rId75" Type="http://schemas.openxmlformats.org/officeDocument/2006/relationships/worksheet" Target="worksheets/sheet72.xml"/><Relationship Id="rId30" Type="http://schemas.openxmlformats.org/officeDocument/2006/relationships/worksheet" Target="worksheets/sheet27.xml"/><Relationship Id="rId74" Type="http://schemas.openxmlformats.org/officeDocument/2006/relationships/worksheet" Target="worksheets/sheet71.xml"/><Relationship Id="rId33" Type="http://schemas.openxmlformats.org/officeDocument/2006/relationships/worksheet" Target="worksheets/sheet30.xml"/><Relationship Id="rId77" Type="http://schemas.openxmlformats.org/officeDocument/2006/relationships/worksheet" Target="worksheets/sheet74.xml"/><Relationship Id="rId32" Type="http://schemas.openxmlformats.org/officeDocument/2006/relationships/worksheet" Target="worksheets/sheet29.xml"/><Relationship Id="rId76" Type="http://schemas.openxmlformats.org/officeDocument/2006/relationships/worksheet" Target="worksheets/sheet73.xml"/><Relationship Id="rId35" Type="http://schemas.openxmlformats.org/officeDocument/2006/relationships/worksheet" Target="worksheets/sheet32.xml"/><Relationship Id="rId34" Type="http://schemas.openxmlformats.org/officeDocument/2006/relationships/worksheet" Target="worksheets/sheet31.xml"/><Relationship Id="rId78" Type="http://customschemas.google.com/relationships/workbookmetadata" Target="metadata"/><Relationship Id="rId71" Type="http://schemas.openxmlformats.org/officeDocument/2006/relationships/worksheet" Target="worksheets/sheet68.xml"/><Relationship Id="rId70" Type="http://schemas.openxmlformats.org/officeDocument/2006/relationships/worksheet" Target="worksheets/sheet67.xml"/><Relationship Id="rId37" Type="http://schemas.openxmlformats.org/officeDocument/2006/relationships/worksheet" Target="worksheets/sheet34.xml"/><Relationship Id="rId36" Type="http://schemas.openxmlformats.org/officeDocument/2006/relationships/worksheet" Target="worksheets/sheet33.xml"/><Relationship Id="rId39" Type="http://schemas.openxmlformats.org/officeDocument/2006/relationships/worksheet" Target="worksheets/sheet36.xml"/><Relationship Id="rId38" Type="http://schemas.openxmlformats.org/officeDocument/2006/relationships/worksheet" Target="worksheets/sheet35.xml"/><Relationship Id="rId62" Type="http://schemas.openxmlformats.org/officeDocument/2006/relationships/worksheet" Target="worksheets/sheet59.xml"/><Relationship Id="rId61" Type="http://schemas.openxmlformats.org/officeDocument/2006/relationships/worksheet" Target="worksheets/sheet58.xml"/><Relationship Id="rId20" Type="http://schemas.openxmlformats.org/officeDocument/2006/relationships/worksheet" Target="worksheets/sheet17.xml"/><Relationship Id="rId64" Type="http://schemas.openxmlformats.org/officeDocument/2006/relationships/worksheet" Target="worksheets/sheet61.xml"/><Relationship Id="rId63" Type="http://schemas.openxmlformats.org/officeDocument/2006/relationships/worksheet" Target="worksheets/sheet60.xml"/><Relationship Id="rId22" Type="http://schemas.openxmlformats.org/officeDocument/2006/relationships/worksheet" Target="worksheets/sheet19.xml"/><Relationship Id="rId66" Type="http://schemas.openxmlformats.org/officeDocument/2006/relationships/worksheet" Target="worksheets/sheet63.xml"/><Relationship Id="rId21" Type="http://schemas.openxmlformats.org/officeDocument/2006/relationships/worksheet" Target="worksheets/sheet18.xml"/><Relationship Id="rId65" Type="http://schemas.openxmlformats.org/officeDocument/2006/relationships/worksheet" Target="worksheets/sheet62.xml"/><Relationship Id="rId24" Type="http://schemas.openxmlformats.org/officeDocument/2006/relationships/worksheet" Target="worksheets/sheet21.xml"/><Relationship Id="rId68" Type="http://schemas.openxmlformats.org/officeDocument/2006/relationships/worksheet" Target="worksheets/sheet65.xml"/><Relationship Id="rId23" Type="http://schemas.openxmlformats.org/officeDocument/2006/relationships/worksheet" Target="worksheets/sheet20.xml"/><Relationship Id="rId67" Type="http://schemas.openxmlformats.org/officeDocument/2006/relationships/worksheet" Target="worksheets/sheet64.xml"/><Relationship Id="rId60" Type="http://schemas.openxmlformats.org/officeDocument/2006/relationships/worksheet" Target="worksheets/sheet57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69" Type="http://schemas.openxmlformats.org/officeDocument/2006/relationships/worksheet" Target="worksheets/sheet66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29" Type="http://schemas.openxmlformats.org/officeDocument/2006/relationships/worksheet" Target="worksheets/sheet26.xml"/><Relationship Id="rId51" Type="http://schemas.openxmlformats.org/officeDocument/2006/relationships/worksheet" Target="worksheets/sheet48.xml"/><Relationship Id="rId50" Type="http://schemas.openxmlformats.org/officeDocument/2006/relationships/worksheet" Target="worksheets/sheet47.xml"/><Relationship Id="rId53" Type="http://schemas.openxmlformats.org/officeDocument/2006/relationships/worksheet" Target="worksheets/sheet50.xml"/><Relationship Id="rId52" Type="http://schemas.openxmlformats.org/officeDocument/2006/relationships/worksheet" Target="worksheets/sheet49.xml"/><Relationship Id="rId11" Type="http://schemas.openxmlformats.org/officeDocument/2006/relationships/worksheet" Target="worksheets/sheet8.xml"/><Relationship Id="rId55" Type="http://schemas.openxmlformats.org/officeDocument/2006/relationships/worksheet" Target="worksheets/sheet52.xml"/><Relationship Id="rId10" Type="http://schemas.openxmlformats.org/officeDocument/2006/relationships/worksheet" Target="worksheets/sheet7.xml"/><Relationship Id="rId54" Type="http://schemas.openxmlformats.org/officeDocument/2006/relationships/worksheet" Target="worksheets/sheet51.xml"/><Relationship Id="rId13" Type="http://schemas.openxmlformats.org/officeDocument/2006/relationships/worksheet" Target="worksheets/sheet10.xml"/><Relationship Id="rId57" Type="http://schemas.openxmlformats.org/officeDocument/2006/relationships/worksheet" Target="worksheets/sheet54.xml"/><Relationship Id="rId12" Type="http://schemas.openxmlformats.org/officeDocument/2006/relationships/worksheet" Target="worksheets/sheet9.xml"/><Relationship Id="rId56" Type="http://schemas.openxmlformats.org/officeDocument/2006/relationships/worksheet" Target="worksheets/sheet53.xml"/><Relationship Id="rId15" Type="http://schemas.openxmlformats.org/officeDocument/2006/relationships/worksheet" Target="worksheets/sheet12.xml"/><Relationship Id="rId59" Type="http://schemas.openxmlformats.org/officeDocument/2006/relationships/worksheet" Target="worksheets/sheet56.xml"/><Relationship Id="rId14" Type="http://schemas.openxmlformats.org/officeDocument/2006/relationships/worksheet" Target="worksheets/sheet11.xml"/><Relationship Id="rId58" Type="http://schemas.openxmlformats.org/officeDocument/2006/relationships/worksheet" Target="worksheets/sheet55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creener.in/company/MARUTI/consolidated/" TargetMode="External"/><Relationship Id="rId2" Type="http://schemas.openxmlformats.org/officeDocument/2006/relationships/drawing" Target="../drawings/drawing73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1"/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</row>
    <row r="5" ht="15.75" customHeight="1">
      <c r="A5" s="7"/>
    </row>
    <row r="6" ht="15.75" customHeight="1">
      <c r="A6" s="8" t="s">
        <v>3</v>
      </c>
      <c r="B6" s="9">
        <f t="shared" ref="B6:J6" si="2">SUM(B3:B4)</f>
        <v>586120</v>
      </c>
      <c r="C6" s="9">
        <f t="shared" si="2"/>
        <v>703746</v>
      </c>
      <c r="D6" s="9">
        <f t="shared" si="2"/>
        <v>818552</v>
      </c>
      <c r="E6" s="9">
        <f t="shared" si="2"/>
        <v>886301</v>
      </c>
      <c r="F6" s="9">
        <f t="shared" si="2"/>
        <v>789944</v>
      </c>
      <c r="G6" s="9">
        <f t="shared" si="2"/>
        <v>733083</v>
      </c>
      <c r="H6" s="9">
        <f t="shared" si="2"/>
        <v>900745</v>
      </c>
      <c r="I6" s="9">
        <f t="shared" si="2"/>
        <v>1206746</v>
      </c>
      <c r="J6" s="9">
        <f t="shared" si="2"/>
        <v>1459517</v>
      </c>
      <c r="K6" s="10"/>
      <c r="L6" s="10"/>
      <c r="M6" s="10"/>
      <c r="N6" s="10"/>
      <c r="O6" s="10"/>
      <c r="P6" s="10"/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  <c r="L10" s="11" t="s">
        <v>7</v>
      </c>
      <c r="M10" s="12"/>
      <c r="N10" s="12"/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  <c r="L11" s="11" t="s">
        <v>9</v>
      </c>
      <c r="M11" s="12"/>
      <c r="N11" s="12"/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  <c r="L12" s="11" t="s">
        <v>11</v>
      </c>
      <c r="M12" s="12"/>
      <c r="N12" s="12"/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</row>
    <row r="15" ht="15.75" customHeight="1">
      <c r="A15" s="7"/>
    </row>
    <row r="16" ht="15.75" customHeight="1">
      <c r="A16" s="8" t="s">
        <v>14</v>
      </c>
      <c r="B16" s="13">
        <f t="shared" ref="B16:J16" si="3">SUM(B9:B14)</f>
        <v>494932</v>
      </c>
      <c r="C16" s="13">
        <f t="shared" si="3"/>
        <v>577269</v>
      </c>
      <c r="D16" s="13">
        <f t="shared" si="3"/>
        <v>677460</v>
      </c>
      <c r="E16" s="13">
        <f t="shared" si="3"/>
        <v>750653</v>
      </c>
      <c r="F16" s="13">
        <f t="shared" si="3"/>
        <v>683474</v>
      </c>
      <c r="G16" s="13">
        <f t="shared" si="3"/>
        <v>650204</v>
      </c>
      <c r="H16" s="13">
        <f t="shared" si="3"/>
        <v>826236</v>
      </c>
      <c r="I16" s="13">
        <f t="shared" si="3"/>
        <v>1053155</v>
      </c>
      <c r="J16" s="13">
        <f t="shared" si="3"/>
        <v>1233319</v>
      </c>
      <c r="K16" s="14"/>
      <c r="L16" s="14"/>
      <c r="M16" s="14"/>
      <c r="N16" s="14"/>
      <c r="O16" s="14"/>
      <c r="P16" s="14"/>
    </row>
    <row r="17" ht="15.75" customHeight="1">
      <c r="A17" s="7"/>
    </row>
    <row r="18" ht="15.75" customHeight="1">
      <c r="A18" s="4" t="s">
        <v>15</v>
      </c>
      <c r="B18" s="6">
        <f t="shared" ref="B18:J18" si="4">B6-B16</f>
        <v>91188</v>
      </c>
      <c r="C18" s="6">
        <f t="shared" si="4"/>
        <v>126477</v>
      </c>
      <c r="D18" s="6">
        <f t="shared" si="4"/>
        <v>141092</v>
      </c>
      <c r="E18" s="6">
        <f t="shared" si="4"/>
        <v>135648</v>
      </c>
      <c r="F18" s="6">
        <f t="shared" si="4"/>
        <v>106470</v>
      </c>
      <c r="G18" s="6">
        <f t="shared" si="4"/>
        <v>82879</v>
      </c>
      <c r="H18" s="6">
        <f t="shared" si="4"/>
        <v>74509</v>
      </c>
      <c r="I18" s="6">
        <f t="shared" si="4"/>
        <v>153591</v>
      </c>
      <c r="J18" s="6">
        <f t="shared" si="4"/>
        <v>226198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</row>
    <row r="21" ht="15.75" customHeight="1">
      <c r="A21" s="7"/>
      <c r="L21" s="15" t="s">
        <v>17</v>
      </c>
    </row>
    <row r="22" ht="15.75" customHeight="1">
      <c r="A22" s="7" t="s">
        <v>18</v>
      </c>
      <c r="B22" s="6">
        <f t="shared" ref="B22:J22" si="5">B18-B20</f>
        <v>62518</v>
      </c>
      <c r="C22" s="6">
        <f t="shared" si="5"/>
        <v>100438</v>
      </c>
      <c r="D22" s="6">
        <f t="shared" si="5"/>
        <v>113494</v>
      </c>
      <c r="E22" s="6">
        <f t="shared" si="5"/>
        <v>105440</v>
      </c>
      <c r="F22" s="6">
        <f t="shared" si="5"/>
        <v>71186</v>
      </c>
      <c r="G22" s="6">
        <f t="shared" si="5"/>
        <v>52538</v>
      </c>
      <c r="H22" s="6">
        <f t="shared" si="5"/>
        <v>46619</v>
      </c>
      <c r="I22" s="6">
        <f t="shared" si="5"/>
        <v>105131</v>
      </c>
      <c r="J22" s="6">
        <f t="shared" si="5"/>
        <v>173640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  <c r="L24" s="15" t="s">
        <v>20</v>
      </c>
      <c r="M24" s="15" t="s">
        <v>21</v>
      </c>
      <c r="N24" s="15" t="s">
        <v>21</v>
      </c>
      <c r="O24" s="15" t="s">
        <v>22</v>
      </c>
    </row>
    <row r="25" ht="15.75" customHeight="1">
      <c r="A25" s="7"/>
    </row>
    <row r="26" ht="15.75" customHeight="1">
      <c r="A26" s="7" t="s">
        <v>23</v>
      </c>
      <c r="B26" s="6">
        <f t="shared" ref="B26:J26" si="6">B22-B24</f>
        <v>61581</v>
      </c>
      <c r="C26" s="6">
        <f t="shared" si="6"/>
        <v>99544</v>
      </c>
      <c r="D26" s="6">
        <f t="shared" si="6"/>
        <v>110036</v>
      </c>
      <c r="E26" s="6">
        <f t="shared" si="6"/>
        <v>104681</v>
      </c>
      <c r="F26" s="6">
        <f t="shared" si="6"/>
        <v>69844</v>
      </c>
      <c r="G26" s="6">
        <f t="shared" si="6"/>
        <v>51520</v>
      </c>
      <c r="H26" s="6">
        <f t="shared" si="6"/>
        <v>45353</v>
      </c>
      <c r="I26" s="6">
        <f t="shared" si="6"/>
        <v>102608</v>
      </c>
      <c r="J26" s="6">
        <f t="shared" si="6"/>
        <v>171704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/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</row>
    <row r="28" ht="15.75" customHeight="1">
      <c r="A28" s="7" t="s">
        <v>25</v>
      </c>
      <c r="B28" s="6">
        <f t="shared" ref="B28:J28" si="7">SUM(B26:B27)</f>
        <v>66296</v>
      </c>
      <c r="C28" s="6">
        <f t="shared" si="7"/>
        <v>101272</v>
      </c>
      <c r="D28" s="6">
        <f t="shared" si="7"/>
        <v>110036</v>
      </c>
      <c r="E28" s="6">
        <f t="shared" si="7"/>
        <v>102651</v>
      </c>
      <c r="F28" s="6">
        <f t="shared" si="7"/>
        <v>65427</v>
      </c>
      <c r="G28" s="6">
        <f t="shared" si="7"/>
        <v>56656</v>
      </c>
      <c r="H28" s="6">
        <f t="shared" si="7"/>
        <v>48482</v>
      </c>
      <c r="I28" s="6">
        <f t="shared" si="7"/>
        <v>103194</v>
      </c>
      <c r="J28" s="6">
        <f t="shared" si="7"/>
        <v>174373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</row>
    <row r="31" ht="15.75" customHeight="1">
      <c r="A31" s="7"/>
    </row>
    <row r="32" ht="15.75" customHeight="1">
      <c r="A32" s="7" t="s">
        <v>27</v>
      </c>
      <c r="B32" s="6">
        <f t="shared" ref="B32:J32" si="8">B28-B30</f>
        <v>46309</v>
      </c>
      <c r="C32" s="6">
        <f t="shared" si="8"/>
        <v>75110</v>
      </c>
      <c r="D32" s="6">
        <f t="shared" si="8"/>
        <v>77174</v>
      </c>
      <c r="E32" s="6">
        <f t="shared" si="8"/>
        <v>72919</v>
      </c>
      <c r="F32" s="6">
        <f t="shared" si="8"/>
        <v>51175</v>
      </c>
      <c r="G32" s="6">
        <f t="shared" si="8"/>
        <v>47337</v>
      </c>
      <c r="H32" s="6">
        <f t="shared" si="8"/>
        <v>40305</v>
      </c>
      <c r="I32" s="6">
        <f t="shared" si="8"/>
        <v>81449</v>
      </c>
      <c r="J32" s="6">
        <f t="shared" si="8"/>
        <v>135010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9">B32+B33</f>
        <v>46988</v>
      </c>
      <c r="C36" s="9">
        <f t="shared" si="9"/>
        <v>77326</v>
      </c>
      <c r="D36" s="9">
        <f t="shared" si="9"/>
        <v>80485</v>
      </c>
      <c r="E36" s="9">
        <f>E32+F33</f>
        <v>74103</v>
      </c>
      <c r="F36" s="9">
        <f t="shared" ref="F36:J36" si="10">F32+F33</f>
        <v>52359</v>
      </c>
      <c r="G36" s="9">
        <f t="shared" si="10"/>
        <v>49027</v>
      </c>
      <c r="H36" s="9">
        <f t="shared" si="10"/>
        <v>41924</v>
      </c>
      <c r="I36" s="9">
        <f t="shared" si="10"/>
        <v>83223</v>
      </c>
      <c r="J36" s="9">
        <f t="shared" si="10"/>
        <v>137551</v>
      </c>
      <c r="K36" s="10"/>
      <c r="L36" s="10"/>
      <c r="M36" s="10"/>
      <c r="N36" s="10"/>
      <c r="O36" s="10"/>
      <c r="P36" s="10"/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</row>
    <row r="42" ht="15.75" customHeight="1">
      <c r="A42" s="1" t="s">
        <v>32</v>
      </c>
    </row>
    <row r="43" ht="15.75" customHeight="1">
      <c r="A43" s="1" t="s">
        <v>33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</row>
    <row r="47" ht="15.75" customHeight="1">
      <c r="A47" s="7" t="s">
        <v>36</v>
      </c>
    </row>
    <row r="48" ht="15.75" customHeight="1">
      <c r="A48" s="7"/>
    </row>
    <row r="49" ht="15.75" customHeight="1">
      <c r="A49" s="7" t="s">
        <v>37</v>
      </c>
    </row>
    <row r="50" ht="15.75" customHeight="1">
      <c r="A50" s="1" t="s">
        <v>38</v>
      </c>
    </row>
    <row r="51" ht="15.75" customHeight="1">
      <c r="A51" s="1" t="s">
        <v>39</v>
      </c>
    </row>
    <row r="52" ht="15.75" customHeight="1">
      <c r="A52" s="1" t="s">
        <v>40</v>
      </c>
    </row>
    <row r="53" ht="15.75" customHeight="1">
      <c r="A53" s="1" t="s">
        <v>41</v>
      </c>
    </row>
    <row r="54" ht="15.75" customHeight="1">
      <c r="A54" s="7"/>
    </row>
    <row r="55" ht="15.75" customHeight="1">
      <c r="A55" s="1" t="s">
        <v>42</v>
      </c>
    </row>
    <row r="56" ht="15.75" customHeight="1">
      <c r="A56" s="1" t="s">
        <v>43</v>
      </c>
    </row>
    <row r="57" ht="15.75" customHeight="1">
      <c r="A57" s="1" t="s">
        <v>44</v>
      </c>
    </row>
    <row r="58" ht="15.75" customHeight="1">
      <c r="A58" s="1" t="s">
        <v>45</v>
      </c>
    </row>
    <row r="59" ht="15.75" customHeight="1">
      <c r="A59" s="1" t="s">
        <v>46</v>
      </c>
    </row>
    <row r="60" ht="15.75" customHeight="1">
      <c r="A60" s="1" t="s">
        <v>47</v>
      </c>
    </row>
    <row r="61" ht="15.75" customHeight="1">
      <c r="A61" s="1" t="s">
        <v>48</v>
      </c>
    </row>
    <row r="62" ht="15.75" customHeight="1">
      <c r="A62" s="8" t="s">
        <v>49</v>
      </c>
    </row>
    <row r="63" ht="15.75" customHeight="1">
      <c r="A63" s="7"/>
    </row>
    <row r="64" ht="15.75" customHeight="1">
      <c r="A64" s="7"/>
    </row>
    <row r="65" ht="15.75" customHeight="1">
      <c r="A65" s="4" t="s">
        <v>50</v>
      </c>
    </row>
    <row r="66" ht="15.75" customHeight="1">
      <c r="A66" s="7"/>
    </row>
    <row r="67" ht="15.75" customHeight="1">
      <c r="A67" s="1" t="s">
        <v>51</v>
      </c>
    </row>
    <row r="68" ht="15.75" customHeight="1">
      <c r="A68" s="16" t="s">
        <v>52</v>
      </c>
    </row>
    <row r="69" ht="15.75" customHeight="1">
      <c r="A69" s="16" t="s">
        <v>53</v>
      </c>
    </row>
    <row r="70" ht="15.75" customHeight="1">
      <c r="A70" s="16" t="s">
        <v>54</v>
      </c>
    </row>
    <row r="71" ht="15.75" customHeight="1">
      <c r="A71" s="16" t="s">
        <v>55</v>
      </c>
    </row>
    <row r="72" ht="15.75" customHeight="1">
      <c r="A72" s="1"/>
    </row>
    <row r="73" ht="15.75" customHeight="1">
      <c r="A73" s="1" t="s">
        <v>56</v>
      </c>
    </row>
    <row r="74" ht="15.75" customHeight="1">
      <c r="A74" s="1" t="s">
        <v>57</v>
      </c>
    </row>
    <row r="75" ht="15.75" customHeight="1">
      <c r="A75" s="1" t="s">
        <v>58</v>
      </c>
    </row>
    <row r="76" ht="15.75" customHeight="1">
      <c r="A76" s="1" t="s">
        <v>59</v>
      </c>
    </row>
    <row r="77" ht="15.75" customHeight="1">
      <c r="A77" s="1"/>
    </row>
    <row r="78" ht="15.75" customHeight="1">
      <c r="A78" s="1" t="s">
        <v>60</v>
      </c>
    </row>
    <row r="79" ht="15.75" customHeight="1">
      <c r="A79" s="1"/>
    </row>
    <row r="80" ht="15.75" customHeight="1">
      <c r="A80" s="16" t="s">
        <v>61</v>
      </c>
    </row>
    <row r="81" ht="15.75" customHeight="1">
      <c r="A81" s="16" t="s">
        <v>62</v>
      </c>
    </row>
    <row r="82" ht="15.75" customHeight="1">
      <c r="A82" s="16" t="s">
        <v>63</v>
      </c>
    </row>
    <row r="83" ht="15.75" customHeight="1">
      <c r="A83" s="16" t="s">
        <v>64</v>
      </c>
    </row>
    <row r="84" ht="15.75" customHeight="1">
      <c r="A84" s="16" t="s">
        <v>65</v>
      </c>
    </row>
    <row r="85" ht="15.75" customHeight="1">
      <c r="A85" s="16" t="s">
        <v>66</v>
      </c>
    </row>
    <row r="86" ht="15.75" customHeight="1">
      <c r="A86" s="16" t="s">
        <v>67</v>
      </c>
    </row>
    <row r="87" ht="15.75" customHeight="1">
      <c r="A87" s="1" t="s">
        <v>57</v>
      </c>
    </row>
    <row r="88" ht="15.75" customHeight="1">
      <c r="A88" s="8" t="s">
        <v>49</v>
      </c>
    </row>
    <row r="89" ht="15.75" customHeight="1">
      <c r="A89" s="1"/>
    </row>
    <row r="90" ht="15.75" customHeight="1">
      <c r="A90" s="5" t="s">
        <v>68</v>
      </c>
    </row>
    <row r="91" ht="15.75" customHeight="1">
      <c r="A91" s="5" t="s">
        <v>69</v>
      </c>
    </row>
    <row r="92" ht="15.75" customHeight="1">
      <c r="A92" s="5"/>
    </row>
    <row r="93" ht="15.75" customHeight="1">
      <c r="A93" s="5" t="s">
        <v>70</v>
      </c>
    </row>
    <row r="94" ht="15.75" customHeight="1">
      <c r="A94" s="5" t="s">
        <v>71</v>
      </c>
    </row>
    <row r="95" ht="15.75" customHeight="1">
      <c r="A95" s="5" t="s">
        <v>49</v>
      </c>
    </row>
    <row r="96" ht="15.75" customHeight="1">
      <c r="A96" s="5"/>
    </row>
    <row r="97" ht="15.75" customHeight="1">
      <c r="A97" s="5" t="s">
        <v>72</v>
      </c>
    </row>
    <row r="98" ht="15.75" customHeight="1">
      <c r="A98" s="5"/>
    </row>
    <row r="99" ht="15.75" customHeight="1">
      <c r="A99" s="17" t="s">
        <v>73</v>
      </c>
    </row>
    <row r="100" ht="15.75" customHeight="1">
      <c r="A100" s="5" t="s">
        <v>74</v>
      </c>
    </row>
    <row r="101" ht="15.75" customHeight="1">
      <c r="A101" s="5" t="s">
        <v>75</v>
      </c>
    </row>
    <row r="102" ht="15.75" customHeight="1">
      <c r="A102" s="5"/>
    </row>
    <row r="103" ht="15.75" customHeight="1">
      <c r="A103" s="17" t="s">
        <v>76</v>
      </c>
    </row>
    <row r="104" ht="15.75" customHeight="1">
      <c r="A104" s="5" t="s">
        <v>77</v>
      </c>
    </row>
    <row r="105" ht="15.75" customHeight="1">
      <c r="A105" s="5" t="s">
        <v>71</v>
      </c>
    </row>
    <row r="106" ht="15.75" customHeight="1">
      <c r="A106" s="5" t="s">
        <v>49</v>
      </c>
    </row>
    <row r="107" ht="15.75" customHeight="1">
      <c r="A107" s="5" t="s">
        <v>78</v>
      </c>
    </row>
    <row r="108" ht="15.75" customHeight="1">
      <c r="A108" s="5" t="s">
        <v>79</v>
      </c>
    </row>
    <row r="109" ht="15.75" customHeight="1">
      <c r="A109" s="5"/>
    </row>
    <row r="110" ht="15.75" customHeight="1">
      <c r="A110" s="17" t="s">
        <v>80</v>
      </c>
    </row>
    <row r="111" ht="15.75" customHeight="1">
      <c r="A111" s="5" t="s">
        <v>70</v>
      </c>
    </row>
    <row r="112" ht="15.75" customHeight="1">
      <c r="A112" s="5" t="s">
        <v>71</v>
      </c>
    </row>
    <row r="113" ht="15.75" customHeight="1">
      <c r="A113" s="5" t="s">
        <v>81</v>
      </c>
    </row>
    <row r="114" ht="15.75" customHeight="1">
      <c r="A114" s="5"/>
    </row>
    <row r="115" ht="15.75" customHeight="1">
      <c r="A115" s="5"/>
    </row>
    <row r="116" ht="15.75" customHeight="1">
      <c r="A116" s="5" t="s">
        <v>82</v>
      </c>
    </row>
    <row r="117" ht="15.75" customHeight="1">
      <c r="A117" s="5" t="s">
        <v>83</v>
      </c>
    </row>
    <row r="118" ht="15.75" customHeight="1">
      <c r="A118" s="5"/>
    </row>
    <row r="119" ht="15.75" customHeight="1">
      <c r="A119" s="17" t="s">
        <v>84</v>
      </c>
    </row>
    <row r="120" ht="15.75" customHeight="1">
      <c r="A120" s="5"/>
    </row>
    <row r="121" ht="15.75" customHeight="1">
      <c r="A121" s="1" t="s">
        <v>5</v>
      </c>
    </row>
    <row r="122" ht="15.75" customHeight="1">
      <c r="A122" s="1" t="s">
        <v>6</v>
      </c>
    </row>
    <row r="123" ht="15.75" customHeight="1">
      <c r="A123" s="1" t="s">
        <v>8</v>
      </c>
    </row>
    <row r="124" ht="15.75" customHeight="1">
      <c r="A124" s="1" t="s">
        <v>10</v>
      </c>
    </row>
    <row r="125" ht="15.75" customHeight="1">
      <c r="A125" s="1" t="s">
        <v>12</v>
      </c>
    </row>
    <row r="126" ht="15.75" customHeight="1">
      <c r="A126" s="1" t="s">
        <v>85</v>
      </c>
    </row>
    <row r="127" ht="15.75" customHeight="1">
      <c r="A127" s="5"/>
    </row>
    <row r="128" ht="15.75" customHeight="1">
      <c r="A128" s="5"/>
    </row>
    <row r="129" ht="15.75" customHeight="1">
      <c r="A129" s="18" t="s">
        <v>86</v>
      </c>
    </row>
    <row r="130" ht="15.75" customHeight="1">
      <c r="A130" s="5"/>
    </row>
    <row r="131" ht="15.75" customHeight="1">
      <c r="A131" s="1" t="s">
        <v>5</v>
      </c>
    </row>
    <row r="132" ht="15.75" customHeight="1">
      <c r="A132" s="1" t="s">
        <v>6</v>
      </c>
    </row>
    <row r="133" ht="15.75" customHeight="1">
      <c r="A133" s="1" t="s">
        <v>8</v>
      </c>
    </row>
    <row r="134" ht="15.75" customHeight="1">
      <c r="A134" s="1" t="s">
        <v>10</v>
      </c>
    </row>
    <row r="135" ht="15.75" customHeight="1">
      <c r="A135" s="1" t="s">
        <v>12</v>
      </c>
    </row>
    <row r="136" ht="15.75" customHeight="1">
      <c r="A136" s="1" t="s">
        <v>85</v>
      </c>
    </row>
    <row r="137" ht="15.75" customHeight="1">
      <c r="A137" s="5"/>
    </row>
    <row r="138" ht="15.75" customHeight="1">
      <c r="A138" s="1" t="s">
        <v>83</v>
      </c>
    </row>
    <row r="139" ht="15.75" customHeight="1">
      <c r="A139" s="1" t="s">
        <v>5</v>
      </c>
    </row>
    <row r="140" ht="15.75" customHeight="1">
      <c r="A140" s="1" t="s">
        <v>6</v>
      </c>
    </row>
    <row r="141" ht="15.75" customHeight="1">
      <c r="A141" s="1" t="s">
        <v>8</v>
      </c>
    </row>
    <row r="142" ht="15.75" customHeight="1">
      <c r="A142" s="1" t="s">
        <v>10</v>
      </c>
    </row>
    <row r="143" ht="15.75" customHeight="1">
      <c r="A143" s="1" t="s">
        <v>12</v>
      </c>
    </row>
    <row r="144" ht="15.75" customHeight="1">
      <c r="A144" s="1" t="s">
        <v>85</v>
      </c>
    </row>
    <row r="145" ht="15.75" customHeight="1">
      <c r="A145" s="5"/>
    </row>
    <row r="146" ht="15.75" customHeight="1">
      <c r="A146" s="5"/>
    </row>
    <row r="147" ht="15.75" customHeight="1">
      <c r="A147" s="5"/>
    </row>
    <row r="148" ht="15.75" customHeight="1">
      <c r="A148" s="18" t="s">
        <v>87</v>
      </c>
    </row>
    <row r="149" ht="15.75" customHeight="1">
      <c r="A149" s="5"/>
    </row>
    <row r="150" ht="15.75" customHeight="1">
      <c r="A150" s="5" t="s">
        <v>60</v>
      </c>
    </row>
    <row r="151" ht="15.75" customHeight="1">
      <c r="A151" s="16" t="s">
        <v>61</v>
      </c>
    </row>
    <row r="152" ht="15.75" customHeight="1">
      <c r="A152" s="16" t="s">
        <v>62</v>
      </c>
    </row>
    <row r="153" ht="15.75" customHeight="1">
      <c r="A153" s="16" t="s">
        <v>64</v>
      </c>
    </row>
    <row r="154" ht="15.75" customHeight="1">
      <c r="A154" s="16" t="s">
        <v>65</v>
      </c>
    </row>
    <row r="155" ht="15.75" customHeight="1">
      <c r="A155" s="16" t="s">
        <v>66</v>
      </c>
    </row>
    <row r="156" ht="15.75" customHeight="1">
      <c r="A156" s="1" t="s">
        <v>57</v>
      </c>
    </row>
    <row r="157" ht="15.75" customHeight="1">
      <c r="A157" s="5"/>
    </row>
    <row r="158" ht="15.75" customHeight="1">
      <c r="A158" s="5" t="s">
        <v>42</v>
      </c>
    </row>
    <row r="159" ht="15.75" customHeight="1">
      <c r="A159" s="1" t="s">
        <v>43</v>
      </c>
    </row>
    <row r="160" ht="15.75" customHeight="1">
      <c r="A160" s="1" t="s">
        <v>44</v>
      </c>
    </row>
    <row r="161" ht="15.75" customHeight="1">
      <c r="A161" s="1" t="s">
        <v>45</v>
      </c>
    </row>
    <row r="162" ht="15.75" customHeight="1">
      <c r="A162" s="1" t="s">
        <v>46</v>
      </c>
    </row>
    <row r="163" ht="15.75" customHeight="1">
      <c r="A163" s="1" t="s">
        <v>47</v>
      </c>
    </row>
    <row r="164" ht="15.75" customHeight="1">
      <c r="A164" s="1" t="s">
        <v>48</v>
      </c>
    </row>
    <row r="165" ht="15.75" customHeight="1">
      <c r="A165" s="5"/>
    </row>
    <row r="166" ht="15.75" customHeight="1">
      <c r="A166" s="1" t="s">
        <v>88</v>
      </c>
    </row>
    <row r="167" ht="15.75" customHeight="1">
      <c r="A167" s="5"/>
    </row>
    <row r="168" ht="15.75" customHeight="1">
      <c r="A168" s="18" t="s">
        <v>89</v>
      </c>
    </row>
    <row r="169" ht="15.75" customHeight="1">
      <c r="A169" s="5" t="s">
        <v>60</v>
      </c>
    </row>
    <row r="170" ht="15.75" customHeight="1">
      <c r="A170" s="16" t="s">
        <v>61</v>
      </c>
    </row>
    <row r="171" ht="15.75" customHeight="1">
      <c r="A171" s="16" t="s">
        <v>62</v>
      </c>
    </row>
    <row r="172" ht="15.75" customHeight="1">
      <c r="A172" s="16" t="s">
        <v>64</v>
      </c>
    </row>
    <row r="173" ht="15.75" customHeight="1">
      <c r="A173" s="16" t="s">
        <v>65</v>
      </c>
    </row>
    <row r="174" ht="15.75" customHeight="1">
      <c r="A174" s="16" t="s">
        <v>66</v>
      </c>
    </row>
    <row r="175" ht="15.75" customHeight="1">
      <c r="A175" s="1" t="s">
        <v>57</v>
      </c>
    </row>
    <row r="176" ht="15.75" customHeight="1">
      <c r="A176" s="5"/>
    </row>
    <row r="177" ht="15.75" customHeight="1">
      <c r="A177" s="5" t="s">
        <v>42</v>
      </c>
    </row>
    <row r="178" ht="15.75" customHeight="1">
      <c r="A178" s="1" t="s">
        <v>43</v>
      </c>
    </row>
    <row r="179" ht="15.75" customHeight="1">
      <c r="A179" s="1" t="s">
        <v>44</v>
      </c>
    </row>
    <row r="180" ht="15.75" customHeight="1">
      <c r="A180" s="1" t="s">
        <v>45</v>
      </c>
    </row>
    <row r="181" ht="15.75" customHeight="1">
      <c r="A181" s="1" t="s">
        <v>46</v>
      </c>
    </row>
    <row r="182" ht="15.75" customHeight="1">
      <c r="A182" s="1" t="s">
        <v>47</v>
      </c>
    </row>
    <row r="183" ht="15.75" customHeight="1">
      <c r="A183" s="1" t="s">
        <v>48</v>
      </c>
    </row>
    <row r="184" ht="15.75" customHeight="1">
      <c r="A184" s="5"/>
    </row>
    <row r="185" ht="15.75" customHeight="1">
      <c r="A185" s="1" t="s">
        <v>90</v>
      </c>
    </row>
    <row r="186" ht="15.75" customHeight="1">
      <c r="A186" s="1" t="s">
        <v>91</v>
      </c>
    </row>
    <row r="187" ht="15.75" customHeight="1">
      <c r="A187" s="5"/>
    </row>
    <row r="188" ht="15.75" customHeight="1">
      <c r="A188" s="5"/>
    </row>
    <row r="189" ht="15.75" customHeight="1">
      <c r="A189" s="5"/>
    </row>
    <row r="190" ht="15.75" customHeight="1">
      <c r="A190" s="18" t="s">
        <v>92</v>
      </c>
    </row>
    <row r="191" ht="15.75" customHeight="1">
      <c r="A191" s="5" t="s">
        <v>93</v>
      </c>
    </row>
    <row r="192" ht="15.75" customHeight="1">
      <c r="A192" s="5" t="s">
        <v>94</v>
      </c>
    </row>
    <row r="193" ht="15.75" customHeight="1">
      <c r="A193" s="5" t="s">
        <v>49</v>
      </c>
    </row>
    <row r="194" ht="15.75" customHeight="1">
      <c r="A194" s="5"/>
    </row>
    <row r="195" ht="15.75" customHeight="1">
      <c r="A195" s="5" t="s">
        <v>95</v>
      </c>
    </row>
    <row r="196" ht="15.75" customHeight="1">
      <c r="A196" s="5"/>
    </row>
    <row r="197" ht="15.75" customHeight="1">
      <c r="A197" s="5" t="s">
        <v>96</v>
      </c>
    </row>
    <row r="198" ht="15.75" customHeight="1">
      <c r="A198" s="5" t="s">
        <v>97</v>
      </c>
    </row>
    <row r="199" ht="15.75" customHeight="1">
      <c r="A199" s="5" t="s">
        <v>98</v>
      </c>
    </row>
    <row r="200" ht="15.75" customHeight="1">
      <c r="A200" s="5"/>
    </row>
    <row r="201" ht="15.75" customHeight="1">
      <c r="A201" s="5" t="s">
        <v>99</v>
      </c>
    </row>
    <row r="202" ht="15.75" customHeight="1">
      <c r="A202" s="5" t="s">
        <v>100</v>
      </c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1"/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</row>
    <row r="5" ht="15.75" customHeight="1">
      <c r="A5" s="7"/>
    </row>
    <row r="6" ht="15.75" customHeight="1">
      <c r="A6" s="8" t="s">
        <v>3</v>
      </c>
      <c r="B6" s="9">
        <f t="shared" ref="B6:J6" si="2">SUM(B3:B4)</f>
        <v>586120</v>
      </c>
      <c r="C6" s="9">
        <f t="shared" si="2"/>
        <v>703746</v>
      </c>
      <c r="D6" s="9">
        <f t="shared" si="2"/>
        <v>818552</v>
      </c>
      <c r="E6" s="9">
        <f t="shared" si="2"/>
        <v>886301</v>
      </c>
      <c r="F6" s="9">
        <f t="shared" si="2"/>
        <v>789944</v>
      </c>
      <c r="G6" s="9">
        <f t="shared" si="2"/>
        <v>733083</v>
      </c>
      <c r="H6" s="9">
        <f t="shared" si="2"/>
        <v>900745</v>
      </c>
      <c r="I6" s="9">
        <f t="shared" si="2"/>
        <v>1206746</v>
      </c>
      <c r="J6" s="9">
        <f t="shared" si="2"/>
        <v>1459517</v>
      </c>
      <c r="K6" s="10"/>
      <c r="L6" s="10"/>
      <c r="M6" s="10"/>
      <c r="N6" s="10"/>
      <c r="O6" s="10"/>
      <c r="P6" s="10"/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  <c r="L10" s="11" t="s">
        <v>7</v>
      </c>
      <c r="M10" s="12"/>
      <c r="N10" s="12"/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  <c r="L11" s="11" t="s">
        <v>9</v>
      </c>
      <c r="M11" s="12"/>
      <c r="N11" s="12"/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  <c r="L12" s="11" t="s">
        <v>11</v>
      </c>
      <c r="M12" s="12"/>
      <c r="N12" s="12"/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</row>
    <row r="15" ht="15.75" customHeight="1">
      <c r="A15" s="7"/>
    </row>
    <row r="16" ht="15.75" customHeight="1">
      <c r="A16" s="8" t="s">
        <v>14</v>
      </c>
      <c r="B16" s="13">
        <f t="shared" ref="B16:J16" si="3">SUM(B9:B14)</f>
        <v>494932</v>
      </c>
      <c r="C16" s="13">
        <f t="shared" si="3"/>
        <v>577269</v>
      </c>
      <c r="D16" s="13">
        <f t="shared" si="3"/>
        <v>677460</v>
      </c>
      <c r="E16" s="13">
        <f t="shared" si="3"/>
        <v>750653</v>
      </c>
      <c r="F16" s="13">
        <f t="shared" si="3"/>
        <v>683474</v>
      </c>
      <c r="G16" s="13">
        <f t="shared" si="3"/>
        <v>650204</v>
      </c>
      <c r="H16" s="13">
        <f t="shared" si="3"/>
        <v>826236</v>
      </c>
      <c r="I16" s="13">
        <f t="shared" si="3"/>
        <v>1053155</v>
      </c>
      <c r="J16" s="13">
        <f t="shared" si="3"/>
        <v>1233319</v>
      </c>
      <c r="K16" s="14"/>
      <c r="L16" s="14"/>
      <c r="M16" s="14"/>
      <c r="N16" s="14"/>
      <c r="O16" s="14"/>
      <c r="P16" s="14"/>
    </row>
    <row r="17" ht="15.75" customHeight="1">
      <c r="A17" s="7"/>
    </row>
    <row r="18" ht="15.75" customHeight="1">
      <c r="A18" s="4" t="s">
        <v>15</v>
      </c>
      <c r="B18" s="6">
        <f t="shared" ref="B18:J18" si="4">B6-B16</f>
        <v>91188</v>
      </c>
      <c r="C18" s="6">
        <f t="shared" si="4"/>
        <v>126477</v>
      </c>
      <c r="D18" s="6">
        <f t="shared" si="4"/>
        <v>141092</v>
      </c>
      <c r="E18" s="6">
        <f t="shared" si="4"/>
        <v>135648</v>
      </c>
      <c r="F18" s="6">
        <f t="shared" si="4"/>
        <v>106470</v>
      </c>
      <c r="G18" s="6">
        <f t="shared" si="4"/>
        <v>82879</v>
      </c>
      <c r="H18" s="6">
        <f t="shared" si="4"/>
        <v>74509</v>
      </c>
      <c r="I18" s="6">
        <f t="shared" si="4"/>
        <v>153591</v>
      </c>
      <c r="J18" s="6">
        <f t="shared" si="4"/>
        <v>226198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</row>
    <row r="21" ht="15.75" customHeight="1">
      <c r="A21" s="7"/>
    </row>
    <row r="22" ht="15.75" customHeight="1">
      <c r="A22" s="7" t="s">
        <v>18</v>
      </c>
      <c r="B22" s="6">
        <f t="shared" ref="B22:J22" si="5">B18-B20</f>
        <v>62518</v>
      </c>
      <c r="C22" s="6">
        <f t="shared" si="5"/>
        <v>100438</v>
      </c>
      <c r="D22" s="6">
        <f t="shared" si="5"/>
        <v>113494</v>
      </c>
      <c r="E22" s="6">
        <f t="shared" si="5"/>
        <v>105440</v>
      </c>
      <c r="F22" s="6">
        <f t="shared" si="5"/>
        <v>71186</v>
      </c>
      <c r="G22" s="6">
        <f t="shared" si="5"/>
        <v>52538</v>
      </c>
      <c r="H22" s="6">
        <f t="shared" si="5"/>
        <v>46619</v>
      </c>
      <c r="I22" s="6">
        <f t="shared" si="5"/>
        <v>105131</v>
      </c>
      <c r="J22" s="6">
        <f t="shared" si="5"/>
        <v>173640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</row>
    <row r="25" ht="15.75" customHeight="1">
      <c r="A25" s="7"/>
    </row>
    <row r="26" ht="15.75" customHeight="1">
      <c r="A26" s="7" t="s">
        <v>23</v>
      </c>
      <c r="B26" s="6">
        <f t="shared" ref="B26:J26" si="6">B22-B24</f>
        <v>61581</v>
      </c>
      <c r="C26" s="6">
        <f t="shared" si="6"/>
        <v>99544</v>
      </c>
      <c r="D26" s="6">
        <f t="shared" si="6"/>
        <v>110036</v>
      </c>
      <c r="E26" s="6">
        <f t="shared" si="6"/>
        <v>104681</v>
      </c>
      <c r="F26" s="6">
        <f t="shared" si="6"/>
        <v>69844</v>
      </c>
      <c r="G26" s="6">
        <f t="shared" si="6"/>
        <v>51520</v>
      </c>
      <c r="H26" s="6">
        <f t="shared" si="6"/>
        <v>45353</v>
      </c>
      <c r="I26" s="6">
        <f t="shared" si="6"/>
        <v>102608</v>
      </c>
      <c r="J26" s="6">
        <f t="shared" si="6"/>
        <v>171704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</row>
    <row r="28" ht="15.75" customHeight="1">
      <c r="A28" s="7" t="s">
        <v>25</v>
      </c>
      <c r="B28" s="6">
        <f t="shared" ref="B28:J28" si="7">SUM(B26:B27)</f>
        <v>66296</v>
      </c>
      <c r="C28" s="6">
        <f t="shared" si="7"/>
        <v>101272</v>
      </c>
      <c r="D28" s="6">
        <f t="shared" si="7"/>
        <v>111669</v>
      </c>
      <c r="E28" s="6">
        <f t="shared" si="7"/>
        <v>102651</v>
      </c>
      <c r="F28" s="6">
        <f t="shared" si="7"/>
        <v>65427</v>
      </c>
      <c r="G28" s="6">
        <f t="shared" si="7"/>
        <v>56656</v>
      </c>
      <c r="H28" s="6">
        <f t="shared" si="7"/>
        <v>48482</v>
      </c>
      <c r="I28" s="6">
        <f t="shared" si="7"/>
        <v>103194</v>
      </c>
      <c r="J28" s="6">
        <f t="shared" si="7"/>
        <v>174373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</row>
    <row r="31" ht="15.75" customHeight="1">
      <c r="A31" s="7"/>
    </row>
    <row r="32" ht="15.75" customHeight="1">
      <c r="A32" s="7" t="s">
        <v>27</v>
      </c>
      <c r="B32" s="6">
        <f t="shared" ref="B32:J32" si="8">B28-B30</f>
        <v>46309</v>
      </c>
      <c r="C32" s="6">
        <f t="shared" si="8"/>
        <v>75110</v>
      </c>
      <c r="D32" s="6">
        <f t="shared" si="8"/>
        <v>78807</v>
      </c>
      <c r="E32" s="6">
        <f t="shared" si="8"/>
        <v>72919</v>
      </c>
      <c r="F32" s="6">
        <f t="shared" si="8"/>
        <v>51175</v>
      </c>
      <c r="G32" s="6">
        <f t="shared" si="8"/>
        <v>47337</v>
      </c>
      <c r="H32" s="6">
        <f t="shared" si="8"/>
        <v>40305</v>
      </c>
      <c r="I32" s="6">
        <f t="shared" si="8"/>
        <v>81449</v>
      </c>
      <c r="J32" s="6">
        <f t="shared" si="8"/>
        <v>135010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9">B32+B33</f>
        <v>46988</v>
      </c>
      <c r="C36" s="9">
        <f t="shared" si="9"/>
        <v>77326</v>
      </c>
      <c r="D36" s="9">
        <f t="shared" si="9"/>
        <v>82118</v>
      </c>
      <c r="E36" s="9">
        <f>E32+F33</f>
        <v>74103</v>
      </c>
      <c r="F36" s="9">
        <f t="shared" ref="F36:J36" si="10">F32+F33</f>
        <v>52359</v>
      </c>
      <c r="G36" s="9">
        <f t="shared" si="10"/>
        <v>49027</v>
      </c>
      <c r="H36" s="9">
        <f t="shared" si="10"/>
        <v>41924</v>
      </c>
      <c r="I36" s="9">
        <f t="shared" si="10"/>
        <v>83223</v>
      </c>
      <c r="J36" s="9">
        <f t="shared" si="10"/>
        <v>137551</v>
      </c>
      <c r="K36" s="10"/>
      <c r="L36" s="10"/>
      <c r="M36" s="10"/>
      <c r="N36" s="10"/>
      <c r="O36" s="10"/>
      <c r="P36" s="10"/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</row>
    <row r="42" ht="15.75" customHeight="1">
      <c r="A42" s="1" t="s">
        <v>32</v>
      </c>
    </row>
    <row r="43" ht="15.75" customHeight="1">
      <c r="A43" s="1" t="s">
        <v>33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</row>
    <row r="47" ht="15.75" customHeight="1">
      <c r="A47" s="7" t="s">
        <v>36</v>
      </c>
    </row>
    <row r="48" ht="15.75" customHeight="1">
      <c r="A48" s="7"/>
    </row>
    <row r="49" ht="15.75" customHeight="1">
      <c r="A49" s="7" t="s">
        <v>37</v>
      </c>
    </row>
    <row r="50" ht="15.75" customHeight="1">
      <c r="A50" s="1" t="s">
        <v>38</v>
      </c>
    </row>
    <row r="51" ht="15.75" customHeight="1">
      <c r="A51" s="1" t="s">
        <v>39</v>
      </c>
    </row>
    <row r="52" ht="15.75" customHeight="1">
      <c r="A52" s="1" t="s">
        <v>40</v>
      </c>
    </row>
    <row r="53" ht="15.75" customHeight="1">
      <c r="A53" s="1" t="s">
        <v>41</v>
      </c>
    </row>
    <row r="54" ht="15.75" customHeight="1">
      <c r="A54" s="7"/>
    </row>
    <row r="55" ht="15.75" customHeight="1">
      <c r="A55" s="1" t="s">
        <v>42</v>
      </c>
    </row>
    <row r="56" ht="15.75" customHeight="1">
      <c r="A56" s="1" t="s">
        <v>43</v>
      </c>
    </row>
    <row r="57" ht="15.75" customHeight="1">
      <c r="A57" s="1" t="s">
        <v>44</v>
      </c>
    </row>
    <row r="58" ht="15.75" customHeight="1">
      <c r="A58" s="1" t="s">
        <v>45</v>
      </c>
    </row>
    <row r="59" ht="15.75" customHeight="1">
      <c r="A59" s="1" t="s">
        <v>46</v>
      </c>
    </row>
    <row r="60" ht="15.75" customHeight="1">
      <c r="A60" s="1" t="s">
        <v>47</v>
      </c>
    </row>
    <row r="61" ht="15.75" customHeight="1">
      <c r="A61" s="1" t="s">
        <v>48</v>
      </c>
    </row>
    <row r="62" ht="15.75" customHeight="1">
      <c r="A62" s="8" t="s">
        <v>49</v>
      </c>
    </row>
    <row r="63" ht="15.75" customHeight="1">
      <c r="A63" s="7"/>
    </row>
    <row r="64" ht="15.75" customHeight="1">
      <c r="A64" s="7"/>
    </row>
    <row r="65" ht="15.75" customHeight="1">
      <c r="A65" s="4" t="s">
        <v>50</v>
      </c>
    </row>
    <row r="66" ht="15.75" customHeight="1">
      <c r="A66" s="7"/>
    </row>
    <row r="67" ht="15.75" customHeight="1">
      <c r="A67" s="1" t="s">
        <v>51</v>
      </c>
    </row>
    <row r="68" ht="15.75" customHeight="1">
      <c r="A68" s="16" t="s">
        <v>52</v>
      </c>
    </row>
    <row r="69" ht="15.75" customHeight="1">
      <c r="A69" s="16" t="s">
        <v>53</v>
      </c>
    </row>
    <row r="70" ht="15.75" customHeight="1">
      <c r="A70" s="16" t="s">
        <v>54</v>
      </c>
    </row>
    <row r="71" ht="15.75" customHeight="1">
      <c r="A71" s="16" t="s">
        <v>55</v>
      </c>
    </row>
    <row r="72" ht="15.75" customHeight="1">
      <c r="A72" s="1"/>
    </row>
    <row r="73" ht="15.75" customHeight="1">
      <c r="A73" s="1" t="s">
        <v>56</v>
      </c>
    </row>
    <row r="74" ht="15.75" customHeight="1">
      <c r="A74" s="1" t="s">
        <v>57</v>
      </c>
    </row>
    <row r="75" ht="15.75" customHeight="1">
      <c r="A75" s="1" t="s">
        <v>58</v>
      </c>
    </row>
    <row r="76" ht="15.75" customHeight="1">
      <c r="A76" s="1" t="s">
        <v>59</v>
      </c>
    </row>
    <row r="77" ht="15.75" customHeight="1">
      <c r="A77" s="1"/>
    </row>
    <row r="78" ht="15.75" customHeight="1">
      <c r="A78" s="1" t="s">
        <v>60</v>
      </c>
    </row>
    <row r="79" ht="15.75" customHeight="1">
      <c r="A79" s="1"/>
    </row>
    <row r="80" ht="15.75" customHeight="1">
      <c r="A80" s="16" t="s">
        <v>61</v>
      </c>
    </row>
    <row r="81" ht="15.75" customHeight="1">
      <c r="A81" s="16" t="s">
        <v>62</v>
      </c>
    </row>
    <row r="82" ht="15.75" customHeight="1">
      <c r="A82" s="16" t="s">
        <v>63</v>
      </c>
    </row>
    <row r="83" ht="15.75" customHeight="1">
      <c r="A83" s="16" t="s">
        <v>64</v>
      </c>
    </row>
    <row r="84" ht="15.75" customHeight="1">
      <c r="A84" s="16" t="s">
        <v>65</v>
      </c>
    </row>
    <row r="85" ht="15.75" customHeight="1">
      <c r="A85" s="16" t="s">
        <v>66</v>
      </c>
    </row>
    <row r="86" ht="15.75" customHeight="1">
      <c r="A86" s="16" t="s">
        <v>67</v>
      </c>
    </row>
    <row r="87" ht="15.75" customHeight="1">
      <c r="A87" s="1" t="s">
        <v>57</v>
      </c>
    </row>
    <row r="88" ht="15.75" customHeight="1">
      <c r="A88" s="8" t="s">
        <v>49</v>
      </c>
    </row>
    <row r="89" ht="15.75" customHeight="1">
      <c r="A89" s="1"/>
    </row>
    <row r="90" ht="15.75" customHeight="1">
      <c r="A90" s="5" t="s">
        <v>68</v>
      </c>
    </row>
    <row r="91" ht="15.75" customHeight="1">
      <c r="A91" s="5" t="s">
        <v>69</v>
      </c>
    </row>
    <row r="92" ht="15.75" customHeight="1">
      <c r="A92" s="5"/>
    </row>
    <row r="93" ht="15.75" customHeight="1">
      <c r="A93" s="5" t="s">
        <v>70</v>
      </c>
    </row>
    <row r="94" ht="15.75" customHeight="1">
      <c r="A94" s="5" t="s">
        <v>71</v>
      </c>
    </row>
    <row r="95" ht="15.75" customHeight="1">
      <c r="A95" s="5" t="s">
        <v>49</v>
      </c>
    </row>
    <row r="96" ht="15.75" customHeight="1">
      <c r="A96" s="5"/>
    </row>
    <row r="97" ht="15.75" customHeight="1">
      <c r="A97" s="5" t="s">
        <v>72</v>
      </c>
    </row>
    <row r="98" ht="15.75" customHeight="1">
      <c r="A98" s="5"/>
    </row>
    <row r="99" ht="15.75" customHeight="1">
      <c r="A99" s="17" t="s">
        <v>73</v>
      </c>
    </row>
    <row r="100" ht="15.75" customHeight="1">
      <c r="A100" s="5" t="s">
        <v>74</v>
      </c>
    </row>
    <row r="101" ht="15.75" customHeight="1">
      <c r="A101" s="5" t="s">
        <v>75</v>
      </c>
    </row>
    <row r="102" ht="15.75" customHeight="1">
      <c r="A102" s="5"/>
    </row>
    <row r="103" ht="15.75" customHeight="1">
      <c r="A103" s="17" t="s">
        <v>76</v>
      </c>
    </row>
    <row r="104" ht="15.75" customHeight="1">
      <c r="A104" s="5" t="s">
        <v>77</v>
      </c>
    </row>
    <row r="105" ht="15.75" customHeight="1">
      <c r="A105" s="5" t="s">
        <v>71</v>
      </c>
    </row>
    <row r="106" ht="15.75" customHeight="1">
      <c r="A106" s="5" t="s">
        <v>49</v>
      </c>
    </row>
    <row r="107" ht="15.75" customHeight="1">
      <c r="A107" s="5" t="s">
        <v>78</v>
      </c>
    </row>
    <row r="108" ht="15.75" customHeight="1">
      <c r="A108" s="5" t="s">
        <v>79</v>
      </c>
    </row>
    <row r="109" ht="15.75" customHeight="1">
      <c r="A109" s="5"/>
    </row>
    <row r="110" ht="15.75" customHeight="1">
      <c r="A110" s="17" t="s">
        <v>80</v>
      </c>
    </row>
    <row r="111" ht="15.75" customHeight="1">
      <c r="A111" s="5" t="s">
        <v>70</v>
      </c>
    </row>
    <row r="112" ht="15.75" customHeight="1">
      <c r="A112" s="5" t="s">
        <v>71</v>
      </c>
    </row>
    <row r="113" ht="15.75" customHeight="1">
      <c r="A113" s="5" t="s">
        <v>81</v>
      </c>
    </row>
    <row r="114" ht="15.75" customHeight="1">
      <c r="A114" s="5"/>
    </row>
    <row r="115" ht="15.75" customHeight="1">
      <c r="A115" s="5"/>
    </row>
    <row r="116" ht="15.75" customHeight="1">
      <c r="A116" s="5" t="s">
        <v>82</v>
      </c>
    </row>
    <row r="117" ht="15.75" customHeight="1">
      <c r="A117" s="5" t="s">
        <v>83</v>
      </c>
    </row>
    <row r="118" ht="15.75" customHeight="1">
      <c r="A118" s="5"/>
    </row>
    <row r="119" ht="15.75" customHeight="1">
      <c r="A119" s="17" t="s">
        <v>84</v>
      </c>
    </row>
    <row r="120" ht="15.75" customHeight="1">
      <c r="A120" s="5"/>
    </row>
    <row r="121" ht="15.75" customHeight="1">
      <c r="A121" s="1" t="s">
        <v>5</v>
      </c>
    </row>
    <row r="122" ht="15.75" customHeight="1">
      <c r="A122" s="1" t="s">
        <v>6</v>
      </c>
    </row>
    <row r="123" ht="15.75" customHeight="1">
      <c r="A123" s="1" t="s">
        <v>8</v>
      </c>
    </row>
    <row r="124" ht="15.75" customHeight="1">
      <c r="A124" s="1" t="s">
        <v>10</v>
      </c>
    </row>
    <row r="125" ht="15.75" customHeight="1">
      <c r="A125" s="1" t="s">
        <v>12</v>
      </c>
    </row>
    <row r="126" ht="15.75" customHeight="1">
      <c r="A126" s="1" t="s">
        <v>85</v>
      </c>
    </row>
    <row r="127" ht="15.75" customHeight="1">
      <c r="A127" s="5"/>
    </row>
    <row r="128" ht="15.75" customHeight="1">
      <c r="A128" s="5"/>
    </row>
    <row r="129" ht="15.75" customHeight="1">
      <c r="A129" s="18" t="s">
        <v>86</v>
      </c>
    </row>
    <row r="130" ht="15.75" customHeight="1">
      <c r="A130" s="5"/>
    </row>
    <row r="131" ht="15.75" customHeight="1">
      <c r="A131" s="1" t="s">
        <v>5</v>
      </c>
    </row>
    <row r="132" ht="15.75" customHeight="1">
      <c r="A132" s="1" t="s">
        <v>6</v>
      </c>
    </row>
    <row r="133" ht="15.75" customHeight="1">
      <c r="A133" s="1" t="s">
        <v>8</v>
      </c>
    </row>
    <row r="134" ht="15.75" customHeight="1">
      <c r="A134" s="1" t="s">
        <v>10</v>
      </c>
    </row>
    <row r="135" ht="15.75" customHeight="1">
      <c r="A135" s="1" t="s">
        <v>12</v>
      </c>
    </row>
    <row r="136" ht="15.75" customHeight="1">
      <c r="A136" s="1" t="s">
        <v>85</v>
      </c>
    </row>
    <row r="137" ht="15.75" customHeight="1">
      <c r="A137" s="5"/>
    </row>
    <row r="138" ht="15.75" customHeight="1">
      <c r="A138" s="1" t="s">
        <v>83</v>
      </c>
    </row>
    <row r="139" ht="15.75" customHeight="1">
      <c r="A139" s="1" t="s">
        <v>5</v>
      </c>
    </row>
    <row r="140" ht="15.75" customHeight="1">
      <c r="A140" s="1" t="s">
        <v>6</v>
      </c>
    </row>
    <row r="141" ht="15.75" customHeight="1">
      <c r="A141" s="1" t="s">
        <v>8</v>
      </c>
    </row>
    <row r="142" ht="15.75" customHeight="1">
      <c r="A142" s="1" t="s">
        <v>10</v>
      </c>
    </row>
    <row r="143" ht="15.75" customHeight="1">
      <c r="A143" s="1" t="s">
        <v>12</v>
      </c>
    </row>
    <row r="144" ht="15.75" customHeight="1">
      <c r="A144" s="1" t="s">
        <v>85</v>
      </c>
    </row>
    <row r="145" ht="15.75" customHeight="1">
      <c r="A145" s="5"/>
    </row>
    <row r="146" ht="15.75" customHeight="1">
      <c r="A146" s="5"/>
    </row>
    <row r="147" ht="15.75" customHeight="1">
      <c r="A147" s="5"/>
    </row>
    <row r="148" ht="15.75" customHeight="1">
      <c r="A148" s="18" t="s">
        <v>87</v>
      </c>
    </row>
    <row r="149" ht="15.75" customHeight="1">
      <c r="A149" s="5"/>
    </row>
    <row r="150" ht="15.75" customHeight="1">
      <c r="A150" s="5" t="s">
        <v>60</v>
      </c>
    </row>
    <row r="151" ht="15.75" customHeight="1">
      <c r="A151" s="16" t="s">
        <v>61</v>
      </c>
    </row>
    <row r="152" ht="15.75" customHeight="1">
      <c r="A152" s="16" t="s">
        <v>62</v>
      </c>
    </row>
    <row r="153" ht="15.75" customHeight="1">
      <c r="A153" s="16" t="s">
        <v>64</v>
      </c>
    </row>
    <row r="154" ht="15.75" customHeight="1">
      <c r="A154" s="16" t="s">
        <v>65</v>
      </c>
    </row>
    <row r="155" ht="15.75" customHeight="1">
      <c r="A155" s="16" t="s">
        <v>66</v>
      </c>
    </row>
    <row r="156" ht="15.75" customHeight="1">
      <c r="A156" s="1" t="s">
        <v>57</v>
      </c>
    </row>
    <row r="157" ht="15.75" customHeight="1">
      <c r="A157" s="5"/>
    </row>
    <row r="158" ht="15.75" customHeight="1">
      <c r="A158" s="5" t="s">
        <v>42</v>
      </c>
    </row>
    <row r="159" ht="15.75" customHeight="1">
      <c r="A159" s="1" t="s">
        <v>43</v>
      </c>
    </row>
    <row r="160" ht="15.75" customHeight="1">
      <c r="A160" s="1" t="s">
        <v>44</v>
      </c>
    </row>
    <row r="161" ht="15.75" customHeight="1">
      <c r="A161" s="1" t="s">
        <v>45</v>
      </c>
    </row>
    <row r="162" ht="15.75" customHeight="1">
      <c r="A162" s="1" t="s">
        <v>46</v>
      </c>
    </row>
    <row r="163" ht="15.75" customHeight="1">
      <c r="A163" s="1" t="s">
        <v>47</v>
      </c>
    </row>
    <row r="164" ht="15.75" customHeight="1">
      <c r="A164" s="1" t="s">
        <v>48</v>
      </c>
    </row>
    <row r="165" ht="15.75" customHeight="1">
      <c r="A165" s="5"/>
    </row>
    <row r="166" ht="15.75" customHeight="1">
      <c r="A166" s="1" t="s">
        <v>88</v>
      </c>
    </row>
    <row r="167" ht="15.75" customHeight="1">
      <c r="A167" s="5"/>
    </row>
    <row r="168" ht="15.75" customHeight="1">
      <c r="A168" s="18" t="s">
        <v>89</v>
      </c>
    </row>
    <row r="169" ht="15.75" customHeight="1">
      <c r="A169" s="5" t="s">
        <v>60</v>
      </c>
    </row>
    <row r="170" ht="15.75" customHeight="1">
      <c r="A170" s="16" t="s">
        <v>61</v>
      </c>
    </row>
    <row r="171" ht="15.75" customHeight="1">
      <c r="A171" s="16" t="s">
        <v>62</v>
      </c>
    </row>
    <row r="172" ht="15.75" customHeight="1">
      <c r="A172" s="16" t="s">
        <v>64</v>
      </c>
    </row>
    <row r="173" ht="15.75" customHeight="1">
      <c r="A173" s="16" t="s">
        <v>65</v>
      </c>
    </row>
    <row r="174" ht="15.75" customHeight="1">
      <c r="A174" s="16" t="s">
        <v>66</v>
      </c>
    </row>
    <row r="175" ht="15.75" customHeight="1">
      <c r="A175" s="1" t="s">
        <v>57</v>
      </c>
    </row>
    <row r="176" ht="15.75" customHeight="1">
      <c r="A176" s="5"/>
    </row>
    <row r="177" ht="15.75" customHeight="1">
      <c r="A177" s="5" t="s">
        <v>42</v>
      </c>
    </row>
    <row r="178" ht="15.75" customHeight="1">
      <c r="A178" s="1" t="s">
        <v>43</v>
      </c>
    </row>
    <row r="179" ht="15.75" customHeight="1">
      <c r="A179" s="1" t="s">
        <v>44</v>
      </c>
    </row>
    <row r="180" ht="15.75" customHeight="1">
      <c r="A180" s="1" t="s">
        <v>45</v>
      </c>
    </row>
    <row r="181" ht="15.75" customHeight="1">
      <c r="A181" s="1" t="s">
        <v>46</v>
      </c>
    </row>
    <row r="182" ht="15.75" customHeight="1">
      <c r="A182" s="1" t="s">
        <v>47</v>
      </c>
    </row>
    <row r="183" ht="15.75" customHeight="1">
      <c r="A183" s="1" t="s">
        <v>48</v>
      </c>
    </row>
    <row r="184" ht="15.75" customHeight="1">
      <c r="A184" s="5"/>
    </row>
    <row r="185" ht="15.75" customHeight="1">
      <c r="A185" s="1" t="s">
        <v>90</v>
      </c>
    </row>
    <row r="186" ht="15.75" customHeight="1">
      <c r="A186" s="1" t="s">
        <v>91</v>
      </c>
    </row>
    <row r="187" ht="15.75" customHeight="1">
      <c r="A187" s="5"/>
    </row>
    <row r="188" ht="15.75" customHeight="1">
      <c r="A188" s="5"/>
    </row>
    <row r="189" ht="15.75" customHeight="1">
      <c r="A189" s="5"/>
    </row>
    <row r="190" ht="15.75" customHeight="1">
      <c r="A190" s="18" t="s">
        <v>92</v>
      </c>
    </row>
    <row r="191" ht="15.75" customHeight="1">
      <c r="A191" s="5" t="s">
        <v>93</v>
      </c>
    </row>
    <row r="192" ht="15.75" customHeight="1">
      <c r="A192" s="5" t="s">
        <v>94</v>
      </c>
    </row>
    <row r="193" ht="15.75" customHeight="1">
      <c r="A193" s="5" t="s">
        <v>49</v>
      </c>
    </row>
    <row r="194" ht="15.75" customHeight="1">
      <c r="A194" s="5"/>
    </row>
    <row r="195" ht="15.75" customHeight="1">
      <c r="A195" s="5" t="s">
        <v>95</v>
      </c>
    </row>
    <row r="196" ht="15.75" customHeight="1">
      <c r="A196" s="5"/>
    </row>
    <row r="197" ht="15.75" customHeight="1">
      <c r="A197" s="5" t="s">
        <v>96</v>
      </c>
    </row>
    <row r="198" ht="15.75" customHeight="1">
      <c r="A198" s="5" t="s">
        <v>97</v>
      </c>
    </row>
    <row r="199" ht="15.75" customHeight="1">
      <c r="A199" s="5" t="s">
        <v>98</v>
      </c>
    </row>
    <row r="200" ht="15.75" customHeight="1">
      <c r="A200" s="5"/>
    </row>
    <row r="201" ht="15.75" customHeight="1">
      <c r="A201" s="5" t="s">
        <v>99</v>
      </c>
    </row>
    <row r="202" ht="15.75" customHeight="1">
      <c r="A202" s="5" t="s">
        <v>100</v>
      </c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2" width="14.0"/>
    <col customWidth="1" min="3" max="6" width="12.63"/>
  </cols>
  <sheetData>
    <row r="1" ht="15.75" customHeight="1">
      <c r="A1" s="1"/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  <c r="K3" s="19">
        <f t="shared" ref="K3:P3" si="2">(K95*K115)/10^6</f>
        <v>1745621.281</v>
      </c>
      <c r="L3" s="19">
        <f t="shared" si="2"/>
        <v>2039535.594</v>
      </c>
      <c r="M3" s="19">
        <f t="shared" si="2"/>
        <v>2383801.008</v>
      </c>
      <c r="N3" s="19">
        <f t="shared" si="2"/>
        <v>2787144.105</v>
      </c>
      <c r="O3" s="19">
        <f t="shared" si="2"/>
        <v>3259815.476</v>
      </c>
      <c r="P3" s="19">
        <f t="shared" si="2"/>
        <v>3813857.181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  <c r="K4" s="20">
        <v>20000.0</v>
      </c>
      <c r="L4" s="21">
        <f t="shared" ref="L4:P4" si="3">K4</f>
        <v>20000</v>
      </c>
      <c r="M4" s="21">
        <f t="shared" si="3"/>
        <v>20000</v>
      </c>
      <c r="N4" s="21">
        <f t="shared" si="3"/>
        <v>20000</v>
      </c>
      <c r="O4" s="21">
        <f t="shared" si="3"/>
        <v>20000</v>
      </c>
      <c r="P4" s="21">
        <f t="shared" si="3"/>
        <v>20000</v>
      </c>
    </row>
    <row r="5" ht="15.75" customHeight="1">
      <c r="A5" s="7"/>
    </row>
    <row r="6" ht="15.75" customHeight="1">
      <c r="A6" s="8" t="s">
        <v>3</v>
      </c>
      <c r="B6" s="9">
        <f t="shared" ref="B6:P6" si="4">SUM(B3:B4)</f>
        <v>586120</v>
      </c>
      <c r="C6" s="9">
        <f t="shared" si="4"/>
        <v>703746</v>
      </c>
      <c r="D6" s="9">
        <f t="shared" si="4"/>
        <v>818552</v>
      </c>
      <c r="E6" s="9">
        <f t="shared" si="4"/>
        <v>886301</v>
      </c>
      <c r="F6" s="9">
        <f t="shared" si="4"/>
        <v>789944</v>
      </c>
      <c r="G6" s="9">
        <f t="shared" si="4"/>
        <v>733083</v>
      </c>
      <c r="H6" s="9">
        <f t="shared" si="4"/>
        <v>900745</v>
      </c>
      <c r="I6" s="9">
        <f t="shared" si="4"/>
        <v>1206746</v>
      </c>
      <c r="J6" s="9">
        <f t="shared" si="4"/>
        <v>1459517</v>
      </c>
      <c r="K6" s="9">
        <f t="shared" si="4"/>
        <v>1765621.281</v>
      </c>
      <c r="L6" s="9">
        <f t="shared" si="4"/>
        <v>2059535.594</v>
      </c>
      <c r="M6" s="9">
        <f t="shared" si="4"/>
        <v>2403801.008</v>
      </c>
      <c r="N6" s="9">
        <f t="shared" si="4"/>
        <v>2807144.105</v>
      </c>
      <c r="O6" s="9">
        <f t="shared" si="4"/>
        <v>3279815.476</v>
      </c>
      <c r="P6" s="9">
        <f t="shared" si="4"/>
        <v>3833857.181</v>
      </c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  <c r="K9" s="22">
        <f t="shared" ref="K9:P9" si="5">K$3*K120</f>
        <v>1047372.768</v>
      </c>
      <c r="L9" s="22">
        <f t="shared" si="5"/>
        <v>1223721.356</v>
      </c>
      <c r="M9" s="22">
        <f t="shared" si="5"/>
        <v>1430280.605</v>
      </c>
      <c r="N9" s="22">
        <f t="shared" si="5"/>
        <v>1672286.463</v>
      </c>
      <c r="O9" s="22">
        <f t="shared" si="5"/>
        <v>1955889.286</v>
      </c>
      <c r="P9" s="22">
        <f t="shared" si="5"/>
        <v>2288314.309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  <c r="K10" s="22">
        <f t="shared" ref="K10:P10" si="6">K$3*K121</f>
        <v>139649.7024</v>
      </c>
      <c r="L10" s="22">
        <f t="shared" si="6"/>
        <v>163162.8475</v>
      </c>
      <c r="M10" s="22">
        <f t="shared" si="6"/>
        <v>190704.0806</v>
      </c>
      <c r="N10" s="22">
        <f t="shared" si="6"/>
        <v>222971.5284</v>
      </c>
      <c r="O10" s="22">
        <f t="shared" si="6"/>
        <v>260785.2381</v>
      </c>
      <c r="P10" s="22">
        <f t="shared" si="6"/>
        <v>305108.5745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  <c r="K11" s="22">
        <f t="shared" ref="K11:P11" si="7">K$3*K122</f>
        <v>-4658.822802</v>
      </c>
      <c r="L11" s="22">
        <f t="shared" si="7"/>
        <v>-5443.239628</v>
      </c>
      <c r="M11" s="22">
        <f t="shared" si="7"/>
        <v>-6362.036607</v>
      </c>
      <c r="N11" s="22">
        <f t="shared" si="7"/>
        <v>-7438.503788</v>
      </c>
      <c r="O11" s="22">
        <f t="shared" si="7"/>
        <v>-8699.998584</v>
      </c>
      <c r="P11" s="22">
        <f t="shared" si="7"/>
        <v>-10178.6596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  <c r="K12" s="22">
        <f t="shared" ref="K12:P12" si="8">K$3*K123</f>
        <v>69824.85122</v>
      </c>
      <c r="L12" s="22">
        <f t="shared" si="8"/>
        <v>81581.42375</v>
      </c>
      <c r="M12" s="22">
        <f t="shared" si="8"/>
        <v>95352.0403</v>
      </c>
      <c r="N12" s="22">
        <f t="shared" si="8"/>
        <v>111485.7642</v>
      </c>
      <c r="O12" s="22">
        <f t="shared" si="8"/>
        <v>130392.619</v>
      </c>
      <c r="P12" s="22">
        <f t="shared" si="8"/>
        <v>152554.2873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  <c r="K13" s="22">
        <f t="shared" ref="K13:P13" si="9">K$3*K124</f>
        <v>215960.9246</v>
      </c>
      <c r="L13" s="22">
        <f t="shared" si="9"/>
        <v>252322.7675</v>
      </c>
      <c r="M13" s="22">
        <f t="shared" si="9"/>
        <v>294913.8369</v>
      </c>
      <c r="N13" s="22">
        <f t="shared" si="9"/>
        <v>344813.7489</v>
      </c>
      <c r="O13" s="22">
        <f t="shared" si="9"/>
        <v>403290.6634</v>
      </c>
      <c r="P13" s="22">
        <f t="shared" si="9"/>
        <v>471834.3735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  <c r="K14" s="22">
        <f t="shared" ref="K14:P14" si="10">K$3*K125</f>
        <v>-3208.016652</v>
      </c>
      <c r="L14" s="22">
        <f t="shared" si="10"/>
        <v>-3748.157874</v>
      </c>
      <c r="M14" s="22">
        <f t="shared" si="10"/>
        <v>-4380.831864</v>
      </c>
      <c r="N14" s="22">
        <f t="shared" si="10"/>
        <v>-5122.075905</v>
      </c>
      <c r="O14" s="22">
        <f t="shared" si="10"/>
        <v>-5990.728027</v>
      </c>
      <c r="P14" s="22">
        <f t="shared" si="10"/>
        <v>-7008.918534</v>
      </c>
    </row>
    <row r="15" ht="15.75" customHeight="1">
      <c r="A15" s="7"/>
    </row>
    <row r="16" ht="15.75" customHeight="1">
      <c r="A16" s="8" t="s">
        <v>14</v>
      </c>
      <c r="B16" s="13">
        <f t="shared" ref="B16:P16" si="11">SUM(B9:B14)</f>
        <v>494932</v>
      </c>
      <c r="C16" s="13">
        <f t="shared" si="11"/>
        <v>577269</v>
      </c>
      <c r="D16" s="13">
        <f t="shared" si="11"/>
        <v>677460</v>
      </c>
      <c r="E16" s="13">
        <f t="shared" si="11"/>
        <v>750653</v>
      </c>
      <c r="F16" s="13">
        <f t="shared" si="11"/>
        <v>683474</v>
      </c>
      <c r="G16" s="13">
        <f t="shared" si="11"/>
        <v>650204</v>
      </c>
      <c r="H16" s="13">
        <f t="shared" si="11"/>
        <v>826236</v>
      </c>
      <c r="I16" s="13">
        <f t="shared" si="11"/>
        <v>1053155</v>
      </c>
      <c r="J16" s="13">
        <f t="shared" si="11"/>
        <v>1233319</v>
      </c>
      <c r="K16" s="13">
        <f t="shared" si="11"/>
        <v>1464941.407</v>
      </c>
      <c r="L16" s="13">
        <f t="shared" si="11"/>
        <v>1711596.997</v>
      </c>
      <c r="M16" s="13">
        <f t="shared" si="11"/>
        <v>2000507.694</v>
      </c>
      <c r="N16" s="13">
        <f t="shared" si="11"/>
        <v>2338996.925</v>
      </c>
      <c r="O16" s="13">
        <f t="shared" si="11"/>
        <v>2735667.079</v>
      </c>
      <c r="P16" s="13">
        <f t="shared" si="11"/>
        <v>3200623.966</v>
      </c>
    </row>
    <row r="17" ht="15.75" customHeight="1">
      <c r="A17" s="7"/>
    </row>
    <row r="18" ht="15.75" customHeight="1">
      <c r="A18" s="4" t="s">
        <v>15</v>
      </c>
      <c r="B18" s="6">
        <f t="shared" ref="B18:P18" si="12">B6-B16</f>
        <v>91188</v>
      </c>
      <c r="C18" s="6">
        <f t="shared" si="12"/>
        <v>126477</v>
      </c>
      <c r="D18" s="6">
        <f t="shared" si="12"/>
        <v>141092</v>
      </c>
      <c r="E18" s="6">
        <f t="shared" si="12"/>
        <v>135648</v>
      </c>
      <c r="F18" s="6">
        <f t="shared" si="12"/>
        <v>106470</v>
      </c>
      <c r="G18" s="6">
        <f t="shared" si="12"/>
        <v>82879</v>
      </c>
      <c r="H18" s="6">
        <f t="shared" si="12"/>
        <v>74509</v>
      </c>
      <c r="I18" s="6">
        <f t="shared" si="12"/>
        <v>153591</v>
      </c>
      <c r="J18" s="6">
        <f t="shared" si="12"/>
        <v>226198</v>
      </c>
      <c r="K18" s="23">
        <f t="shared" si="12"/>
        <v>300679.8734</v>
      </c>
      <c r="L18" s="23">
        <f t="shared" si="12"/>
        <v>347938.5962</v>
      </c>
      <c r="M18" s="23">
        <f t="shared" si="12"/>
        <v>403293.3137</v>
      </c>
      <c r="N18" s="23">
        <f t="shared" si="12"/>
        <v>468147.1802</v>
      </c>
      <c r="O18" s="23">
        <f t="shared" si="12"/>
        <v>544148.3965</v>
      </c>
      <c r="P18" s="23">
        <f t="shared" si="12"/>
        <v>633233.2155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  <c r="K20" s="24"/>
      <c r="L20" s="24"/>
      <c r="M20" s="24"/>
      <c r="N20" s="24"/>
      <c r="O20" s="24"/>
      <c r="P20" s="24"/>
    </row>
    <row r="21" ht="15.75" customHeight="1">
      <c r="A21" s="7"/>
    </row>
    <row r="22" ht="15.75" customHeight="1">
      <c r="A22" s="7" t="s">
        <v>18</v>
      </c>
      <c r="B22" s="6">
        <f t="shared" ref="B22:P22" si="13">B18-B20</f>
        <v>62518</v>
      </c>
      <c r="C22" s="6">
        <f t="shared" si="13"/>
        <v>100438</v>
      </c>
      <c r="D22" s="6">
        <f t="shared" si="13"/>
        <v>113494</v>
      </c>
      <c r="E22" s="6">
        <f t="shared" si="13"/>
        <v>105440</v>
      </c>
      <c r="F22" s="6">
        <f t="shared" si="13"/>
        <v>71186</v>
      </c>
      <c r="G22" s="6">
        <f t="shared" si="13"/>
        <v>52538</v>
      </c>
      <c r="H22" s="6">
        <f t="shared" si="13"/>
        <v>46619</v>
      </c>
      <c r="I22" s="6">
        <f t="shared" si="13"/>
        <v>105131</v>
      </c>
      <c r="J22" s="6">
        <f t="shared" si="13"/>
        <v>173640</v>
      </c>
      <c r="K22" s="23">
        <f t="shared" si="13"/>
        <v>300679.8734</v>
      </c>
      <c r="L22" s="23">
        <f t="shared" si="13"/>
        <v>347938.5962</v>
      </c>
      <c r="M22" s="23">
        <f t="shared" si="13"/>
        <v>403293.3137</v>
      </c>
      <c r="N22" s="23">
        <f t="shared" si="13"/>
        <v>468147.1802</v>
      </c>
      <c r="O22" s="23">
        <f t="shared" si="13"/>
        <v>544148.3965</v>
      </c>
      <c r="P22" s="23">
        <f t="shared" si="13"/>
        <v>633233.2155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  <c r="K24" s="20">
        <f t="shared" ref="K24:P24" si="14">J24</f>
        <v>1936</v>
      </c>
      <c r="L24" s="21">
        <f t="shared" si="14"/>
        <v>1936</v>
      </c>
      <c r="M24" s="21">
        <f t="shared" si="14"/>
        <v>1936</v>
      </c>
      <c r="N24" s="21">
        <f t="shared" si="14"/>
        <v>1936</v>
      </c>
      <c r="O24" s="21">
        <f t="shared" si="14"/>
        <v>1936</v>
      </c>
      <c r="P24" s="21">
        <f t="shared" si="14"/>
        <v>1936</v>
      </c>
    </row>
    <row r="25" ht="15.75" customHeight="1">
      <c r="A25" s="7"/>
    </row>
    <row r="26" ht="15.75" customHeight="1">
      <c r="A26" s="7" t="s">
        <v>23</v>
      </c>
      <c r="B26" s="6">
        <f t="shared" ref="B26:P26" si="15">B22-B24</f>
        <v>61581</v>
      </c>
      <c r="C26" s="6">
        <f t="shared" si="15"/>
        <v>99544</v>
      </c>
      <c r="D26" s="6">
        <f t="shared" si="15"/>
        <v>110036</v>
      </c>
      <c r="E26" s="6">
        <f t="shared" si="15"/>
        <v>104681</v>
      </c>
      <c r="F26" s="6">
        <f t="shared" si="15"/>
        <v>69844</v>
      </c>
      <c r="G26" s="6">
        <f t="shared" si="15"/>
        <v>51520</v>
      </c>
      <c r="H26" s="6">
        <f t="shared" si="15"/>
        <v>45353</v>
      </c>
      <c r="I26" s="6">
        <f t="shared" si="15"/>
        <v>102608</v>
      </c>
      <c r="J26" s="6">
        <f t="shared" si="15"/>
        <v>171704</v>
      </c>
      <c r="K26" s="6">
        <f t="shared" si="15"/>
        <v>298743.8734</v>
      </c>
      <c r="L26" s="6">
        <f t="shared" si="15"/>
        <v>346002.5962</v>
      </c>
      <c r="M26" s="6">
        <f t="shared" si="15"/>
        <v>401357.3137</v>
      </c>
      <c r="N26" s="6">
        <f t="shared" si="15"/>
        <v>466211.1802</v>
      </c>
      <c r="O26" s="6">
        <f t="shared" si="15"/>
        <v>542212.3965</v>
      </c>
      <c r="P26" s="6">
        <f t="shared" si="15"/>
        <v>631297.2155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  <c r="K27" s="20">
        <f t="shared" ref="K27:P27" si="16">J27</f>
        <v>2669</v>
      </c>
      <c r="L27" s="21">
        <f t="shared" si="16"/>
        <v>2669</v>
      </c>
      <c r="M27" s="21">
        <f t="shared" si="16"/>
        <v>2669</v>
      </c>
      <c r="N27" s="21">
        <f t="shared" si="16"/>
        <v>2669</v>
      </c>
      <c r="O27" s="21">
        <f t="shared" si="16"/>
        <v>2669</v>
      </c>
      <c r="P27" s="21">
        <f t="shared" si="16"/>
        <v>2669</v>
      </c>
    </row>
    <row r="28" ht="15.75" customHeight="1">
      <c r="A28" s="7" t="s">
        <v>25</v>
      </c>
      <c r="B28" s="6">
        <f t="shared" ref="B28:P28" si="17">SUM(B26:B27)</f>
        <v>66296</v>
      </c>
      <c r="C28" s="6">
        <f t="shared" si="17"/>
        <v>101272</v>
      </c>
      <c r="D28" s="6">
        <f t="shared" si="17"/>
        <v>111669</v>
      </c>
      <c r="E28" s="6">
        <f t="shared" si="17"/>
        <v>102651</v>
      </c>
      <c r="F28" s="6">
        <f t="shared" si="17"/>
        <v>65427</v>
      </c>
      <c r="G28" s="6">
        <f t="shared" si="17"/>
        <v>56656</v>
      </c>
      <c r="H28" s="6">
        <f t="shared" si="17"/>
        <v>48482</v>
      </c>
      <c r="I28" s="6">
        <f t="shared" si="17"/>
        <v>103194</v>
      </c>
      <c r="J28" s="6">
        <f t="shared" si="17"/>
        <v>174373</v>
      </c>
      <c r="K28" s="23">
        <f t="shared" si="17"/>
        <v>301412.8734</v>
      </c>
      <c r="L28" s="23">
        <f t="shared" si="17"/>
        <v>348671.5962</v>
      </c>
      <c r="M28" s="23">
        <f t="shared" si="17"/>
        <v>404026.3137</v>
      </c>
      <c r="N28" s="23">
        <f t="shared" si="17"/>
        <v>468880.1802</v>
      </c>
      <c r="O28" s="23">
        <f t="shared" si="17"/>
        <v>544881.3965</v>
      </c>
      <c r="P28" s="23">
        <f t="shared" si="17"/>
        <v>633966.2155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  <c r="K30" s="25">
        <f t="shared" ref="K30:P30" si="18">K28*K31</f>
        <v>90423.86202</v>
      </c>
      <c r="L30" s="25">
        <f t="shared" si="18"/>
        <v>104601.4789</v>
      </c>
      <c r="M30" s="25">
        <f t="shared" si="18"/>
        <v>121207.8941</v>
      </c>
      <c r="N30" s="25">
        <f t="shared" si="18"/>
        <v>140664.054</v>
      </c>
      <c r="O30" s="25">
        <f t="shared" si="18"/>
        <v>163464.4189</v>
      </c>
      <c r="P30" s="25">
        <f t="shared" si="18"/>
        <v>190189.8646</v>
      </c>
    </row>
    <row r="31" ht="15.75" customHeight="1">
      <c r="A31" s="7"/>
      <c r="K31" s="26">
        <v>0.3</v>
      </c>
      <c r="L31" s="26">
        <v>0.3</v>
      </c>
      <c r="M31" s="26">
        <v>0.3</v>
      </c>
      <c r="N31" s="26">
        <v>0.3</v>
      </c>
      <c r="O31" s="26">
        <v>0.3</v>
      </c>
      <c r="P31" s="26">
        <v>0.3</v>
      </c>
    </row>
    <row r="32" ht="15.75" customHeight="1">
      <c r="A32" s="7" t="s">
        <v>27</v>
      </c>
      <c r="B32" s="6">
        <f t="shared" ref="B32:P32" si="19">B28-B30</f>
        <v>46309</v>
      </c>
      <c r="C32" s="6">
        <f t="shared" si="19"/>
        <v>75110</v>
      </c>
      <c r="D32" s="6">
        <f t="shared" si="19"/>
        <v>78807</v>
      </c>
      <c r="E32" s="6">
        <f t="shared" si="19"/>
        <v>72919</v>
      </c>
      <c r="F32" s="6">
        <f t="shared" si="19"/>
        <v>51175</v>
      </c>
      <c r="G32" s="6">
        <f t="shared" si="19"/>
        <v>47337</v>
      </c>
      <c r="H32" s="6">
        <f t="shared" si="19"/>
        <v>40305</v>
      </c>
      <c r="I32" s="6">
        <f t="shared" si="19"/>
        <v>81449</v>
      </c>
      <c r="J32" s="6">
        <f t="shared" si="19"/>
        <v>135010</v>
      </c>
      <c r="K32" s="6">
        <f t="shared" si="19"/>
        <v>210989.0114</v>
      </c>
      <c r="L32" s="6">
        <f t="shared" si="19"/>
        <v>244070.1173</v>
      </c>
      <c r="M32" s="6">
        <f t="shared" si="19"/>
        <v>282818.4196</v>
      </c>
      <c r="N32" s="6">
        <f t="shared" si="19"/>
        <v>328216.1261</v>
      </c>
      <c r="O32" s="6">
        <f t="shared" si="19"/>
        <v>381416.9775</v>
      </c>
      <c r="P32" s="6">
        <f t="shared" si="19"/>
        <v>443776.3508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  <c r="K33" s="20">
        <f t="shared" ref="K33:P33" si="20">J33</f>
        <v>2541</v>
      </c>
      <c r="L33" s="21">
        <f t="shared" si="20"/>
        <v>2541</v>
      </c>
      <c r="M33" s="21">
        <f t="shared" si="20"/>
        <v>2541</v>
      </c>
      <c r="N33" s="21">
        <f t="shared" si="20"/>
        <v>2541</v>
      </c>
      <c r="O33" s="21">
        <f t="shared" si="20"/>
        <v>2541</v>
      </c>
      <c r="P33" s="21">
        <f t="shared" si="20"/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21">B32+B33</f>
        <v>46988</v>
      </c>
      <c r="C36" s="9">
        <f t="shared" si="21"/>
        <v>77326</v>
      </c>
      <c r="D36" s="9">
        <f t="shared" si="21"/>
        <v>82118</v>
      </c>
      <c r="E36" s="9">
        <f>E32+F33</f>
        <v>74103</v>
      </c>
      <c r="F36" s="9">
        <f t="shared" ref="F36:P36" si="22">F32+F33</f>
        <v>52359</v>
      </c>
      <c r="G36" s="9">
        <f t="shared" si="22"/>
        <v>49027</v>
      </c>
      <c r="H36" s="9">
        <f t="shared" si="22"/>
        <v>41924</v>
      </c>
      <c r="I36" s="9">
        <f t="shared" si="22"/>
        <v>83223</v>
      </c>
      <c r="J36" s="9">
        <f t="shared" si="22"/>
        <v>137551</v>
      </c>
      <c r="K36" s="9">
        <f t="shared" si="22"/>
        <v>213530.0114</v>
      </c>
      <c r="L36" s="9">
        <f t="shared" si="22"/>
        <v>246611.1173</v>
      </c>
      <c r="M36" s="9">
        <f t="shared" si="22"/>
        <v>285359.4196</v>
      </c>
      <c r="N36" s="9">
        <f t="shared" si="22"/>
        <v>330757.1261</v>
      </c>
      <c r="O36" s="9">
        <f t="shared" si="22"/>
        <v>383957.9775</v>
      </c>
      <c r="P36" s="9">
        <f t="shared" si="22"/>
        <v>446317.3508</v>
      </c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</row>
    <row r="42" ht="15.75" customHeight="1">
      <c r="A42" s="1" t="s">
        <v>32</v>
      </c>
    </row>
    <row r="43" ht="15.75" customHeight="1">
      <c r="A43" s="1" t="s">
        <v>33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</row>
    <row r="47" ht="15.75" customHeight="1">
      <c r="A47" s="7" t="s">
        <v>36</v>
      </c>
    </row>
    <row r="48" ht="15.75" customHeight="1">
      <c r="A48" s="7"/>
    </row>
    <row r="49" ht="15.75" customHeight="1">
      <c r="A49" s="7" t="s">
        <v>37</v>
      </c>
    </row>
    <row r="50" ht="15.75" customHeight="1">
      <c r="A50" s="1" t="s">
        <v>38</v>
      </c>
    </row>
    <row r="51" ht="15.75" customHeight="1">
      <c r="A51" s="1" t="s">
        <v>39</v>
      </c>
    </row>
    <row r="52" ht="15.75" customHeight="1">
      <c r="A52" s="1" t="s">
        <v>40</v>
      </c>
    </row>
    <row r="53" ht="15.75" customHeight="1">
      <c r="A53" s="1" t="s">
        <v>41</v>
      </c>
    </row>
    <row r="54" ht="15.75" customHeight="1">
      <c r="A54" s="7"/>
    </row>
    <row r="55" ht="15.75" customHeight="1">
      <c r="A55" s="1" t="s">
        <v>42</v>
      </c>
    </row>
    <row r="56" ht="15.75" customHeight="1">
      <c r="A56" s="1" t="s">
        <v>43</v>
      </c>
    </row>
    <row r="57" ht="15.75" customHeight="1">
      <c r="A57" s="1" t="s">
        <v>44</v>
      </c>
    </row>
    <row r="58" ht="15.75" customHeight="1">
      <c r="A58" s="1" t="s">
        <v>45</v>
      </c>
    </row>
    <row r="59" ht="15.75" customHeight="1">
      <c r="A59" s="1" t="s">
        <v>46</v>
      </c>
    </row>
    <row r="60" ht="15.75" customHeight="1">
      <c r="A60" s="1" t="s">
        <v>47</v>
      </c>
    </row>
    <row r="61" ht="15.75" customHeight="1">
      <c r="A61" s="1" t="s">
        <v>48</v>
      </c>
    </row>
    <row r="62" ht="15.75" customHeight="1">
      <c r="A62" s="8" t="s">
        <v>49</v>
      </c>
    </row>
    <row r="63" ht="15.75" customHeight="1">
      <c r="A63" s="7"/>
    </row>
    <row r="64" ht="15.75" customHeight="1">
      <c r="A64" s="7"/>
    </row>
    <row r="65" ht="15.75" customHeight="1">
      <c r="A65" s="4" t="s">
        <v>50</v>
      </c>
    </row>
    <row r="66" ht="15.75" customHeight="1">
      <c r="A66" s="7"/>
    </row>
    <row r="67" ht="15.75" customHeight="1">
      <c r="A67" s="18" t="s">
        <v>51</v>
      </c>
      <c r="B67" s="27">
        <f t="shared" ref="B67:J67" si="23">SUM(B68:B79)</f>
        <v>0</v>
      </c>
      <c r="C67" s="27">
        <f t="shared" si="23"/>
        <v>0</v>
      </c>
      <c r="D67" s="27">
        <f t="shared" si="23"/>
        <v>0</v>
      </c>
      <c r="E67" s="27">
        <f t="shared" si="23"/>
        <v>0</v>
      </c>
      <c r="F67" s="27">
        <f t="shared" si="23"/>
        <v>0</v>
      </c>
      <c r="G67" s="27">
        <f t="shared" si="23"/>
        <v>0</v>
      </c>
      <c r="H67" s="27">
        <f t="shared" si="23"/>
        <v>0</v>
      </c>
      <c r="I67" s="27">
        <f t="shared" si="23"/>
        <v>847162</v>
      </c>
      <c r="J67" s="27">
        <f t="shared" si="23"/>
        <v>927170</v>
      </c>
    </row>
    <row r="68" ht="15.75" customHeight="1">
      <c r="A68" s="28" t="s">
        <v>101</v>
      </c>
      <c r="B68" s="22"/>
      <c r="C68" s="19"/>
      <c r="D68" s="19"/>
      <c r="E68" s="19"/>
      <c r="F68" s="19"/>
      <c r="G68" s="19"/>
      <c r="H68" s="19"/>
      <c r="I68" s="22">
        <v>268028.0</v>
      </c>
      <c r="J68" s="22">
        <v>267982.0</v>
      </c>
    </row>
    <row r="69" ht="15.75" customHeight="1">
      <c r="A69" s="16" t="s">
        <v>53</v>
      </c>
      <c r="B69" s="19"/>
      <c r="C69" s="19"/>
      <c r="D69" s="19"/>
      <c r="E69" s="19"/>
      <c r="F69" s="19"/>
      <c r="G69" s="19"/>
      <c r="H69" s="19"/>
      <c r="I69" s="22">
        <v>5479.0</v>
      </c>
      <c r="J69" s="22">
        <v>4537.0</v>
      </c>
    </row>
    <row r="70" ht="15.75" customHeight="1">
      <c r="A70" s="16" t="s">
        <v>54</v>
      </c>
      <c r="B70" s="19"/>
      <c r="C70" s="19"/>
      <c r="D70" s="19"/>
      <c r="E70" s="19"/>
      <c r="F70" s="19"/>
      <c r="G70" s="19"/>
      <c r="H70" s="19"/>
      <c r="I70" s="22">
        <v>40541.0</v>
      </c>
      <c r="J70" s="22">
        <v>75043.0</v>
      </c>
    </row>
    <row r="71" ht="15.75" customHeight="1">
      <c r="A71" s="16" t="s">
        <v>55</v>
      </c>
      <c r="B71" s="19"/>
      <c r="C71" s="19"/>
      <c r="D71" s="19"/>
      <c r="E71" s="19"/>
      <c r="F71" s="19"/>
      <c r="G71" s="19"/>
      <c r="H71" s="19"/>
      <c r="I71" s="15">
        <v>889.0</v>
      </c>
      <c r="J71" s="22">
        <v>2305.0</v>
      </c>
    </row>
    <row r="72" ht="15.75" customHeight="1">
      <c r="A72" s="29" t="s">
        <v>102</v>
      </c>
      <c r="B72" s="19"/>
      <c r="C72" s="19"/>
      <c r="D72" s="19"/>
      <c r="E72" s="19"/>
      <c r="F72" s="19"/>
      <c r="G72" s="19"/>
      <c r="H72" s="19"/>
      <c r="I72" s="22">
        <v>5907.0</v>
      </c>
      <c r="J72" s="22">
        <v>6129.0</v>
      </c>
    </row>
    <row r="73" ht="15.75" customHeight="1">
      <c r="A73" s="1" t="s">
        <v>56</v>
      </c>
      <c r="B73" s="19"/>
      <c r="C73" s="19"/>
      <c r="D73" s="19"/>
      <c r="E73" s="19"/>
      <c r="F73" s="19"/>
      <c r="G73" s="19"/>
      <c r="H73" s="19"/>
      <c r="I73" s="22">
        <v>491843.0</v>
      </c>
      <c r="J73" s="22">
        <v>533838.0</v>
      </c>
    </row>
    <row r="74" ht="15.75" customHeight="1">
      <c r="A74" s="1" t="s">
        <v>57</v>
      </c>
      <c r="B74" s="19"/>
      <c r="C74" s="19"/>
      <c r="D74" s="19"/>
      <c r="E74" s="19"/>
      <c r="F74" s="19"/>
      <c r="G74" s="19"/>
      <c r="H74" s="19"/>
      <c r="I74" s="22">
        <v>2398.0</v>
      </c>
      <c r="J74" s="22">
        <v>2981.0</v>
      </c>
    </row>
    <row r="75" ht="15.75" customHeight="1">
      <c r="A75" s="1" t="s">
        <v>58</v>
      </c>
      <c r="B75" s="19"/>
      <c r="C75" s="19"/>
      <c r="D75" s="19"/>
      <c r="E75" s="19"/>
      <c r="F75" s="19"/>
      <c r="G75" s="19"/>
      <c r="H75" s="19"/>
      <c r="I75" s="22">
        <v>2.0</v>
      </c>
      <c r="J75" s="22">
        <v>1.0</v>
      </c>
    </row>
    <row r="76" ht="15.75" customHeight="1">
      <c r="A76" s="1" t="s">
        <v>59</v>
      </c>
      <c r="B76" s="19"/>
      <c r="C76" s="19"/>
      <c r="D76" s="19"/>
      <c r="E76" s="19"/>
      <c r="F76" s="19"/>
      <c r="G76" s="19"/>
      <c r="H76" s="19"/>
      <c r="I76" s="22">
        <v>23226.0</v>
      </c>
      <c r="J76" s="22">
        <v>28049.0</v>
      </c>
    </row>
    <row r="77" ht="15.75" customHeight="1">
      <c r="A77" s="29" t="s">
        <v>103</v>
      </c>
      <c r="B77" s="19"/>
      <c r="C77" s="19"/>
      <c r="D77" s="19"/>
      <c r="E77" s="19"/>
      <c r="F77" s="19"/>
      <c r="G77" s="19"/>
      <c r="H77" s="19"/>
      <c r="I77" s="22">
        <v>6055.0</v>
      </c>
      <c r="J77" s="22">
        <v>5838.0</v>
      </c>
    </row>
    <row r="78" ht="15.75" customHeight="1">
      <c r="A78" s="29" t="s">
        <v>104</v>
      </c>
      <c r="B78" s="19"/>
      <c r="C78" s="19"/>
      <c r="D78" s="19"/>
      <c r="E78" s="19"/>
      <c r="F78" s="19"/>
      <c r="G78" s="19"/>
      <c r="H78" s="19"/>
      <c r="I78" s="22">
        <v>2794.0</v>
      </c>
      <c r="J78" s="22">
        <v>467.0</v>
      </c>
    </row>
    <row r="79" ht="15.75" customHeight="1">
      <c r="A79" s="1"/>
    </row>
    <row r="80" ht="15.75" customHeight="1">
      <c r="A80" s="18" t="s">
        <v>60</v>
      </c>
      <c r="B80" s="27">
        <f t="shared" ref="B80:J80" si="24">SUM(B81:B90)</f>
        <v>0</v>
      </c>
      <c r="C80" s="27">
        <f t="shared" si="24"/>
        <v>0</v>
      </c>
      <c r="D80" s="27">
        <f t="shared" si="24"/>
        <v>0</v>
      </c>
      <c r="E80" s="27">
        <f t="shared" si="24"/>
        <v>0</v>
      </c>
      <c r="F80" s="27">
        <f t="shared" si="24"/>
        <v>0</v>
      </c>
      <c r="G80" s="27">
        <f t="shared" si="24"/>
        <v>0</v>
      </c>
      <c r="H80" s="27">
        <f t="shared" si="24"/>
        <v>0</v>
      </c>
      <c r="I80" s="27">
        <f t="shared" si="24"/>
        <v>156692</v>
      </c>
      <c r="J80" s="27">
        <f t="shared" si="24"/>
        <v>226338</v>
      </c>
    </row>
    <row r="81" ht="15.75" customHeight="1">
      <c r="A81" s="1"/>
      <c r="B81" s="19"/>
      <c r="C81" s="19"/>
      <c r="D81" s="19"/>
      <c r="E81" s="19"/>
      <c r="F81" s="19"/>
      <c r="G81" s="19"/>
      <c r="H81" s="19"/>
      <c r="I81" s="19"/>
      <c r="J81" s="19"/>
    </row>
    <row r="82" ht="15.75" customHeight="1">
      <c r="A82" s="16" t="s">
        <v>61</v>
      </c>
      <c r="B82" s="19"/>
      <c r="C82" s="19"/>
      <c r="D82" s="19"/>
      <c r="E82" s="19"/>
      <c r="F82" s="19"/>
      <c r="G82" s="19"/>
      <c r="H82" s="19"/>
      <c r="I82" s="22">
        <v>54435.0</v>
      </c>
      <c r="J82" s="22">
        <v>53181.0</v>
      </c>
    </row>
    <row r="83" ht="15.75" customHeight="1">
      <c r="A83" s="16" t="s">
        <v>62</v>
      </c>
      <c r="B83" s="19"/>
      <c r="C83" s="19"/>
      <c r="D83" s="19"/>
      <c r="E83" s="19"/>
      <c r="F83" s="19"/>
      <c r="G83" s="19"/>
      <c r="H83" s="19"/>
      <c r="I83" s="22">
        <v>32848.0</v>
      </c>
      <c r="J83" s="22">
        <v>45968.0</v>
      </c>
    </row>
    <row r="84" ht="15.75" customHeight="1">
      <c r="A84" s="16" t="s">
        <v>63</v>
      </c>
      <c r="B84" s="22"/>
      <c r="C84" s="19"/>
      <c r="D84" s="19"/>
      <c r="E84" s="19"/>
      <c r="F84" s="19"/>
      <c r="G84" s="19"/>
      <c r="H84" s="19"/>
      <c r="I84" s="22">
        <f>17852+9633</f>
        <v>27485</v>
      </c>
      <c r="J84" s="22">
        <f>26595+1679</f>
        <v>28274</v>
      </c>
    </row>
    <row r="85" ht="15.75" customHeight="1">
      <c r="A85" s="16" t="s">
        <v>64</v>
      </c>
      <c r="B85" s="19"/>
      <c r="C85" s="19"/>
      <c r="D85" s="19"/>
      <c r="E85" s="19"/>
      <c r="F85" s="19"/>
      <c r="G85" s="19"/>
      <c r="H85" s="19"/>
      <c r="I85" s="22">
        <v>297.0</v>
      </c>
      <c r="J85" s="22">
        <v>327.0</v>
      </c>
    </row>
    <row r="86" ht="15.75" customHeight="1">
      <c r="A86" s="16" t="s">
        <v>65</v>
      </c>
      <c r="B86" s="19"/>
      <c r="C86" s="19"/>
      <c r="D86" s="19"/>
      <c r="E86" s="19"/>
      <c r="F86" s="19"/>
      <c r="G86" s="19"/>
      <c r="H86" s="19"/>
      <c r="I86" s="22">
        <v>15602.0</v>
      </c>
      <c r="J86" s="22">
        <v>25077.0</v>
      </c>
    </row>
    <row r="87" ht="15.75" customHeight="1">
      <c r="A87" s="16" t="s">
        <v>66</v>
      </c>
      <c r="B87" s="19"/>
      <c r="C87" s="19"/>
      <c r="D87" s="19"/>
      <c r="E87" s="19"/>
      <c r="F87" s="19"/>
      <c r="G87" s="19"/>
      <c r="H87" s="19"/>
      <c r="I87" s="22">
        <v>0.0</v>
      </c>
      <c r="J87" s="22">
        <v>0.0</v>
      </c>
    </row>
    <row r="88" ht="15.75" customHeight="1">
      <c r="A88" s="16" t="s">
        <v>67</v>
      </c>
      <c r="B88" s="19"/>
      <c r="C88" s="19"/>
      <c r="D88" s="19"/>
      <c r="E88" s="19"/>
      <c r="F88" s="19"/>
      <c r="G88" s="19"/>
      <c r="H88" s="19"/>
      <c r="I88" s="22">
        <v>0.0</v>
      </c>
      <c r="J88" s="22">
        <v>39122.0</v>
      </c>
    </row>
    <row r="89" ht="15.75" customHeight="1">
      <c r="A89" s="1" t="s">
        <v>57</v>
      </c>
      <c r="B89" s="19"/>
      <c r="C89" s="19"/>
      <c r="D89" s="19"/>
      <c r="E89" s="19"/>
      <c r="F89" s="19"/>
      <c r="G89" s="19"/>
      <c r="H89" s="19"/>
      <c r="I89" s="22">
        <v>26025.0</v>
      </c>
      <c r="J89" s="22">
        <v>34186.0</v>
      </c>
    </row>
    <row r="90" ht="15.75" customHeight="1">
      <c r="A90" s="29" t="s">
        <v>105</v>
      </c>
      <c r="B90" s="19"/>
      <c r="C90" s="19"/>
      <c r="D90" s="19"/>
      <c r="E90" s="19"/>
      <c r="F90" s="19"/>
      <c r="G90" s="19"/>
      <c r="H90" s="19"/>
      <c r="I90" s="22">
        <v>0.0</v>
      </c>
      <c r="J90" s="22">
        <v>203.0</v>
      </c>
      <c r="K90" s="19">
        <f t="shared" ref="K90:P90" si="25">J90+K91</f>
        <v>300203</v>
      </c>
      <c r="L90" s="19">
        <f t="shared" si="25"/>
        <v>600203</v>
      </c>
      <c r="M90" s="19">
        <f t="shared" si="25"/>
        <v>900203</v>
      </c>
      <c r="N90" s="19">
        <f t="shared" si="25"/>
        <v>1200203</v>
      </c>
      <c r="O90" s="19">
        <f t="shared" si="25"/>
        <v>1500203</v>
      </c>
      <c r="P90" s="19">
        <f t="shared" si="25"/>
        <v>1800203</v>
      </c>
    </row>
    <row r="91" ht="15.75" customHeight="1">
      <c r="A91" s="8" t="s">
        <v>49</v>
      </c>
      <c r="B91" s="30">
        <f t="shared" ref="B91:J91" si="26">SUM(B67,B80)</f>
        <v>0</v>
      </c>
      <c r="C91" s="30">
        <f t="shared" si="26"/>
        <v>0</v>
      </c>
      <c r="D91" s="30">
        <f t="shared" si="26"/>
        <v>0</v>
      </c>
      <c r="E91" s="30">
        <f t="shared" si="26"/>
        <v>0</v>
      </c>
      <c r="F91" s="30">
        <f t="shared" si="26"/>
        <v>0</v>
      </c>
      <c r="G91" s="30">
        <f t="shared" si="26"/>
        <v>0</v>
      </c>
      <c r="H91" s="30">
        <f t="shared" si="26"/>
        <v>0</v>
      </c>
      <c r="I91" s="30">
        <f t="shared" si="26"/>
        <v>1003854</v>
      </c>
      <c r="J91" s="30">
        <f t="shared" si="26"/>
        <v>1153508</v>
      </c>
      <c r="K91" s="20">
        <v>300000.0</v>
      </c>
      <c r="L91" s="31">
        <f t="shared" ref="L91:P91" si="27">K91</f>
        <v>300000</v>
      </c>
      <c r="M91" s="31">
        <f t="shared" si="27"/>
        <v>300000</v>
      </c>
      <c r="N91" s="31">
        <f t="shared" si="27"/>
        <v>300000</v>
      </c>
      <c r="O91" s="31">
        <f t="shared" si="27"/>
        <v>300000</v>
      </c>
      <c r="P91" s="31">
        <f t="shared" si="27"/>
        <v>300000</v>
      </c>
    </row>
    <row r="92" ht="15.75" customHeight="1">
      <c r="A92" s="32" t="s">
        <v>106</v>
      </c>
      <c r="B92" s="33">
        <f t="shared" ref="B92:J92" si="28">B62-B91</f>
        <v>0</v>
      </c>
      <c r="C92" s="33">
        <f t="shared" si="28"/>
        <v>0</v>
      </c>
      <c r="D92" s="33">
        <f t="shared" si="28"/>
        <v>0</v>
      </c>
      <c r="E92" s="33">
        <f t="shared" si="28"/>
        <v>0</v>
      </c>
      <c r="F92" s="33">
        <f t="shared" si="28"/>
        <v>0</v>
      </c>
      <c r="G92" s="33">
        <f t="shared" si="28"/>
        <v>0</v>
      </c>
      <c r="H92" s="33">
        <f t="shared" si="28"/>
        <v>0</v>
      </c>
      <c r="I92" s="33">
        <f t="shared" si="28"/>
        <v>-1003854</v>
      </c>
      <c r="J92" s="33">
        <f t="shared" si="28"/>
        <v>-1153508</v>
      </c>
    </row>
    <row r="93" ht="15.75" customHeight="1">
      <c r="A93" s="5" t="s">
        <v>70</v>
      </c>
      <c r="B93" s="22">
        <v>1305351.0</v>
      </c>
      <c r="C93" s="22">
        <v>1444541.0</v>
      </c>
      <c r="D93" s="22">
        <v>1653500.0</v>
      </c>
      <c r="E93" s="22">
        <v>1753700.0</v>
      </c>
      <c r="F93" s="22">
        <v>1461126.0</v>
      </c>
      <c r="G93" s="22">
        <v>1361722.0</v>
      </c>
      <c r="H93" s="22">
        <v>1414277.0</v>
      </c>
      <c r="I93" s="22">
        <v>1706831.0</v>
      </c>
      <c r="J93" s="22">
        <v>1852256.0</v>
      </c>
    </row>
    <row r="94" ht="15.75" customHeight="1">
      <c r="A94" s="5" t="s">
        <v>71</v>
      </c>
      <c r="B94" s="22">
        <v>123897.0</v>
      </c>
      <c r="C94" s="22">
        <v>124062.0</v>
      </c>
      <c r="D94" s="22">
        <v>126074.0</v>
      </c>
      <c r="E94" s="22">
        <v>108749.0</v>
      </c>
      <c r="F94" s="22">
        <v>102171.0</v>
      </c>
      <c r="G94" s="22">
        <v>96139.0</v>
      </c>
      <c r="H94" s="22">
        <v>238376.0</v>
      </c>
      <c r="I94" s="22">
        <v>259333.0</v>
      </c>
      <c r="J94" s="22">
        <v>283067.0</v>
      </c>
    </row>
    <row r="95" ht="15.75" customHeight="1">
      <c r="A95" s="5" t="s">
        <v>49</v>
      </c>
      <c r="B95" s="27">
        <f t="shared" ref="B95:J95" si="29">SUM(B93:B94)</f>
        <v>1429248</v>
      </c>
      <c r="C95" s="27">
        <f t="shared" si="29"/>
        <v>1568603</v>
      </c>
      <c r="D95" s="27">
        <f t="shared" si="29"/>
        <v>1779574</v>
      </c>
      <c r="E95" s="27">
        <f t="shared" si="29"/>
        <v>1862449</v>
      </c>
      <c r="F95" s="27">
        <f t="shared" si="29"/>
        <v>1563297</v>
      </c>
      <c r="G95" s="27">
        <f t="shared" si="29"/>
        <v>1457861</v>
      </c>
      <c r="H95" s="27">
        <f t="shared" si="29"/>
        <v>1652653</v>
      </c>
      <c r="I95" s="27">
        <f t="shared" si="29"/>
        <v>1966164</v>
      </c>
      <c r="J95" s="27">
        <f t="shared" si="29"/>
        <v>2135323</v>
      </c>
      <c r="K95" s="34">
        <f t="shared" ref="K95:P95" si="30">K106*K113</f>
        <v>2388726.764</v>
      </c>
      <c r="L95" s="34">
        <f t="shared" si="30"/>
        <v>2537202.039</v>
      </c>
      <c r="M95" s="34">
        <f t="shared" si="30"/>
        <v>2695883.226</v>
      </c>
      <c r="N95" s="34">
        <f t="shared" si="30"/>
        <v>2865482.868</v>
      </c>
      <c r="O95" s="34">
        <f t="shared" si="30"/>
        <v>3046763.362</v>
      </c>
      <c r="P95" s="34">
        <f t="shared" si="30"/>
        <v>3240540.458</v>
      </c>
    </row>
    <row r="96" ht="15.75" customHeight="1">
      <c r="A96" s="5"/>
    </row>
    <row r="97" ht="15.75" customHeight="1">
      <c r="A97" s="5" t="s">
        <v>72</v>
      </c>
      <c r="B97" s="35" t="str">
        <f t="shared" ref="B97:P97" si="31">B95/B90</f>
        <v>#DIV/0!</v>
      </c>
      <c r="C97" s="35" t="str">
        <f t="shared" si="31"/>
        <v>#DIV/0!</v>
      </c>
      <c r="D97" s="35" t="str">
        <f t="shared" si="31"/>
        <v>#DIV/0!</v>
      </c>
      <c r="E97" s="35" t="str">
        <f t="shared" si="31"/>
        <v>#DIV/0!</v>
      </c>
      <c r="F97" s="35" t="str">
        <f t="shared" si="31"/>
        <v>#DIV/0!</v>
      </c>
      <c r="G97" s="35" t="str">
        <f t="shared" si="31"/>
        <v>#DIV/0!</v>
      </c>
      <c r="H97" s="35" t="str">
        <f t="shared" si="31"/>
        <v>#DIV/0!</v>
      </c>
      <c r="I97" s="35" t="str">
        <f t="shared" si="31"/>
        <v>#DIV/0!</v>
      </c>
      <c r="J97" s="35">
        <f t="shared" si="31"/>
        <v>10518.83251</v>
      </c>
      <c r="K97" s="35">
        <f t="shared" si="31"/>
        <v>7.957038285</v>
      </c>
      <c r="L97" s="35">
        <f t="shared" si="31"/>
        <v>4.227239848</v>
      </c>
      <c r="M97" s="35">
        <f t="shared" si="31"/>
        <v>2.994750325</v>
      </c>
      <c r="N97" s="35">
        <f t="shared" si="31"/>
        <v>2.387498505</v>
      </c>
      <c r="O97" s="35">
        <f t="shared" si="31"/>
        <v>2.030900726</v>
      </c>
      <c r="P97" s="35">
        <f t="shared" si="31"/>
        <v>1.800097244</v>
      </c>
    </row>
    <row r="98" ht="15.75" customHeight="1">
      <c r="A98" s="5"/>
    </row>
    <row r="99" ht="15.75" customHeight="1">
      <c r="A99" s="17" t="s">
        <v>73</v>
      </c>
      <c r="C99" s="35">
        <f t="shared" ref="C99:J99" si="32">C93/B93-1</f>
        <v>0.106630324</v>
      </c>
      <c r="D99" s="35">
        <f t="shared" si="32"/>
        <v>0.1446542535</v>
      </c>
      <c r="E99" s="35">
        <f t="shared" si="32"/>
        <v>0.06059872997</v>
      </c>
      <c r="F99" s="35">
        <f t="shared" si="32"/>
        <v>-0.1668324115</v>
      </c>
      <c r="G99" s="35">
        <f t="shared" si="32"/>
        <v>-0.06803246263</v>
      </c>
      <c r="H99" s="35">
        <f t="shared" si="32"/>
        <v>0.03859451489</v>
      </c>
      <c r="I99" s="35">
        <f t="shared" si="32"/>
        <v>0.2068576382</v>
      </c>
      <c r="J99" s="35">
        <f t="shared" si="32"/>
        <v>0.08520175694</v>
      </c>
    </row>
    <row r="100" ht="15.75" customHeight="1">
      <c r="A100" s="5" t="s">
        <v>74</v>
      </c>
      <c r="C100" s="35">
        <f t="shared" ref="C100:J100" si="33">C94/B94-1</f>
        <v>0.001331751374</v>
      </c>
      <c r="D100" s="35">
        <f t="shared" si="33"/>
        <v>0.0162176976</v>
      </c>
      <c r="E100" s="35">
        <f t="shared" si="33"/>
        <v>-0.1374192934</v>
      </c>
      <c r="F100" s="35">
        <f t="shared" si="33"/>
        <v>-0.06048791253</v>
      </c>
      <c r="G100" s="35">
        <f t="shared" si="33"/>
        <v>-0.05903827896</v>
      </c>
      <c r="H100" s="35">
        <f t="shared" si="33"/>
        <v>1.479493234</v>
      </c>
      <c r="I100" s="35">
        <f t="shared" si="33"/>
        <v>0.08791572977</v>
      </c>
      <c r="J100" s="35">
        <f t="shared" si="33"/>
        <v>0.09151939784</v>
      </c>
    </row>
    <row r="101" ht="15.75" customHeight="1">
      <c r="A101" s="5" t="s">
        <v>75</v>
      </c>
      <c r="B101" s="34"/>
      <c r="C101" s="36">
        <f t="shared" ref="C101:J101" si="34">C95/B95-1</f>
        <v>0.0975023229</v>
      </c>
      <c r="D101" s="36">
        <f t="shared" si="34"/>
        <v>0.134496109</v>
      </c>
      <c r="E101" s="36">
        <f t="shared" si="34"/>
        <v>0.0465701342</v>
      </c>
      <c r="F101" s="36">
        <f t="shared" si="34"/>
        <v>-0.1606229218</v>
      </c>
      <c r="G101" s="36">
        <f t="shared" si="34"/>
        <v>-0.06744463784</v>
      </c>
      <c r="H101" s="36">
        <f t="shared" si="34"/>
        <v>0.1336149331</v>
      </c>
      <c r="I101" s="36">
        <f t="shared" si="34"/>
        <v>0.1897016494</v>
      </c>
      <c r="J101" s="36">
        <f t="shared" si="34"/>
        <v>0.08603504082</v>
      </c>
    </row>
    <row r="102" ht="15.75" customHeight="1">
      <c r="A102" s="5"/>
    </row>
    <row r="103" ht="15.75" customHeight="1">
      <c r="A103" s="17" t="s">
        <v>76</v>
      </c>
    </row>
    <row r="104" ht="15.75" customHeight="1">
      <c r="A104" s="5" t="s">
        <v>77</v>
      </c>
      <c r="B104" s="22">
        <v>2789208.0</v>
      </c>
      <c r="C104" s="22">
        <v>3047582.0</v>
      </c>
      <c r="D104" s="22">
        <v>3288581.0</v>
      </c>
      <c r="E104" s="22">
        <v>3377389.0</v>
      </c>
      <c r="F104" s="22">
        <v>2773519.0</v>
      </c>
      <c r="G104" s="22">
        <v>2711457.0</v>
      </c>
      <c r="H104" s="22">
        <v>3069523.0</v>
      </c>
      <c r="I104" s="22">
        <v>3890114.0</v>
      </c>
      <c r="J104" s="22">
        <v>4218746.0</v>
      </c>
      <c r="K104" s="19">
        <f t="shared" ref="K104:P104" si="35">J104*(1+K107)</f>
        <v>4514058.22</v>
      </c>
      <c r="L104" s="19">
        <f t="shared" si="35"/>
        <v>4830042.295</v>
      </c>
      <c r="M104" s="19">
        <f t="shared" si="35"/>
        <v>5168145.256</v>
      </c>
      <c r="N104" s="19">
        <f t="shared" si="35"/>
        <v>5529915.424</v>
      </c>
      <c r="O104" s="19">
        <f t="shared" si="35"/>
        <v>5917009.504</v>
      </c>
      <c r="P104" s="19">
        <f t="shared" si="35"/>
        <v>6331200.169</v>
      </c>
    </row>
    <row r="105" ht="15.75" customHeight="1">
      <c r="A105" s="5" t="s">
        <v>71</v>
      </c>
      <c r="B105" s="22">
        <v>653053.0</v>
      </c>
      <c r="C105" s="22">
        <v>758727.0</v>
      </c>
      <c r="D105" s="22">
        <v>748366.0</v>
      </c>
      <c r="E105" s="22">
        <v>676192.0</v>
      </c>
      <c r="F105" s="22">
        <v>662118.0</v>
      </c>
      <c r="G105" s="22">
        <v>404397.0</v>
      </c>
      <c r="H105" s="22">
        <v>577875.0</v>
      </c>
      <c r="I105" s="22">
        <v>662891.0</v>
      </c>
      <c r="J105" s="22">
        <v>672105.0</v>
      </c>
      <c r="K105" s="19">
        <f t="shared" ref="K105:P105" si="36">J105*(1+K108)</f>
        <v>678826.05</v>
      </c>
      <c r="L105" s="19">
        <f t="shared" si="36"/>
        <v>685614.3105</v>
      </c>
      <c r="M105" s="19">
        <f t="shared" si="36"/>
        <v>692470.4536</v>
      </c>
      <c r="N105" s="19">
        <f t="shared" si="36"/>
        <v>699395.1581</v>
      </c>
      <c r="O105" s="19">
        <f t="shared" si="36"/>
        <v>706389.1097</v>
      </c>
      <c r="P105" s="19">
        <f t="shared" si="36"/>
        <v>713453.0008</v>
      </c>
    </row>
    <row r="106" ht="15.75" customHeight="1">
      <c r="A106" s="5" t="s">
        <v>49</v>
      </c>
      <c r="B106" s="27">
        <f t="shared" ref="B106:P106" si="37">SUM(B104:B105)</f>
        <v>3442261</v>
      </c>
      <c r="C106" s="27">
        <f t="shared" si="37"/>
        <v>3806309</v>
      </c>
      <c r="D106" s="27">
        <f t="shared" si="37"/>
        <v>4036947</v>
      </c>
      <c r="E106" s="27">
        <f t="shared" si="37"/>
        <v>4053581</v>
      </c>
      <c r="F106" s="27">
        <f t="shared" si="37"/>
        <v>3435637</v>
      </c>
      <c r="G106" s="27">
        <f t="shared" si="37"/>
        <v>3115854</v>
      </c>
      <c r="H106" s="27">
        <f t="shared" si="37"/>
        <v>3647398</v>
      </c>
      <c r="I106" s="27">
        <f t="shared" si="37"/>
        <v>4553005</v>
      </c>
      <c r="J106" s="27">
        <f t="shared" si="37"/>
        <v>4890851</v>
      </c>
      <c r="K106" s="27">
        <f t="shared" si="37"/>
        <v>5192884.27</v>
      </c>
      <c r="L106" s="27">
        <f t="shared" si="37"/>
        <v>5515656.606</v>
      </c>
      <c r="M106" s="27">
        <f t="shared" si="37"/>
        <v>5860615.71</v>
      </c>
      <c r="N106" s="27">
        <f t="shared" si="37"/>
        <v>6229310.582</v>
      </c>
      <c r="O106" s="27">
        <f t="shared" si="37"/>
        <v>6623398.613</v>
      </c>
      <c r="P106" s="27">
        <f t="shared" si="37"/>
        <v>7044653.17</v>
      </c>
    </row>
    <row r="107" ht="15.75" customHeight="1">
      <c r="A107" s="5" t="s">
        <v>78</v>
      </c>
      <c r="C107" s="35">
        <f t="shared" ref="C107:J107" si="38">C104/B104-1</f>
        <v>0.09263346441</v>
      </c>
      <c r="D107" s="35">
        <f t="shared" si="38"/>
        <v>0.07907875818</v>
      </c>
      <c r="E107" s="35">
        <f t="shared" si="38"/>
        <v>0.0270049605</v>
      </c>
      <c r="F107" s="35">
        <f t="shared" si="38"/>
        <v>-0.178797882</v>
      </c>
      <c r="G107" s="35">
        <f t="shared" si="38"/>
        <v>-0.02237662695</v>
      </c>
      <c r="H107" s="35">
        <f t="shared" si="38"/>
        <v>0.1320566765</v>
      </c>
      <c r="I107" s="35">
        <f t="shared" si="38"/>
        <v>0.2673350224</v>
      </c>
      <c r="J107" s="35">
        <f t="shared" si="38"/>
        <v>0.08447875821</v>
      </c>
      <c r="K107" s="37">
        <v>0.07</v>
      </c>
      <c r="L107" s="38">
        <f t="shared" ref="L107:P107" si="39">K107</f>
        <v>0.07</v>
      </c>
      <c r="M107" s="38">
        <f t="shared" si="39"/>
        <v>0.07</v>
      </c>
      <c r="N107" s="38">
        <f t="shared" si="39"/>
        <v>0.07</v>
      </c>
      <c r="O107" s="38">
        <f t="shared" si="39"/>
        <v>0.07</v>
      </c>
      <c r="P107" s="38">
        <f t="shared" si="39"/>
        <v>0.07</v>
      </c>
    </row>
    <row r="108" ht="15.75" customHeight="1">
      <c r="A108" s="5" t="s">
        <v>79</v>
      </c>
      <c r="C108" s="35">
        <f t="shared" ref="C108:J108" si="40">C105/B105-1</f>
        <v>0.1618153504</v>
      </c>
      <c r="D108" s="35">
        <f t="shared" si="40"/>
        <v>-0.01365576815</v>
      </c>
      <c r="E108" s="35">
        <f t="shared" si="40"/>
        <v>-0.09644211522</v>
      </c>
      <c r="F108" s="35">
        <f t="shared" si="40"/>
        <v>-0.02081361507</v>
      </c>
      <c r="G108" s="35">
        <f t="shared" si="40"/>
        <v>-0.3892372659</v>
      </c>
      <c r="H108" s="35">
        <f t="shared" si="40"/>
        <v>0.4289794435</v>
      </c>
      <c r="I108" s="35">
        <f t="shared" si="40"/>
        <v>0.1471183214</v>
      </c>
      <c r="J108" s="35">
        <f t="shared" si="40"/>
        <v>0.01389972107</v>
      </c>
      <c r="K108" s="37">
        <v>0.01</v>
      </c>
      <c r="L108" s="38">
        <f t="shared" ref="L108:P108" si="41">K108</f>
        <v>0.01</v>
      </c>
      <c r="M108" s="38">
        <f t="shared" si="41"/>
        <v>0.01</v>
      </c>
      <c r="N108" s="38">
        <f t="shared" si="41"/>
        <v>0.01</v>
      </c>
      <c r="O108" s="38">
        <f t="shared" si="41"/>
        <v>0.01</v>
      </c>
      <c r="P108" s="38">
        <f t="shared" si="41"/>
        <v>0.01</v>
      </c>
    </row>
    <row r="109" ht="15.75" customHeight="1">
      <c r="A109" s="5"/>
    </row>
    <row r="110" ht="15.75" customHeight="1">
      <c r="A110" s="17" t="s">
        <v>80</v>
      </c>
    </row>
    <row r="111" ht="15.75" customHeight="1">
      <c r="A111" s="5" t="s">
        <v>70</v>
      </c>
      <c r="B111" s="39">
        <f t="shared" ref="B111:J111" si="42">B93/B104</f>
        <v>0.4680005937</v>
      </c>
      <c r="C111" s="39">
        <f t="shared" si="42"/>
        <v>0.4739957776</v>
      </c>
      <c r="D111" s="39">
        <f t="shared" si="42"/>
        <v>0.502800448</v>
      </c>
      <c r="E111" s="39">
        <f t="shared" si="42"/>
        <v>0.5192472647</v>
      </c>
      <c r="F111" s="39">
        <f t="shared" si="42"/>
        <v>0.5268130487</v>
      </c>
      <c r="G111" s="39">
        <f t="shared" si="42"/>
        <v>0.5022104352</v>
      </c>
      <c r="H111" s="39">
        <f t="shared" si="42"/>
        <v>0.4607481358</v>
      </c>
      <c r="I111" s="39">
        <f t="shared" si="42"/>
        <v>0.4387611777</v>
      </c>
      <c r="J111" s="39">
        <f t="shared" si="42"/>
        <v>0.4390536904</v>
      </c>
      <c r="K111" s="39"/>
      <c r="L111" s="39"/>
      <c r="M111" s="39"/>
      <c r="N111" s="39"/>
      <c r="O111" s="39"/>
      <c r="P111" s="39"/>
    </row>
    <row r="112" ht="15.75" customHeight="1">
      <c r="A112" s="5" t="s">
        <v>71</v>
      </c>
      <c r="B112" s="39">
        <f t="shared" ref="B112:J112" si="43">B94/B105</f>
        <v>0.1897196705</v>
      </c>
      <c r="C112" s="39">
        <f t="shared" si="43"/>
        <v>0.1635133586</v>
      </c>
      <c r="D112" s="39">
        <f t="shared" si="43"/>
        <v>0.1684656973</v>
      </c>
      <c r="E112" s="39">
        <f t="shared" si="43"/>
        <v>0.1608256235</v>
      </c>
      <c r="F112" s="39">
        <f t="shared" si="43"/>
        <v>0.1543093527</v>
      </c>
      <c r="G112" s="39">
        <f t="shared" si="43"/>
        <v>0.2377342067</v>
      </c>
      <c r="H112" s="39">
        <f t="shared" si="43"/>
        <v>0.4125044343</v>
      </c>
      <c r="I112" s="39">
        <f t="shared" si="43"/>
        <v>0.391215147</v>
      </c>
      <c r="J112" s="39">
        <f t="shared" si="43"/>
        <v>0.4211648478</v>
      </c>
      <c r="K112" s="39"/>
      <c r="L112" s="39"/>
      <c r="M112" s="39"/>
      <c r="N112" s="39"/>
      <c r="O112" s="39"/>
      <c r="P112" s="39"/>
    </row>
    <row r="113" ht="15.75" customHeight="1">
      <c r="A113" s="5" t="s">
        <v>81</v>
      </c>
      <c r="B113" s="39">
        <f t="shared" ref="B113:J113" si="44">B95/B106</f>
        <v>0.4152061683</v>
      </c>
      <c r="C113" s="39">
        <f t="shared" si="44"/>
        <v>0.4121060587</v>
      </c>
      <c r="D113" s="39">
        <f t="shared" si="44"/>
        <v>0.4408217398</v>
      </c>
      <c r="E113" s="39">
        <f t="shared" si="44"/>
        <v>0.4594576993</v>
      </c>
      <c r="F113" s="39">
        <f t="shared" si="44"/>
        <v>0.4550239155</v>
      </c>
      <c r="G113" s="39">
        <f t="shared" si="44"/>
        <v>0.4678848881</v>
      </c>
      <c r="H113" s="39">
        <f t="shared" si="44"/>
        <v>0.4531046516</v>
      </c>
      <c r="I113" s="39">
        <f t="shared" si="44"/>
        <v>0.4318387526</v>
      </c>
      <c r="J113" s="39">
        <f t="shared" si="44"/>
        <v>0.43659539</v>
      </c>
      <c r="K113" s="40">
        <v>0.46</v>
      </c>
      <c r="L113" s="40">
        <v>0.46</v>
      </c>
      <c r="M113" s="40">
        <v>0.46</v>
      </c>
      <c r="N113" s="40">
        <v>0.46</v>
      </c>
      <c r="O113" s="40">
        <v>0.46</v>
      </c>
      <c r="P113" s="40">
        <v>0.46</v>
      </c>
    </row>
    <row r="114" ht="15.75" customHeight="1">
      <c r="A114" s="5"/>
    </row>
    <row r="115" ht="15.75" customHeight="1">
      <c r="A115" s="5" t="s">
        <v>82</v>
      </c>
      <c r="B115" s="41">
        <f t="shared" ref="B115:J115" si="45">(B3/B95)*10^6</f>
        <v>399241.4193</v>
      </c>
      <c r="C115" s="41">
        <f t="shared" si="45"/>
        <v>434048.6407</v>
      </c>
      <c r="D115" s="41">
        <f t="shared" si="45"/>
        <v>448474.7473</v>
      </c>
      <c r="E115" s="41">
        <f t="shared" si="45"/>
        <v>462125.4059</v>
      </c>
      <c r="F115" s="41">
        <f t="shared" si="45"/>
        <v>483977.1329</v>
      </c>
      <c r="G115" s="41">
        <f t="shared" si="45"/>
        <v>482707.1991</v>
      </c>
      <c r="H115" s="41">
        <f t="shared" si="45"/>
        <v>534472.7538</v>
      </c>
      <c r="I115" s="41">
        <f t="shared" si="45"/>
        <v>602238.1653</v>
      </c>
      <c r="J115" s="41">
        <f t="shared" si="45"/>
        <v>664340.711</v>
      </c>
      <c r="K115" s="19">
        <f t="shared" ref="K115:P115" si="46">J115*(1+K116)</f>
        <v>730774.7821</v>
      </c>
      <c r="L115" s="19">
        <f t="shared" si="46"/>
        <v>803852.2603</v>
      </c>
      <c r="M115" s="19">
        <f t="shared" si="46"/>
        <v>884237.4863</v>
      </c>
      <c r="N115" s="19">
        <f t="shared" si="46"/>
        <v>972661.235</v>
      </c>
      <c r="O115" s="19">
        <f t="shared" si="46"/>
        <v>1069927.358</v>
      </c>
      <c r="P115" s="19">
        <f t="shared" si="46"/>
        <v>1176920.094</v>
      </c>
    </row>
    <row r="116" ht="15.75" customHeight="1">
      <c r="A116" s="5" t="s">
        <v>83</v>
      </c>
      <c r="C116" s="35">
        <f t="shared" ref="C116:J116" si="47">C115/B115-1</f>
        <v>0.08718339278</v>
      </c>
      <c r="D116" s="35">
        <f t="shared" si="47"/>
        <v>0.03323615199</v>
      </c>
      <c r="E116" s="35">
        <f t="shared" si="47"/>
        <v>0.03043796469</v>
      </c>
      <c r="F116" s="35">
        <f t="shared" si="47"/>
        <v>0.04728527542</v>
      </c>
      <c r="G116" s="35">
        <f t="shared" si="47"/>
        <v>-0.002623954209</v>
      </c>
      <c r="H116" s="35">
        <f t="shared" si="47"/>
        <v>0.1072400718</v>
      </c>
      <c r="I116" s="35">
        <f t="shared" si="47"/>
        <v>0.1267892722</v>
      </c>
      <c r="J116" s="35">
        <f t="shared" si="47"/>
        <v>0.1031195784</v>
      </c>
      <c r="K116" s="37">
        <v>0.1</v>
      </c>
      <c r="L116" s="38">
        <f t="shared" ref="L116:P116" si="48">K116</f>
        <v>0.1</v>
      </c>
      <c r="M116" s="38">
        <f t="shared" si="48"/>
        <v>0.1</v>
      </c>
      <c r="N116" s="38">
        <f t="shared" si="48"/>
        <v>0.1</v>
      </c>
      <c r="O116" s="38">
        <f t="shared" si="48"/>
        <v>0.1</v>
      </c>
      <c r="P116" s="38">
        <f t="shared" si="48"/>
        <v>0.1</v>
      </c>
    </row>
    <row r="117" ht="15.75" customHeight="1">
      <c r="A117" s="5"/>
    </row>
    <row r="118" ht="15.75" customHeight="1">
      <c r="A118" s="17" t="s">
        <v>84</v>
      </c>
    </row>
    <row r="119" ht="15.75" customHeight="1">
      <c r="A119" s="5"/>
    </row>
    <row r="120" ht="15.75" customHeight="1">
      <c r="A120" s="1" t="s">
        <v>5</v>
      </c>
      <c r="B120" s="35">
        <f t="shared" ref="B120:J120" si="49">B9/B$3</f>
        <v>0.6344154991</v>
      </c>
      <c r="C120" s="35">
        <f t="shared" si="49"/>
        <v>0.6260982595</v>
      </c>
      <c r="D120" s="35">
        <f t="shared" si="49"/>
        <v>0.5631316612</v>
      </c>
      <c r="E120" s="35">
        <f t="shared" si="49"/>
        <v>0.5231379657</v>
      </c>
      <c r="F120" s="35">
        <f t="shared" si="49"/>
        <v>0.4577689664</v>
      </c>
      <c r="G120" s="35">
        <f t="shared" si="49"/>
        <v>0.4731484113</v>
      </c>
      <c r="H120" s="35">
        <f t="shared" si="49"/>
        <v>0.4499002602</v>
      </c>
      <c r="I120" s="35">
        <f t="shared" si="49"/>
        <v>0.6194769187</v>
      </c>
      <c r="J120" s="35">
        <f t="shared" si="49"/>
        <v>0.5562970628</v>
      </c>
      <c r="K120" s="37">
        <v>0.6</v>
      </c>
      <c r="L120" s="38">
        <f t="shared" ref="L120:P120" si="50">K120</f>
        <v>0.6</v>
      </c>
      <c r="M120" s="38">
        <f t="shared" si="50"/>
        <v>0.6</v>
      </c>
      <c r="N120" s="38">
        <f t="shared" si="50"/>
        <v>0.6</v>
      </c>
      <c r="O120" s="38">
        <f t="shared" si="50"/>
        <v>0.6</v>
      </c>
      <c r="P120" s="38">
        <f t="shared" si="50"/>
        <v>0.6</v>
      </c>
    </row>
    <row r="121" ht="15.75" customHeight="1">
      <c r="A121" s="1" t="s">
        <v>6</v>
      </c>
      <c r="B121" s="35">
        <f t="shared" ref="B121:J121" si="51">B10/B$3</f>
        <v>0.05558038257</v>
      </c>
      <c r="C121" s="35">
        <f t="shared" si="51"/>
        <v>0.06599985312</v>
      </c>
      <c r="D121" s="35">
        <f t="shared" si="51"/>
        <v>0.1253248364</v>
      </c>
      <c r="E121" s="35">
        <f t="shared" si="51"/>
        <v>0.1663895618</v>
      </c>
      <c r="F121" s="35">
        <f t="shared" si="51"/>
        <v>0.2480465239</v>
      </c>
      <c r="G121" s="35">
        <f t="shared" si="51"/>
        <v>0.2451841642</v>
      </c>
      <c r="H121" s="35">
        <f t="shared" si="51"/>
        <v>0.2988515767</v>
      </c>
      <c r="I121" s="35">
        <f t="shared" si="51"/>
        <v>0.1073786905</v>
      </c>
      <c r="J121" s="35">
        <f t="shared" si="51"/>
        <v>0.1494746162</v>
      </c>
      <c r="K121" s="37">
        <v>0.08</v>
      </c>
      <c r="L121" s="38">
        <f t="shared" ref="L121:P121" si="52">K121</f>
        <v>0.08</v>
      </c>
      <c r="M121" s="38">
        <f t="shared" si="52"/>
        <v>0.08</v>
      </c>
      <c r="N121" s="38">
        <f t="shared" si="52"/>
        <v>0.08</v>
      </c>
      <c r="O121" s="38">
        <f t="shared" si="52"/>
        <v>0.08</v>
      </c>
      <c r="P121" s="38">
        <f t="shared" si="52"/>
        <v>0.08</v>
      </c>
    </row>
    <row r="122" ht="15.75" customHeight="1">
      <c r="A122" s="1" t="s">
        <v>8</v>
      </c>
      <c r="B122" s="35">
        <f t="shared" ref="B122:J122" si="53">B11/B$3</f>
        <v>0.0001104071922</v>
      </c>
      <c r="C122" s="35">
        <f t="shared" si="53"/>
        <v>-0.005570977455</v>
      </c>
      <c r="D122" s="35">
        <f t="shared" si="53"/>
        <v>0.0005112179768</v>
      </c>
      <c r="E122" s="35">
        <f t="shared" si="53"/>
        <v>0.002458506887</v>
      </c>
      <c r="F122" s="35">
        <f t="shared" si="53"/>
        <v>-0.003154903516</v>
      </c>
      <c r="G122" s="35">
        <f t="shared" si="53"/>
        <v>0.003887909964</v>
      </c>
      <c r="H122" s="35">
        <f t="shared" si="53"/>
        <v>-0.001054004424</v>
      </c>
      <c r="I122" s="35">
        <f t="shared" si="53"/>
        <v>-0.004902461703</v>
      </c>
      <c r="J122" s="35">
        <f t="shared" si="53"/>
        <v>-0.002668862286</v>
      </c>
      <c r="K122" s="38">
        <f t="shared" ref="K122:P122" si="54">J122</f>
        <v>-0.002668862286</v>
      </c>
      <c r="L122" s="38">
        <f t="shared" si="54"/>
        <v>-0.002668862286</v>
      </c>
      <c r="M122" s="38">
        <f t="shared" si="54"/>
        <v>-0.002668862286</v>
      </c>
      <c r="N122" s="38">
        <f t="shared" si="54"/>
        <v>-0.002668862286</v>
      </c>
      <c r="O122" s="38">
        <f t="shared" si="54"/>
        <v>-0.002668862286</v>
      </c>
      <c r="P122" s="38">
        <f t="shared" si="54"/>
        <v>-0.002668862286</v>
      </c>
    </row>
    <row r="123" ht="15.75" customHeight="1">
      <c r="A123" s="1" t="s">
        <v>10</v>
      </c>
      <c r="B123" s="35">
        <f t="shared" ref="B123:J123" si="55">B12/B$3</f>
        <v>0.03610490436</v>
      </c>
      <c r="C123" s="35">
        <f t="shared" si="55"/>
        <v>0.03466696042</v>
      </c>
      <c r="D123" s="35">
        <f t="shared" si="55"/>
        <v>0.03587797929</v>
      </c>
      <c r="E123" s="35">
        <f t="shared" si="55"/>
        <v>0.03816727374</v>
      </c>
      <c r="F123" s="35">
        <f t="shared" si="55"/>
        <v>0.04515199577</v>
      </c>
      <c r="G123" s="35">
        <f t="shared" si="55"/>
        <v>0.04876371284</v>
      </c>
      <c r="H123" s="35">
        <f t="shared" si="55"/>
        <v>0.04586674033</v>
      </c>
      <c r="I123" s="35">
        <f t="shared" si="55"/>
        <v>0.04483155547</v>
      </c>
      <c r="J123" s="35">
        <f t="shared" si="55"/>
        <v>0.04442182405</v>
      </c>
      <c r="K123" s="37">
        <v>0.04</v>
      </c>
      <c r="L123" s="38">
        <f t="shared" ref="L123:P123" si="56">K123</f>
        <v>0.04</v>
      </c>
      <c r="M123" s="38">
        <f t="shared" si="56"/>
        <v>0.04</v>
      </c>
      <c r="N123" s="38">
        <f t="shared" si="56"/>
        <v>0.04</v>
      </c>
      <c r="O123" s="38">
        <f t="shared" si="56"/>
        <v>0.04</v>
      </c>
      <c r="P123" s="38">
        <f t="shared" si="56"/>
        <v>0.04</v>
      </c>
    </row>
    <row r="124" ht="15.75" customHeight="1">
      <c r="A124" s="1" t="s">
        <v>12</v>
      </c>
      <c r="B124" s="35">
        <f t="shared" ref="B124:J124" si="57">B13/B$3</f>
        <v>0.1422097211</v>
      </c>
      <c r="C124" s="35">
        <f t="shared" si="57"/>
        <v>0.1281927003</v>
      </c>
      <c r="D124" s="35">
        <f t="shared" si="57"/>
        <v>0.1252433924</v>
      </c>
      <c r="E124" s="35">
        <f t="shared" si="57"/>
        <v>0.1434229712</v>
      </c>
      <c r="F124" s="35">
        <f t="shared" si="57"/>
        <v>0.1571451229</v>
      </c>
      <c r="G124" s="35">
        <f t="shared" si="57"/>
        <v>0.1540030126</v>
      </c>
      <c r="H124" s="35">
        <f t="shared" si="57"/>
        <v>0.1434702671</v>
      </c>
      <c r="I124" s="35">
        <f t="shared" si="57"/>
        <v>0.123951629</v>
      </c>
      <c r="J124" s="35">
        <f t="shared" si="57"/>
        <v>0.1237157951</v>
      </c>
      <c r="K124" s="38">
        <f t="shared" ref="K124:P124" si="58">J124</f>
        <v>0.1237157951</v>
      </c>
      <c r="L124" s="38">
        <f t="shared" si="58"/>
        <v>0.1237157951</v>
      </c>
      <c r="M124" s="38">
        <f t="shared" si="58"/>
        <v>0.1237157951</v>
      </c>
      <c r="N124" s="38">
        <f t="shared" si="58"/>
        <v>0.1237157951</v>
      </c>
      <c r="O124" s="38">
        <f t="shared" si="58"/>
        <v>0.1237157951</v>
      </c>
      <c r="P124" s="38">
        <f t="shared" si="58"/>
        <v>0.1237157951</v>
      </c>
    </row>
    <row r="125" ht="15.75" customHeight="1">
      <c r="A125" s="1" t="s">
        <v>85</v>
      </c>
      <c r="B125" s="35">
        <f t="shared" ref="B125:J125" si="59">B14/B$3</f>
        <v>-0.001055002059</v>
      </c>
      <c r="C125" s="35">
        <f t="shared" si="59"/>
        <v>-0.001521627378</v>
      </c>
      <c r="D125" s="35">
        <f t="shared" si="59"/>
        <v>-0.00124170837</v>
      </c>
      <c r="E125" s="35">
        <f t="shared" si="59"/>
        <v>-0.001418637481</v>
      </c>
      <c r="F125" s="35">
        <f t="shared" si="59"/>
        <v>-0.001608511763</v>
      </c>
      <c r="G125" s="35">
        <f t="shared" si="59"/>
        <v>-0.001034502359</v>
      </c>
      <c r="H125" s="35">
        <f t="shared" si="59"/>
        <v>-0.001635914493</v>
      </c>
      <c r="I125" s="35">
        <f t="shared" si="59"/>
        <v>-0.001321680028</v>
      </c>
      <c r="J125" s="35">
        <f t="shared" si="59"/>
        <v>-0.001837750655</v>
      </c>
      <c r="K125" s="38">
        <f t="shared" ref="K125:P125" si="60">J125</f>
        <v>-0.001837750655</v>
      </c>
      <c r="L125" s="38">
        <f t="shared" si="60"/>
        <v>-0.001837750655</v>
      </c>
      <c r="M125" s="38">
        <f t="shared" si="60"/>
        <v>-0.001837750655</v>
      </c>
      <c r="N125" s="38">
        <f t="shared" si="60"/>
        <v>-0.001837750655</v>
      </c>
      <c r="O125" s="38">
        <f t="shared" si="60"/>
        <v>-0.001837750655</v>
      </c>
      <c r="P125" s="38">
        <f t="shared" si="60"/>
        <v>-0.001837750655</v>
      </c>
    </row>
    <row r="126" ht="15.75" customHeight="1">
      <c r="A126" s="5"/>
    </row>
    <row r="127" ht="15.75" customHeight="1">
      <c r="A127" s="5"/>
    </row>
    <row r="128" ht="15.75" customHeight="1">
      <c r="A128" s="18" t="s">
        <v>86</v>
      </c>
    </row>
    <row r="129" ht="15.75" customHeight="1">
      <c r="A129" s="5"/>
    </row>
    <row r="130" ht="15.75" customHeight="1">
      <c r="A130" s="1" t="s">
        <v>5</v>
      </c>
    </row>
    <row r="131" ht="15.75" customHeight="1">
      <c r="A131" s="1" t="s">
        <v>6</v>
      </c>
    </row>
    <row r="132" ht="15.75" customHeight="1">
      <c r="A132" s="1" t="s">
        <v>8</v>
      </c>
    </row>
    <row r="133" ht="15.75" customHeight="1">
      <c r="A133" s="1" t="s">
        <v>10</v>
      </c>
    </row>
    <row r="134" ht="15.75" customHeight="1">
      <c r="A134" s="1" t="s">
        <v>12</v>
      </c>
    </row>
    <row r="135" ht="15.75" customHeight="1">
      <c r="A135" s="1" t="s">
        <v>85</v>
      </c>
    </row>
    <row r="136" ht="15.75" customHeight="1">
      <c r="A136" s="5"/>
    </row>
    <row r="137" ht="15.75" customHeight="1">
      <c r="A137" s="1" t="s">
        <v>83</v>
      </c>
    </row>
    <row r="138" ht="15.75" customHeight="1">
      <c r="A138" s="1" t="s">
        <v>5</v>
      </c>
    </row>
    <row r="139" ht="15.75" customHeight="1">
      <c r="A139" s="1" t="s">
        <v>6</v>
      </c>
    </row>
    <row r="140" ht="15.75" customHeight="1">
      <c r="A140" s="1" t="s">
        <v>8</v>
      </c>
    </row>
    <row r="141" ht="15.75" customHeight="1">
      <c r="A141" s="1" t="s">
        <v>10</v>
      </c>
    </row>
    <row r="142" ht="15.75" customHeight="1">
      <c r="A142" s="1" t="s">
        <v>12</v>
      </c>
    </row>
    <row r="143" ht="15.75" customHeight="1">
      <c r="A143" s="1" t="s">
        <v>85</v>
      </c>
    </row>
    <row r="144" ht="15.75" customHeight="1">
      <c r="A144" s="5"/>
    </row>
    <row r="145" ht="15.75" customHeight="1">
      <c r="A145" s="5"/>
    </row>
    <row r="146" ht="15.75" customHeight="1">
      <c r="A146" s="5"/>
    </row>
    <row r="147" ht="15.75" customHeight="1">
      <c r="A147" s="18" t="s">
        <v>87</v>
      </c>
    </row>
    <row r="148" ht="15.75" customHeight="1">
      <c r="A148" s="5"/>
    </row>
    <row r="149" ht="15.75" customHeight="1">
      <c r="A149" s="5" t="s">
        <v>60</v>
      </c>
    </row>
    <row r="150" ht="15.75" customHeight="1">
      <c r="A150" s="16" t="s">
        <v>61</v>
      </c>
    </row>
    <row r="151" ht="15.75" customHeight="1">
      <c r="A151" s="16" t="s">
        <v>62</v>
      </c>
    </row>
    <row r="152" ht="15.75" customHeight="1">
      <c r="A152" s="16" t="s">
        <v>64</v>
      </c>
    </row>
    <row r="153" ht="15.75" customHeight="1">
      <c r="A153" s="16" t="s">
        <v>65</v>
      </c>
    </row>
    <row r="154" ht="15.75" customHeight="1">
      <c r="A154" s="16" t="s">
        <v>66</v>
      </c>
    </row>
    <row r="155" ht="15.75" customHeight="1">
      <c r="A155" s="1" t="s">
        <v>57</v>
      </c>
    </row>
    <row r="156" ht="15.75" customHeight="1">
      <c r="A156" s="5"/>
    </row>
    <row r="157" ht="15.75" customHeight="1">
      <c r="A157" s="5" t="s">
        <v>42</v>
      </c>
    </row>
    <row r="158" ht="15.75" customHeight="1">
      <c r="A158" s="1" t="s">
        <v>43</v>
      </c>
    </row>
    <row r="159" ht="15.75" customHeight="1">
      <c r="A159" s="1" t="s">
        <v>44</v>
      </c>
    </row>
    <row r="160" ht="15.75" customHeight="1">
      <c r="A160" s="1" t="s">
        <v>45</v>
      </c>
    </row>
    <row r="161" ht="15.75" customHeight="1">
      <c r="A161" s="1" t="s">
        <v>46</v>
      </c>
    </row>
    <row r="162" ht="15.75" customHeight="1">
      <c r="A162" s="1" t="s">
        <v>47</v>
      </c>
    </row>
    <row r="163" ht="15.75" customHeight="1">
      <c r="A163" s="1" t="s">
        <v>48</v>
      </c>
    </row>
    <row r="164" ht="15.75" customHeight="1">
      <c r="A164" s="5"/>
    </row>
    <row r="165" ht="15.75" customHeight="1">
      <c r="A165" s="1" t="s">
        <v>88</v>
      </c>
    </row>
    <row r="166" ht="15.75" customHeight="1">
      <c r="A166" s="5"/>
    </row>
    <row r="167" ht="15.75" customHeight="1">
      <c r="A167" s="18" t="s">
        <v>89</v>
      </c>
    </row>
    <row r="168" ht="15.75" customHeight="1">
      <c r="A168" s="5" t="s">
        <v>60</v>
      </c>
    </row>
    <row r="169" ht="15.75" customHeight="1">
      <c r="A169" s="16" t="s">
        <v>61</v>
      </c>
    </row>
    <row r="170" ht="15.75" customHeight="1">
      <c r="A170" s="16" t="s">
        <v>62</v>
      </c>
    </row>
    <row r="171" ht="15.75" customHeight="1">
      <c r="A171" s="16" t="s">
        <v>64</v>
      </c>
    </row>
    <row r="172" ht="15.75" customHeight="1">
      <c r="A172" s="16" t="s">
        <v>65</v>
      </c>
    </row>
    <row r="173" ht="15.75" customHeight="1">
      <c r="A173" s="16" t="s">
        <v>66</v>
      </c>
    </row>
    <row r="174" ht="15.75" customHeight="1">
      <c r="A174" s="1" t="s">
        <v>57</v>
      </c>
    </row>
    <row r="175" ht="15.75" customHeight="1">
      <c r="A175" s="5"/>
    </row>
    <row r="176" ht="15.75" customHeight="1">
      <c r="A176" s="5" t="s">
        <v>42</v>
      </c>
    </row>
    <row r="177" ht="15.75" customHeight="1">
      <c r="A177" s="1" t="s">
        <v>43</v>
      </c>
    </row>
    <row r="178" ht="15.75" customHeight="1">
      <c r="A178" s="1" t="s">
        <v>44</v>
      </c>
    </row>
    <row r="179" ht="15.75" customHeight="1">
      <c r="A179" s="1" t="s">
        <v>45</v>
      </c>
    </row>
    <row r="180" ht="15.75" customHeight="1">
      <c r="A180" s="1" t="s">
        <v>46</v>
      </c>
    </row>
    <row r="181" ht="15.75" customHeight="1">
      <c r="A181" s="1" t="s">
        <v>47</v>
      </c>
    </row>
    <row r="182" ht="15.75" customHeight="1">
      <c r="A182" s="1" t="s">
        <v>48</v>
      </c>
    </row>
    <row r="183" ht="15.75" customHeight="1">
      <c r="A183" s="5"/>
    </row>
    <row r="184" ht="15.75" customHeight="1">
      <c r="A184" s="1" t="s">
        <v>90</v>
      </c>
    </row>
    <row r="185" ht="15.75" customHeight="1">
      <c r="A185" s="1" t="s">
        <v>91</v>
      </c>
    </row>
    <row r="186" ht="15.75" customHeight="1">
      <c r="A186" s="5"/>
    </row>
    <row r="187" ht="15.75" customHeight="1">
      <c r="A187" s="5"/>
    </row>
    <row r="188" ht="15.75" customHeight="1">
      <c r="A188" s="5"/>
    </row>
    <row r="189" ht="15.75" customHeight="1">
      <c r="A189" s="18" t="s">
        <v>92</v>
      </c>
    </row>
    <row r="190" ht="15.75" customHeight="1">
      <c r="A190" s="5" t="s">
        <v>93</v>
      </c>
    </row>
    <row r="191" ht="15.75" customHeight="1">
      <c r="A191" s="5" t="s">
        <v>94</v>
      </c>
    </row>
    <row r="192" ht="15.75" customHeight="1">
      <c r="A192" s="5" t="s">
        <v>49</v>
      </c>
    </row>
    <row r="193" ht="15.75" customHeight="1">
      <c r="A193" s="5"/>
    </row>
    <row r="194" ht="15.75" customHeight="1">
      <c r="A194" s="5" t="s">
        <v>95</v>
      </c>
    </row>
    <row r="195" ht="15.75" customHeight="1">
      <c r="A195" s="5"/>
    </row>
    <row r="196" ht="15.75" customHeight="1">
      <c r="A196" s="5" t="s">
        <v>96</v>
      </c>
    </row>
    <row r="197" ht="15.75" customHeight="1">
      <c r="A197" s="5" t="s">
        <v>97</v>
      </c>
    </row>
    <row r="198" ht="15.75" customHeight="1">
      <c r="A198" s="5" t="s">
        <v>98</v>
      </c>
    </row>
    <row r="199" ht="15.75" customHeight="1">
      <c r="A199" s="5"/>
    </row>
    <row r="200" ht="15.75" customHeight="1">
      <c r="A200" s="5" t="s">
        <v>99</v>
      </c>
    </row>
    <row r="201" ht="15.75" customHeight="1">
      <c r="A201" s="5" t="s">
        <v>100</v>
      </c>
    </row>
    <row r="202" ht="15.75" customHeight="1">
      <c r="A202" s="1"/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29" t="s">
        <v>107</v>
      </c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  <c r="Q1" s="42">
        <f t="shared" ref="Q1:V1" si="2">P1+1</f>
        <v>2031</v>
      </c>
      <c r="R1" s="42">
        <f t="shared" si="2"/>
        <v>2032</v>
      </c>
      <c r="S1" s="42">
        <f t="shared" si="2"/>
        <v>2033</v>
      </c>
      <c r="T1" s="42">
        <f t="shared" si="2"/>
        <v>2034</v>
      </c>
      <c r="U1" s="42">
        <f t="shared" si="2"/>
        <v>2035</v>
      </c>
      <c r="V1" s="42">
        <f t="shared" si="2"/>
        <v>2036</v>
      </c>
      <c r="W1" s="42" t="s">
        <v>108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  <c r="K3" s="25">
        <f t="shared" ref="K3:P3" si="3">K100*K120/10^6</f>
        <v>1745621.281</v>
      </c>
      <c r="L3" s="25">
        <f t="shared" si="3"/>
        <v>2039535.594</v>
      </c>
      <c r="M3" s="25">
        <f t="shared" si="3"/>
        <v>2383801.008</v>
      </c>
      <c r="N3" s="25">
        <f t="shared" si="3"/>
        <v>2787144.105</v>
      </c>
      <c r="O3" s="25">
        <f t="shared" si="3"/>
        <v>3259815.476</v>
      </c>
      <c r="P3" s="25">
        <f t="shared" si="3"/>
        <v>3813857.181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  <c r="K4" s="43">
        <v>20000.0</v>
      </c>
      <c r="L4" s="44">
        <f t="shared" ref="L4:P4" si="4">K4</f>
        <v>20000</v>
      </c>
      <c r="M4" s="44">
        <f t="shared" si="4"/>
        <v>20000</v>
      </c>
      <c r="N4" s="44">
        <f t="shared" si="4"/>
        <v>20000</v>
      </c>
      <c r="O4" s="44">
        <f t="shared" si="4"/>
        <v>20000</v>
      </c>
      <c r="P4" s="44">
        <f t="shared" si="4"/>
        <v>20000</v>
      </c>
    </row>
    <row r="5" ht="15.75" customHeight="1">
      <c r="A5" s="7"/>
    </row>
    <row r="6" ht="15.75" customHeight="1">
      <c r="A6" s="8" t="s">
        <v>3</v>
      </c>
      <c r="B6" s="9">
        <f t="shared" ref="B6:P6" si="5">SUM(B3:B4)</f>
        <v>586120</v>
      </c>
      <c r="C6" s="9">
        <f t="shared" si="5"/>
        <v>703746</v>
      </c>
      <c r="D6" s="9">
        <f t="shared" si="5"/>
        <v>818552</v>
      </c>
      <c r="E6" s="9">
        <f t="shared" si="5"/>
        <v>886301</v>
      </c>
      <c r="F6" s="9">
        <f t="shared" si="5"/>
        <v>789944</v>
      </c>
      <c r="G6" s="9">
        <f t="shared" si="5"/>
        <v>733083</v>
      </c>
      <c r="H6" s="9">
        <f t="shared" si="5"/>
        <v>900745</v>
      </c>
      <c r="I6" s="9">
        <f t="shared" si="5"/>
        <v>1206746</v>
      </c>
      <c r="J6" s="9">
        <f t="shared" si="5"/>
        <v>1459517</v>
      </c>
      <c r="K6" s="9">
        <f t="shared" si="5"/>
        <v>1765621.281</v>
      </c>
      <c r="L6" s="9">
        <f t="shared" si="5"/>
        <v>2059535.594</v>
      </c>
      <c r="M6" s="9">
        <f t="shared" si="5"/>
        <v>2403801.008</v>
      </c>
      <c r="N6" s="9">
        <f t="shared" si="5"/>
        <v>2807144.105</v>
      </c>
      <c r="O6" s="9">
        <f t="shared" si="5"/>
        <v>3279815.476</v>
      </c>
      <c r="P6" s="9">
        <f t="shared" si="5"/>
        <v>3833857.181</v>
      </c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  <c r="K9" s="25">
        <f t="shared" ref="K9:P9" si="6">K$3*K125</f>
        <v>1047372.768</v>
      </c>
      <c r="L9" s="25">
        <f t="shared" si="6"/>
        <v>1223721.356</v>
      </c>
      <c r="M9" s="25">
        <f t="shared" si="6"/>
        <v>1430280.605</v>
      </c>
      <c r="N9" s="25">
        <f t="shared" si="6"/>
        <v>1672286.463</v>
      </c>
      <c r="O9" s="25">
        <f t="shared" si="6"/>
        <v>1955889.286</v>
      </c>
      <c r="P9" s="25">
        <f t="shared" si="6"/>
        <v>2288314.309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  <c r="K10" s="25">
        <f t="shared" ref="K10:P10" si="7">K$3*K126</f>
        <v>139649.7024</v>
      </c>
      <c r="L10" s="25">
        <f t="shared" si="7"/>
        <v>163162.8475</v>
      </c>
      <c r="M10" s="25">
        <f t="shared" si="7"/>
        <v>190704.0806</v>
      </c>
      <c r="N10" s="25">
        <f t="shared" si="7"/>
        <v>222971.5284</v>
      </c>
      <c r="O10" s="25">
        <f t="shared" si="7"/>
        <v>260785.2381</v>
      </c>
      <c r="P10" s="25">
        <f t="shared" si="7"/>
        <v>305108.5745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  <c r="K11" s="25">
        <f t="shared" ref="K11:P11" si="8">K$3*K127</f>
        <v>-4658.822802</v>
      </c>
      <c r="L11" s="25">
        <f t="shared" si="8"/>
        <v>-5443.239628</v>
      </c>
      <c r="M11" s="25">
        <f t="shared" si="8"/>
        <v>-6362.036607</v>
      </c>
      <c r="N11" s="25">
        <f t="shared" si="8"/>
        <v>-7438.503788</v>
      </c>
      <c r="O11" s="25">
        <f t="shared" si="8"/>
        <v>-8699.998584</v>
      </c>
      <c r="P11" s="25">
        <f t="shared" si="8"/>
        <v>-10178.6596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  <c r="K12" s="25">
        <f t="shared" ref="K12:P12" si="9">K$3*K128</f>
        <v>69824.85122</v>
      </c>
      <c r="L12" s="25">
        <f t="shared" si="9"/>
        <v>81581.42375</v>
      </c>
      <c r="M12" s="25">
        <f t="shared" si="9"/>
        <v>95352.0403</v>
      </c>
      <c r="N12" s="25">
        <f t="shared" si="9"/>
        <v>111485.7642</v>
      </c>
      <c r="O12" s="25">
        <f t="shared" si="9"/>
        <v>130392.619</v>
      </c>
      <c r="P12" s="25">
        <f t="shared" si="9"/>
        <v>152554.2873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  <c r="K13" s="25">
        <f t="shared" ref="K13:P13" si="10">K$3*K129</f>
        <v>215960.9246</v>
      </c>
      <c r="L13" s="25">
        <f t="shared" si="10"/>
        <v>252322.7675</v>
      </c>
      <c r="M13" s="25">
        <f t="shared" si="10"/>
        <v>294913.8369</v>
      </c>
      <c r="N13" s="25">
        <f t="shared" si="10"/>
        <v>344813.7489</v>
      </c>
      <c r="O13" s="25">
        <f t="shared" si="10"/>
        <v>403290.6634</v>
      </c>
      <c r="P13" s="25">
        <f t="shared" si="10"/>
        <v>471834.3735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  <c r="K14" s="25">
        <f t="shared" ref="K14:P14" si="11">K$3*K130</f>
        <v>-3208.016652</v>
      </c>
      <c r="L14" s="25">
        <f t="shared" si="11"/>
        <v>-3748.157874</v>
      </c>
      <c r="M14" s="25">
        <f t="shared" si="11"/>
        <v>-4380.831864</v>
      </c>
      <c r="N14" s="25">
        <f t="shared" si="11"/>
        <v>-5122.075905</v>
      </c>
      <c r="O14" s="25">
        <f t="shared" si="11"/>
        <v>-5990.728027</v>
      </c>
      <c r="P14" s="25">
        <f t="shared" si="11"/>
        <v>-7008.918534</v>
      </c>
    </row>
    <row r="15" ht="15.75" customHeight="1">
      <c r="A15" s="7"/>
    </row>
    <row r="16" ht="15.75" customHeight="1">
      <c r="A16" s="45" t="s">
        <v>109</v>
      </c>
      <c r="B16" s="9">
        <f t="shared" ref="B16:P16" si="12">SUM(B9:B14)</f>
        <v>494932</v>
      </c>
      <c r="C16" s="9">
        <f t="shared" si="12"/>
        <v>577269</v>
      </c>
      <c r="D16" s="9">
        <f t="shared" si="12"/>
        <v>677460</v>
      </c>
      <c r="E16" s="9">
        <f t="shared" si="12"/>
        <v>750653</v>
      </c>
      <c r="F16" s="9">
        <f t="shared" si="12"/>
        <v>683474</v>
      </c>
      <c r="G16" s="9">
        <f t="shared" si="12"/>
        <v>650204</v>
      </c>
      <c r="H16" s="9">
        <f t="shared" si="12"/>
        <v>826236</v>
      </c>
      <c r="I16" s="9">
        <f t="shared" si="12"/>
        <v>1053155</v>
      </c>
      <c r="J16" s="9">
        <f t="shared" si="12"/>
        <v>1233319</v>
      </c>
      <c r="K16" s="9">
        <f t="shared" si="12"/>
        <v>1464941.407</v>
      </c>
      <c r="L16" s="9">
        <f t="shared" si="12"/>
        <v>1711596.997</v>
      </c>
      <c r="M16" s="9">
        <f t="shared" si="12"/>
        <v>2000507.694</v>
      </c>
      <c r="N16" s="9">
        <f t="shared" si="12"/>
        <v>2338996.925</v>
      </c>
      <c r="O16" s="9">
        <f t="shared" si="12"/>
        <v>2735667.079</v>
      </c>
      <c r="P16" s="9">
        <f t="shared" si="12"/>
        <v>3200623.966</v>
      </c>
    </row>
    <row r="17" ht="15.75" customHeight="1">
      <c r="A17" s="7"/>
    </row>
    <row r="18" ht="15.75" customHeight="1">
      <c r="A18" s="4" t="s">
        <v>15</v>
      </c>
      <c r="B18" s="23">
        <f t="shared" ref="B18:P18" si="13">B6-B16</f>
        <v>91188</v>
      </c>
      <c r="C18" s="23">
        <f t="shared" si="13"/>
        <v>126477</v>
      </c>
      <c r="D18" s="23">
        <f t="shared" si="13"/>
        <v>141092</v>
      </c>
      <c r="E18" s="23">
        <f t="shared" si="13"/>
        <v>135648</v>
      </c>
      <c r="F18" s="23">
        <f t="shared" si="13"/>
        <v>106470</v>
      </c>
      <c r="G18" s="23">
        <f t="shared" si="13"/>
        <v>82879</v>
      </c>
      <c r="H18" s="23">
        <f t="shared" si="13"/>
        <v>74509</v>
      </c>
      <c r="I18" s="23">
        <f t="shared" si="13"/>
        <v>153591</v>
      </c>
      <c r="J18" s="23">
        <f t="shared" si="13"/>
        <v>226198</v>
      </c>
      <c r="K18" s="23">
        <f t="shared" si="13"/>
        <v>300679.8734</v>
      </c>
      <c r="L18" s="23">
        <f t="shared" si="13"/>
        <v>347938.5962</v>
      </c>
      <c r="M18" s="23">
        <f t="shared" si="13"/>
        <v>403293.3137</v>
      </c>
      <c r="N18" s="23">
        <f t="shared" si="13"/>
        <v>468147.1802</v>
      </c>
      <c r="O18" s="23">
        <f t="shared" si="13"/>
        <v>544148.3965</v>
      </c>
      <c r="P18" s="23">
        <f t="shared" si="13"/>
        <v>633233.2155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  <c r="K20" s="44">
        <f t="shared" ref="K20:P20" si="14">K203</f>
        <v>61200</v>
      </c>
      <c r="L20" s="44">
        <f t="shared" si="14"/>
        <v>68400</v>
      </c>
      <c r="M20" s="44">
        <f t="shared" si="14"/>
        <v>75600</v>
      </c>
      <c r="N20" s="44">
        <f t="shared" si="14"/>
        <v>82800</v>
      </c>
      <c r="O20" s="44">
        <f t="shared" si="14"/>
        <v>90000</v>
      </c>
      <c r="P20" s="44">
        <f t="shared" si="14"/>
        <v>97200</v>
      </c>
    </row>
    <row r="21" ht="15.75" customHeight="1">
      <c r="A21" s="7"/>
    </row>
    <row r="22" ht="15.75" customHeight="1">
      <c r="A22" s="4" t="s">
        <v>18</v>
      </c>
      <c r="B22" s="23">
        <f t="shared" ref="B22:P22" si="15">B18-B20</f>
        <v>62518</v>
      </c>
      <c r="C22" s="23">
        <f t="shared" si="15"/>
        <v>100438</v>
      </c>
      <c r="D22" s="23">
        <f t="shared" si="15"/>
        <v>113494</v>
      </c>
      <c r="E22" s="23">
        <f t="shared" si="15"/>
        <v>105440</v>
      </c>
      <c r="F22" s="23">
        <f t="shared" si="15"/>
        <v>71186</v>
      </c>
      <c r="G22" s="23">
        <f t="shared" si="15"/>
        <v>52538</v>
      </c>
      <c r="H22" s="23">
        <f t="shared" si="15"/>
        <v>46619</v>
      </c>
      <c r="I22" s="23">
        <f t="shared" si="15"/>
        <v>105131</v>
      </c>
      <c r="J22" s="23">
        <f t="shared" si="15"/>
        <v>173640</v>
      </c>
      <c r="K22" s="23">
        <f t="shared" si="15"/>
        <v>239479.8734</v>
      </c>
      <c r="L22" s="23">
        <f t="shared" si="15"/>
        <v>279538.5962</v>
      </c>
      <c r="M22" s="23">
        <f t="shared" si="15"/>
        <v>327693.3137</v>
      </c>
      <c r="N22" s="23">
        <f t="shared" si="15"/>
        <v>385347.1802</v>
      </c>
      <c r="O22" s="23">
        <f t="shared" si="15"/>
        <v>454148.3965</v>
      </c>
      <c r="P22" s="23">
        <f t="shared" si="15"/>
        <v>536033.2155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  <c r="K24" s="46">
        <f t="shared" ref="K24:P24" si="16">J24</f>
        <v>1936</v>
      </c>
      <c r="L24" s="46">
        <f t="shared" si="16"/>
        <v>1936</v>
      </c>
      <c r="M24" s="46">
        <f t="shared" si="16"/>
        <v>1936</v>
      </c>
      <c r="N24" s="46">
        <f t="shared" si="16"/>
        <v>1936</v>
      </c>
      <c r="O24" s="46">
        <f t="shared" si="16"/>
        <v>1936</v>
      </c>
      <c r="P24" s="46">
        <f t="shared" si="16"/>
        <v>1936</v>
      </c>
    </row>
    <row r="25" ht="15.75" customHeight="1">
      <c r="A25" s="7"/>
    </row>
    <row r="26" ht="15.75" customHeight="1">
      <c r="A26" s="7" t="s">
        <v>23</v>
      </c>
      <c r="B26" s="6">
        <f t="shared" ref="B26:P26" si="17">B22-B24</f>
        <v>61581</v>
      </c>
      <c r="C26" s="6">
        <f t="shared" si="17"/>
        <v>99544</v>
      </c>
      <c r="D26" s="6">
        <f t="shared" si="17"/>
        <v>110036</v>
      </c>
      <c r="E26" s="6">
        <f t="shared" si="17"/>
        <v>104681</v>
      </c>
      <c r="F26" s="6">
        <f t="shared" si="17"/>
        <v>69844</v>
      </c>
      <c r="G26" s="6">
        <f t="shared" si="17"/>
        <v>51520</v>
      </c>
      <c r="H26" s="6">
        <f t="shared" si="17"/>
        <v>45353</v>
      </c>
      <c r="I26" s="6">
        <f t="shared" si="17"/>
        <v>102608</v>
      </c>
      <c r="J26" s="6">
        <f t="shared" si="17"/>
        <v>171704</v>
      </c>
      <c r="K26" s="6">
        <f t="shared" si="17"/>
        <v>237543.8734</v>
      </c>
      <c r="L26" s="6">
        <f t="shared" si="17"/>
        <v>277602.5962</v>
      </c>
      <c r="M26" s="6">
        <f t="shared" si="17"/>
        <v>325757.3137</v>
      </c>
      <c r="N26" s="6">
        <f t="shared" si="17"/>
        <v>383411.1802</v>
      </c>
      <c r="O26" s="6">
        <f t="shared" si="17"/>
        <v>452212.3965</v>
      </c>
      <c r="P26" s="6">
        <f t="shared" si="17"/>
        <v>534097.2155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  <c r="K27" s="46">
        <f t="shared" ref="K27:P27" si="18">J27</f>
        <v>2669</v>
      </c>
      <c r="L27" s="46">
        <f t="shared" si="18"/>
        <v>2669</v>
      </c>
      <c r="M27" s="46">
        <f t="shared" si="18"/>
        <v>2669</v>
      </c>
      <c r="N27" s="46">
        <f t="shared" si="18"/>
        <v>2669</v>
      </c>
      <c r="O27" s="46">
        <f t="shared" si="18"/>
        <v>2669</v>
      </c>
      <c r="P27" s="46">
        <f t="shared" si="18"/>
        <v>2669</v>
      </c>
    </row>
    <row r="28" ht="15.75" customHeight="1">
      <c r="A28" s="4" t="s">
        <v>25</v>
      </c>
      <c r="B28" s="23">
        <f t="shared" ref="B28:P28" si="19">SUM(B26:B27)</f>
        <v>66296</v>
      </c>
      <c r="C28" s="23">
        <f t="shared" si="19"/>
        <v>101272</v>
      </c>
      <c r="D28" s="23">
        <f t="shared" si="19"/>
        <v>111669</v>
      </c>
      <c r="E28" s="23">
        <f t="shared" si="19"/>
        <v>102651</v>
      </c>
      <c r="F28" s="23">
        <f t="shared" si="19"/>
        <v>65427</v>
      </c>
      <c r="G28" s="23">
        <f t="shared" si="19"/>
        <v>56656</v>
      </c>
      <c r="H28" s="23">
        <f t="shared" si="19"/>
        <v>48482</v>
      </c>
      <c r="I28" s="23">
        <f t="shared" si="19"/>
        <v>103194</v>
      </c>
      <c r="J28" s="23">
        <f t="shared" si="19"/>
        <v>174373</v>
      </c>
      <c r="K28" s="23">
        <f t="shared" si="19"/>
        <v>240212.8734</v>
      </c>
      <c r="L28" s="23">
        <f t="shared" si="19"/>
        <v>280271.5962</v>
      </c>
      <c r="M28" s="23">
        <f t="shared" si="19"/>
        <v>328426.3137</v>
      </c>
      <c r="N28" s="23">
        <f t="shared" si="19"/>
        <v>386080.1802</v>
      </c>
      <c r="O28" s="23">
        <f t="shared" si="19"/>
        <v>454881.3965</v>
      </c>
      <c r="P28" s="23">
        <f t="shared" si="19"/>
        <v>536766.2155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  <c r="K30" s="25">
        <f t="shared" ref="K30:P30" si="20">K28*K31</f>
        <v>72063.86202</v>
      </c>
      <c r="L30" s="25">
        <f t="shared" si="20"/>
        <v>84081.47885</v>
      </c>
      <c r="M30" s="25">
        <f t="shared" si="20"/>
        <v>98527.8941</v>
      </c>
      <c r="N30" s="25">
        <f t="shared" si="20"/>
        <v>115824.054</v>
      </c>
      <c r="O30" s="25">
        <f t="shared" si="20"/>
        <v>136464.4189</v>
      </c>
      <c r="P30" s="25">
        <f t="shared" si="20"/>
        <v>161029.8646</v>
      </c>
    </row>
    <row r="31" ht="15.75" customHeight="1">
      <c r="A31" s="7"/>
      <c r="K31" s="47">
        <v>0.3</v>
      </c>
      <c r="L31" s="26">
        <f t="shared" ref="L31:P31" si="21">K31</f>
        <v>0.3</v>
      </c>
      <c r="M31" s="26">
        <f t="shared" si="21"/>
        <v>0.3</v>
      </c>
      <c r="N31" s="26">
        <f t="shared" si="21"/>
        <v>0.3</v>
      </c>
      <c r="O31" s="26">
        <f t="shared" si="21"/>
        <v>0.3</v>
      </c>
      <c r="P31" s="26">
        <f t="shared" si="21"/>
        <v>0.3</v>
      </c>
    </row>
    <row r="32" ht="15.75" customHeight="1">
      <c r="A32" s="7" t="s">
        <v>27</v>
      </c>
      <c r="B32" s="6">
        <f t="shared" ref="B32:P32" si="22">B28-B30</f>
        <v>46309</v>
      </c>
      <c r="C32" s="6">
        <f t="shared" si="22"/>
        <v>75110</v>
      </c>
      <c r="D32" s="6">
        <f t="shared" si="22"/>
        <v>78807</v>
      </c>
      <c r="E32" s="6">
        <f t="shared" si="22"/>
        <v>72919</v>
      </c>
      <c r="F32" s="6">
        <f t="shared" si="22"/>
        <v>51175</v>
      </c>
      <c r="G32" s="6">
        <f t="shared" si="22"/>
        <v>47337</v>
      </c>
      <c r="H32" s="6">
        <f t="shared" si="22"/>
        <v>40305</v>
      </c>
      <c r="I32" s="6">
        <f t="shared" si="22"/>
        <v>81449</v>
      </c>
      <c r="J32" s="6">
        <f t="shared" si="22"/>
        <v>135010</v>
      </c>
      <c r="K32" s="6">
        <f t="shared" si="22"/>
        <v>168149.0114</v>
      </c>
      <c r="L32" s="6">
        <f t="shared" si="22"/>
        <v>196190.1173</v>
      </c>
      <c r="M32" s="6">
        <f t="shared" si="22"/>
        <v>229898.4196</v>
      </c>
      <c r="N32" s="6">
        <f t="shared" si="22"/>
        <v>270256.1261</v>
      </c>
      <c r="O32" s="6">
        <f t="shared" si="22"/>
        <v>318416.9775</v>
      </c>
      <c r="P32" s="6">
        <f t="shared" si="22"/>
        <v>375736.3508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  <c r="K33" s="48">
        <f t="shared" ref="K33:P33" si="23">J33</f>
        <v>2541</v>
      </c>
      <c r="L33" s="19">
        <f t="shared" si="23"/>
        <v>2541</v>
      </c>
      <c r="M33" s="19">
        <f t="shared" si="23"/>
        <v>2541</v>
      </c>
      <c r="N33" s="19">
        <f t="shared" si="23"/>
        <v>2541</v>
      </c>
      <c r="O33" s="19">
        <f t="shared" si="23"/>
        <v>2541</v>
      </c>
      <c r="P33" s="19">
        <f t="shared" si="23"/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24">B32+B33</f>
        <v>46988</v>
      </c>
      <c r="C36" s="9">
        <f t="shared" si="24"/>
        <v>77326</v>
      </c>
      <c r="D36" s="9">
        <f t="shared" si="24"/>
        <v>82118</v>
      </c>
      <c r="E36" s="9">
        <f>E32+F33</f>
        <v>74103</v>
      </c>
      <c r="F36" s="9">
        <f t="shared" ref="F36:P36" si="25">F32+F33</f>
        <v>52359</v>
      </c>
      <c r="G36" s="9">
        <f t="shared" si="25"/>
        <v>49027</v>
      </c>
      <c r="H36" s="9">
        <f t="shared" si="25"/>
        <v>41924</v>
      </c>
      <c r="I36" s="9">
        <f t="shared" si="25"/>
        <v>83223</v>
      </c>
      <c r="J36" s="9">
        <f t="shared" si="25"/>
        <v>137551</v>
      </c>
      <c r="K36" s="9">
        <f t="shared" si="25"/>
        <v>170690.0114</v>
      </c>
      <c r="L36" s="9">
        <f t="shared" si="25"/>
        <v>198731.1173</v>
      </c>
      <c r="M36" s="9">
        <f t="shared" si="25"/>
        <v>232439.4196</v>
      </c>
      <c r="N36" s="9">
        <f t="shared" si="25"/>
        <v>272797.1261</v>
      </c>
      <c r="O36" s="9">
        <f t="shared" si="25"/>
        <v>320957.9775</v>
      </c>
      <c r="P36" s="9">
        <f t="shared" si="25"/>
        <v>378277.3508</v>
      </c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</row>
    <row r="40" ht="15.75" customHeight="1">
      <c r="A40" s="7"/>
    </row>
    <row r="41" ht="15.75" customHeight="1">
      <c r="A41" s="4" t="s">
        <v>31</v>
      </c>
      <c r="B41" s="27">
        <f t="shared" ref="B41:P41" si="26">SUM(B42:B47)</f>
        <v>306304</v>
      </c>
      <c r="C41" s="27">
        <f t="shared" si="26"/>
        <v>370905</v>
      </c>
      <c r="D41" s="27">
        <f t="shared" si="26"/>
        <v>425755</v>
      </c>
      <c r="E41" s="27">
        <f t="shared" si="26"/>
        <v>471097</v>
      </c>
      <c r="F41" s="27">
        <f t="shared" si="26"/>
        <v>494322</v>
      </c>
      <c r="G41" s="27">
        <f t="shared" si="26"/>
        <v>525006</v>
      </c>
      <c r="H41" s="27">
        <f t="shared" si="26"/>
        <v>553335</v>
      </c>
      <c r="I41" s="27">
        <f t="shared" si="26"/>
        <v>746002</v>
      </c>
      <c r="J41" s="27">
        <f t="shared" si="26"/>
        <v>856360</v>
      </c>
      <c r="K41" s="27">
        <f t="shared" si="26"/>
        <v>1027050.011</v>
      </c>
      <c r="L41" s="27">
        <f t="shared" si="26"/>
        <v>1225781.129</v>
      </c>
      <c r="M41" s="27">
        <f t="shared" si="26"/>
        <v>1458220.548</v>
      </c>
      <c r="N41" s="27">
        <f t="shared" si="26"/>
        <v>1731017.674</v>
      </c>
      <c r="O41" s="27">
        <f t="shared" si="26"/>
        <v>2051975.652</v>
      </c>
      <c r="P41" s="27">
        <f t="shared" si="26"/>
        <v>2430253.003</v>
      </c>
    </row>
    <row r="42" ht="15.75" customHeight="1">
      <c r="A42" s="1" t="s">
        <v>32</v>
      </c>
      <c r="B42" s="49">
        <v>1510.0</v>
      </c>
      <c r="C42" s="49">
        <v>1510.0</v>
      </c>
      <c r="D42" s="49">
        <v>1510.0</v>
      </c>
      <c r="E42" s="49">
        <v>1510.0</v>
      </c>
      <c r="F42" s="49">
        <v>1510.0</v>
      </c>
      <c r="G42" s="49">
        <v>1510.0</v>
      </c>
      <c r="H42" s="49">
        <v>1510.0</v>
      </c>
      <c r="I42" s="49">
        <v>1572.0</v>
      </c>
      <c r="J42" s="49">
        <v>1572.0</v>
      </c>
      <c r="K42" s="50">
        <f t="shared" ref="K42:P42" si="27">J42</f>
        <v>1572</v>
      </c>
      <c r="L42" s="50">
        <f t="shared" si="27"/>
        <v>1572</v>
      </c>
      <c r="M42" s="50">
        <f t="shared" si="27"/>
        <v>1572</v>
      </c>
      <c r="N42" s="50">
        <f t="shared" si="27"/>
        <v>1572</v>
      </c>
      <c r="O42" s="50">
        <f t="shared" si="27"/>
        <v>1572</v>
      </c>
      <c r="P42" s="50">
        <f t="shared" si="27"/>
        <v>1572</v>
      </c>
    </row>
    <row r="43" ht="15.75" customHeight="1">
      <c r="A43" s="1" t="s">
        <v>33</v>
      </c>
      <c r="B43" s="49">
        <v>304650.0</v>
      </c>
      <c r="C43" s="49">
        <v>369241.0</v>
      </c>
      <c r="D43" s="49">
        <v>424084.0</v>
      </c>
      <c r="E43" s="49">
        <v>469411.0</v>
      </c>
      <c r="F43" s="49">
        <v>492620.0</v>
      </c>
      <c r="G43" s="49">
        <v>523496.0</v>
      </c>
      <c r="H43" s="49">
        <v>551825.0</v>
      </c>
      <c r="I43" s="49">
        <v>744430.0</v>
      </c>
      <c r="J43" s="49">
        <v>854788.0</v>
      </c>
      <c r="K43" s="19">
        <f t="shared" ref="K43:P43" si="28">J43+K36</f>
        <v>1025478.011</v>
      </c>
      <c r="L43" s="19">
        <f t="shared" si="28"/>
        <v>1224209.129</v>
      </c>
      <c r="M43" s="19">
        <f t="shared" si="28"/>
        <v>1456648.548</v>
      </c>
      <c r="N43" s="19">
        <f t="shared" si="28"/>
        <v>1729445.674</v>
      </c>
      <c r="O43" s="19">
        <f t="shared" si="28"/>
        <v>2050403.652</v>
      </c>
      <c r="P43" s="19">
        <f t="shared" si="28"/>
        <v>2428681.003</v>
      </c>
    </row>
    <row r="44" ht="15.75" customHeight="1">
      <c r="A44" s="1" t="s">
        <v>34</v>
      </c>
      <c r="B44" s="49">
        <v>0.0</v>
      </c>
      <c r="C44" s="49">
        <v>0.0</v>
      </c>
      <c r="D44" s="49">
        <v>0.0</v>
      </c>
      <c r="E44" s="49">
        <v>0.0</v>
      </c>
      <c r="F44" s="49">
        <v>0.0</v>
      </c>
      <c r="G44" s="49">
        <v>0.0</v>
      </c>
      <c r="H44" s="49">
        <v>0.0</v>
      </c>
      <c r="I44" s="49">
        <v>0.0</v>
      </c>
      <c r="J44" s="49">
        <v>0.0</v>
      </c>
      <c r="K44" s="19">
        <f t="shared" ref="K44:P44" si="29">J44</f>
        <v>0</v>
      </c>
      <c r="L44" s="19">
        <f t="shared" si="29"/>
        <v>0</v>
      </c>
      <c r="M44" s="19">
        <f t="shared" si="29"/>
        <v>0</v>
      </c>
      <c r="N44" s="19">
        <f t="shared" si="29"/>
        <v>0</v>
      </c>
      <c r="O44" s="19">
        <f t="shared" si="29"/>
        <v>0</v>
      </c>
      <c r="P44" s="19">
        <f t="shared" si="29"/>
        <v>0</v>
      </c>
    </row>
    <row r="45" ht="15.75" customHeight="1">
      <c r="A45" s="7"/>
      <c r="B45" s="51"/>
      <c r="C45" s="51"/>
      <c r="D45" s="51"/>
      <c r="E45" s="51"/>
      <c r="F45" s="51"/>
      <c r="G45" s="51"/>
      <c r="H45" s="51"/>
      <c r="I45" s="51"/>
      <c r="J45" s="51"/>
    </row>
    <row r="46" ht="15.75" customHeight="1">
      <c r="A46" s="7" t="s">
        <v>35</v>
      </c>
      <c r="B46" s="49">
        <v>144.0</v>
      </c>
      <c r="C46" s="49">
        <v>154.0</v>
      </c>
      <c r="D46" s="49">
        <v>161.0</v>
      </c>
      <c r="E46" s="49">
        <v>176.0</v>
      </c>
      <c r="F46" s="49">
        <v>192.0</v>
      </c>
      <c r="G46" s="49">
        <v>0.0</v>
      </c>
      <c r="H46" s="49">
        <v>0.0</v>
      </c>
      <c r="I46" s="49">
        <v>0.0</v>
      </c>
      <c r="J46" s="49">
        <v>0.0</v>
      </c>
      <c r="K46" s="19">
        <f t="shared" ref="K46:P46" si="30">J46</f>
        <v>0</v>
      </c>
      <c r="L46" s="19">
        <f t="shared" si="30"/>
        <v>0</v>
      </c>
      <c r="M46" s="19">
        <f t="shared" si="30"/>
        <v>0</v>
      </c>
      <c r="N46" s="19">
        <f t="shared" si="30"/>
        <v>0</v>
      </c>
      <c r="O46" s="19">
        <f t="shared" si="30"/>
        <v>0</v>
      </c>
      <c r="P46" s="19">
        <f t="shared" si="30"/>
        <v>0</v>
      </c>
    </row>
    <row r="47" ht="15.75" customHeight="1">
      <c r="A47" s="7" t="s">
        <v>36</v>
      </c>
      <c r="B47" s="49">
        <v>0.0</v>
      </c>
      <c r="C47" s="49">
        <v>0.0</v>
      </c>
      <c r="D47" s="49">
        <v>0.0</v>
      </c>
      <c r="E47" s="49">
        <v>0.0</v>
      </c>
      <c r="F47" s="49">
        <v>0.0</v>
      </c>
      <c r="G47" s="49">
        <v>0.0</v>
      </c>
      <c r="H47" s="49">
        <v>0.0</v>
      </c>
      <c r="I47" s="49">
        <v>0.0</v>
      </c>
      <c r="J47" s="49">
        <v>0.0</v>
      </c>
      <c r="K47" s="19">
        <f t="shared" ref="K47:P47" si="31">J47</f>
        <v>0</v>
      </c>
      <c r="L47" s="19">
        <f t="shared" si="31"/>
        <v>0</v>
      </c>
      <c r="M47" s="19">
        <f t="shared" si="31"/>
        <v>0</v>
      </c>
      <c r="N47" s="19">
        <f t="shared" si="31"/>
        <v>0</v>
      </c>
      <c r="O47" s="19">
        <f t="shared" si="31"/>
        <v>0</v>
      </c>
      <c r="P47" s="19">
        <f t="shared" si="31"/>
        <v>0</v>
      </c>
    </row>
    <row r="48" ht="15.75" customHeight="1">
      <c r="A48" s="7"/>
    </row>
    <row r="49" ht="15.75" customHeight="1">
      <c r="A49" s="4" t="s">
        <v>37</v>
      </c>
      <c r="B49" s="27">
        <f t="shared" ref="B49:P49" si="32">SUM(B50:B53)</f>
        <v>10510</v>
      </c>
      <c r="C49" s="27">
        <f t="shared" si="32"/>
        <v>16332</v>
      </c>
      <c r="D49" s="27">
        <f t="shared" si="32"/>
        <v>22244</v>
      </c>
      <c r="E49" s="27">
        <f t="shared" si="32"/>
        <v>26985</v>
      </c>
      <c r="F49" s="27">
        <f t="shared" si="32"/>
        <v>28901</v>
      </c>
      <c r="G49" s="27">
        <f t="shared" si="32"/>
        <v>26616</v>
      </c>
      <c r="H49" s="27">
        <f t="shared" si="32"/>
        <v>22985</v>
      </c>
      <c r="I49" s="27">
        <f t="shared" si="32"/>
        <v>30185</v>
      </c>
      <c r="J49" s="27">
        <f t="shared" si="32"/>
        <v>37630</v>
      </c>
      <c r="K49" s="27">
        <f t="shared" si="32"/>
        <v>37630</v>
      </c>
      <c r="L49" s="27">
        <f t="shared" si="32"/>
        <v>37630</v>
      </c>
      <c r="M49" s="27">
        <f t="shared" si="32"/>
        <v>37630</v>
      </c>
      <c r="N49" s="27">
        <f t="shared" si="32"/>
        <v>37630</v>
      </c>
      <c r="O49" s="27">
        <f t="shared" si="32"/>
        <v>37630</v>
      </c>
      <c r="P49" s="27">
        <f t="shared" si="32"/>
        <v>37630</v>
      </c>
    </row>
    <row r="50" ht="15.75" customHeight="1">
      <c r="A50" s="1" t="s">
        <v>38</v>
      </c>
      <c r="B50" s="49">
        <v>0.0</v>
      </c>
      <c r="C50" s="49">
        <v>0.0</v>
      </c>
      <c r="D50" s="49">
        <v>100.0</v>
      </c>
      <c r="E50" s="49">
        <v>80.0</v>
      </c>
      <c r="F50" s="49">
        <v>652.0</v>
      </c>
      <c r="G50" s="49">
        <v>420.0</v>
      </c>
      <c r="H50" s="49">
        <v>329.0</v>
      </c>
      <c r="I50" s="49">
        <v>250.0</v>
      </c>
      <c r="J50" s="49">
        <v>677.0</v>
      </c>
      <c r="K50" s="50">
        <f t="shared" ref="K50:P50" si="33">J50</f>
        <v>677</v>
      </c>
      <c r="L50" s="50">
        <f t="shared" si="33"/>
        <v>677</v>
      </c>
      <c r="M50" s="50">
        <f t="shared" si="33"/>
        <v>677</v>
      </c>
      <c r="N50" s="50">
        <f t="shared" si="33"/>
        <v>677</v>
      </c>
      <c r="O50" s="50">
        <f t="shared" si="33"/>
        <v>677</v>
      </c>
      <c r="P50" s="50">
        <f t="shared" si="33"/>
        <v>677</v>
      </c>
    </row>
    <row r="51" ht="15.75" customHeight="1">
      <c r="A51" s="1" t="s">
        <v>39</v>
      </c>
      <c r="B51" s="49">
        <v>8075.0</v>
      </c>
      <c r="C51" s="49">
        <v>11055.0</v>
      </c>
      <c r="D51" s="49">
        <v>15859.0</v>
      </c>
      <c r="E51" s="49">
        <v>20371.0</v>
      </c>
      <c r="F51" s="49">
        <v>21158.0</v>
      </c>
      <c r="G51" s="49">
        <v>21295.0</v>
      </c>
      <c r="H51" s="49">
        <v>21812.0</v>
      </c>
      <c r="I51" s="49">
        <v>25850.0</v>
      </c>
      <c r="J51" s="49">
        <v>31617.0</v>
      </c>
      <c r="K51" s="50">
        <f t="shared" ref="K51:P51" si="34">J51</f>
        <v>31617</v>
      </c>
      <c r="L51" s="50">
        <f t="shared" si="34"/>
        <v>31617</v>
      </c>
      <c r="M51" s="50">
        <f t="shared" si="34"/>
        <v>31617</v>
      </c>
      <c r="N51" s="50">
        <f t="shared" si="34"/>
        <v>31617</v>
      </c>
      <c r="O51" s="50">
        <f t="shared" si="34"/>
        <v>31617</v>
      </c>
      <c r="P51" s="50">
        <f t="shared" si="34"/>
        <v>31617</v>
      </c>
    </row>
    <row r="52" ht="15.75" customHeight="1">
      <c r="A52" s="1" t="s">
        <v>40</v>
      </c>
      <c r="B52" s="49">
        <v>148.0</v>
      </c>
      <c r="C52" s="49">
        <v>219.0</v>
      </c>
      <c r="D52" s="49">
        <v>265.0</v>
      </c>
      <c r="E52" s="49">
        <v>395.0</v>
      </c>
      <c r="F52" s="49">
        <v>516.0</v>
      </c>
      <c r="G52" s="49">
        <v>447.0</v>
      </c>
      <c r="H52" s="49">
        <v>844.0</v>
      </c>
      <c r="I52" s="49">
        <v>875.0</v>
      </c>
      <c r="J52" s="49">
        <v>1448.0</v>
      </c>
      <c r="K52" s="50">
        <f t="shared" ref="K52:P52" si="35">J52</f>
        <v>1448</v>
      </c>
      <c r="L52" s="50">
        <f t="shared" si="35"/>
        <v>1448</v>
      </c>
      <c r="M52" s="50">
        <f t="shared" si="35"/>
        <v>1448</v>
      </c>
      <c r="N52" s="50">
        <f t="shared" si="35"/>
        <v>1448</v>
      </c>
      <c r="O52" s="50">
        <f t="shared" si="35"/>
        <v>1448</v>
      </c>
      <c r="P52" s="50">
        <f t="shared" si="35"/>
        <v>1448</v>
      </c>
    </row>
    <row r="53" ht="15.75" customHeight="1">
      <c r="A53" s="1" t="s">
        <v>41</v>
      </c>
      <c r="B53" s="49">
        <v>2287.0</v>
      </c>
      <c r="C53" s="49">
        <v>5058.0</v>
      </c>
      <c r="D53" s="49">
        <v>6020.0</v>
      </c>
      <c r="E53" s="49">
        <v>6139.0</v>
      </c>
      <c r="F53" s="49">
        <v>6575.0</v>
      </c>
      <c r="G53" s="49">
        <v>4454.0</v>
      </c>
      <c r="H53" s="49">
        <v>0.0</v>
      </c>
      <c r="I53" s="49">
        <v>3210.0</v>
      </c>
      <c r="J53" s="49">
        <v>3888.0</v>
      </c>
      <c r="K53" s="50">
        <f t="shared" ref="K53:P53" si="36">J53</f>
        <v>3888</v>
      </c>
      <c r="L53" s="50">
        <f t="shared" si="36"/>
        <v>3888</v>
      </c>
      <c r="M53" s="50">
        <f t="shared" si="36"/>
        <v>3888</v>
      </c>
      <c r="N53" s="50">
        <f t="shared" si="36"/>
        <v>3888</v>
      </c>
      <c r="O53" s="50">
        <f t="shared" si="36"/>
        <v>3888</v>
      </c>
      <c r="P53" s="50">
        <f t="shared" si="36"/>
        <v>3888</v>
      </c>
    </row>
    <row r="54" ht="15.75" customHeight="1">
      <c r="A54" s="7"/>
    </row>
    <row r="55" ht="15.75" customHeight="1">
      <c r="A55" s="18" t="s">
        <v>42</v>
      </c>
      <c r="B55" s="52">
        <f t="shared" ref="B55:P55" si="37">SUM(B56:B62)</f>
        <v>110441</v>
      </c>
      <c r="C55" s="52">
        <f t="shared" si="37"/>
        <v>132368</v>
      </c>
      <c r="D55" s="52">
        <f t="shared" si="37"/>
        <v>154485</v>
      </c>
      <c r="E55" s="52">
        <f t="shared" si="37"/>
        <v>141605</v>
      </c>
      <c r="F55" s="52">
        <f t="shared" si="37"/>
        <v>113054</v>
      </c>
      <c r="G55" s="52">
        <f t="shared" si="37"/>
        <v>162139</v>
      </c>
      <c r="H55" s="52">
        <f t="shared" si="37"/>
        <v>170235</v>
      </c>
      <c r="I55" s="52">
        <f t="shared" si="37"/>
        <v>227667</v>
      </c>
      <c r="J55" s="52">
        <f t="shared" si="37"/>
        <v>259518</v>
      </c>
      <c r="K55" s="53">
        <f t="shared" si="37"/>
        <v>333413.6646</v>
      </c>
      <c r="L55" s="53">
        <f t="shared" si="37"/>
        <v>389551.2984</v>
      </c>
      <c r="M55" s="53">
        <f t="shared" si="37"/>
        <v>455305.9924</v>
      </c>
      <c r="N55" s="53">
        <f t="shared" si="37"/>
        <v>532344.524</v>
      </c>
      <c r="O55" s="53">
        <f t="shared" si="37"/>
        <v>622624.7559</v>
      </c>
      <c r="P55" s="53">
        <f t="shared" si="37"/>
        <v>728446.7217</v>
      </c>
    </row>
    <row r="56" ht="15.75" customHeight="1">
      <c r="A56" s="1" t="s">
        <v>43</v>
      </c>
      <c r="B56" s="49">
        <v>7956.0</v>
      </c>
      <c r="C56" s="49">
        <v>8036.0</v>
      </c>
      <c r="D56" s="49">
        <v>8541.0</v>
      </c>
      <c r="E56" s="49">
        <v>6729.0</v>
      </c>
      <c r="F56" s="49">
        <v>6962.0</v>
      </c>
      <c r="G56" s="49">
        <v>8547.0</v>
      </c>
      <c r="H56" s="49">
        <v>11113.0</v>
      </c>
      <c r="I56" s="49">
        <v>11584.0</v>
      </c>
      <c r="J56" s="49">
        <v>12030.0</v>
      </c>
      <c r="K56" s="25">
        <f t="shared" ref="K56:P56" si="38">K163</f>
        <v>17456.21281</v>
      </c>
      <c r="L56" s="25">
        <f t="shared" si="38"/>
        <v>20395.35594</v>
      </c>
      <c r="M56" s="25">
        <f t="shared" si="38"/>
        <v>23838.01008</v>
      </c>
      <c r="N56" s="25">
        <f t="shared" si="38"/>
        <v>27871.44105</v>
      </c>
      <c r="O56" s="25">
        <f t="shared" si="38"/>
        <v>32598.15476</v>
      </c>
      <c r="P56" s="25">
        <f t="shared" si="38"/>
        <v>38138.57181</v>
      </c>
    </row>
    <row r="57" ht="15.75" customHeight="1">
      <c r="A57" s="1" t="s">
        <v>44</v>
      </c>
      <c r="B57" s="49">
        <v>774.0</v>
      </c>
      <c r="C57" s="49">
        <v>4838.0</v>
      </c>
      <c r="D57" s="49">
        <v>1108.0</v>
      </c>
      <c r="E57" s="49">
        <v>1496.0</v>
      </c>
      <c r="F57" s="49">
        <v>1063.0</v>
      </c>
      <c r="G57" s="49">
        <v>4962.0</v>
      </c>
      <c r="H57" s="49">
        <v>3819.0</v>
      </c>
      <c r="I57" s="49">
        <v>12226.0</v>
      </c>
      <c r="J57" s="49">
        <v>509.0</v>
      </c>
      <c r="K57" s="25">
        <f t="shared" ref="K57:P57" si="39">K164</f>
        <v>1745.621281</v>
      </c>
      <c r="L57" s="25">
        <f t="shared" si="39"/>
        <v>2039.535594</v>
      </c>
      <c r="M57" s="25">
        <f t="shared" si="39"/>
        <v>2383.801008</v>
      </c>
      <c r="N57" s="25">
        <f t="shared" si="39"/>
        <v>2787.144105</v>
      </c>
      <c r="O57" s="25">
        <f t="shared" si="39"/>
        <v>3259.815476</v>
      </c>
      <c r="P57" s="25">
        <f t="shared" si="39"/>
        <v>3813.857181</v>
      </c>
    </row>
    <row r="58" ht="15.75" customHeight="1">
      <c r="A58" s="29" t="s">
        <v>110</v>
      </c>
      <c r="B58" s="49">
        <v>74089.0</v>
      </c>
      <c r="C58" s="49">
        <v>83692.0</v>
      </c>
      <c r="D58" s="49">
        <v>104993.0</v>
      </c>
      <c r="E58" s="49">
        <v>96377.0</v>
      </c>
      <c r="F58" s="49">
        <v>75091.0</v>
      </c>
      <c r="G58" s="49">
        <v>101681.0</v>
      </c>
      <c r="H58" s="49">
        <v>97732.0</v>
      </c>
      <c r="I58" s="49">
        <v>1947.0</v>
      </c>
      <c r="J58" s="49">
        <v>2070.0</v>
      </c>
    </row>
    <row r="59" ht="15.75" customHeight="1">
      <c r="A59" s="1" t="s">
        <v>45</v>
      </c>
      <c r="B59" s="49">
        <v>0.0</v>
      </c>
      <c r="C59" s="49">
        <v>0.0</v>
      </c>
      <c r="D59" s="49">
        <v>0.0</v>
      </c>
      <c r="E59" s="49">
        <v>0.0</v>
      </c>
      <c r="F59" s="49">
        <v>0.0</v>
      </c>
      <c r="G59" s="49">
        <v>0.0</v>
      </c>
      <c r="H59" s="49">
        <v>0.0</v>
      </c>
      <c r="I59" s="49">
        <v>134808.0</v>
      </c>
      <c r="J59" s="49">
        <v>167814.0</v>
      </c>
      <c r="K59" s="25">
        <f t="shared" ref="K59:P59" si="40">K165</f>
        <v>209474.5537</v>
      </c>
      <c r="L59" s="25">
        <f t="shared" si="40"/>
        <v>244744.2712</v>
      </c>
      <c r="M59" s="25">
        <f t="shared" si="40"/>
        <v>286056.1209</v>
      </c>
      <c r="N59" s="25">
        <f t="shared" si="40"/>
        <v>334457.2926</v>
      </c>
      <c r="O59" s="25">
        <f t="shared" si="40"/>
        <v>391177.8571</v>
      </c>
      <c r="P59" s="25">
        <f t="shared" si="40"/>
        <v>457662.8618</v>
      </c>
    </row>
    <row r="60" ht="15.75" customHeight="1">
      <c r="A60" s="1" t="s">
        <v>46</v>
      </c>
      <c r="B60" s="49">
        <v>11650.0</v>
      </c>
      <c r="C60" s="49">
        <v>18278.0</v>
      </c>
      <c r="D60" s="49">
        <v>20896.0</v>
      </c>
      <c r="E60" s="49">
        <v>16329.0</v>
      </c>
      <c r="F60" s="49">
        <v>14091.0</v>
      </c>
      <c r="G60" s="49">
        <v>26801.0</v>
      </c>
      <c r="H60" s="49">
        <v>28686.0</v>
      </c>
      <c r="I60" s="49">
        <v>33372.0</v>
      </c>
      <c r="J60" s="49">
        <v>41739.0</v>
      </c>
      <c r="K60" s="25">
        <f t="shared" ref="K60:P60" si="41">K166</f>
        <v>52368.63842</v>
      </c>
      <c r="L60" s="25">
        <f t="shared" si="41"/>
        <v>61186.06781</v>
      </c>
      <c r="M60" s="25">
        <f t="shared" si="41"/>
        <v>71514.03023</v>
      </c>
      <c r="N60" s="25">
        <f t="shared" si="41"/>
        <v>83614.32315</v>
      </c>
      <c r="O60" s="25">
        <f t="shared" si="41"/>
        <v>97794.46428</v>
      </c>
      <c r="P60" s="25">
        <f t="shared" si="41"/>
        <v>114415.7154</v>
      </c>
    </row>
    <row r="61" ht="15.75" customHeight="1">
      <c r="A61" s="1" t="s">
        <v>47</v>
      </c>
      <c r="B61" s="49">
        <v>3994.0</v>
      </c>
      <c r="C61" s="49">
        <v>4496.0</v>
      </c>
      <c r="D61" s="49">
        <v>5609.0</v>
      </c>
      <c r="E61" s="49">
        <v>6254.0</v>
      </c>
      <c r="F61" s="49">
        <v>6807.0</v>
      </c>
      <c r="G61" s="49">
        <v>7428.0</v>
      </c>
      <c r="H61" s="49">
        <v>8613.0</v>
      </c>
      <c r="I61" s="49">
        <v>10830.0</v>
      </c>
      <c r="J61" s="49">
        <v>13119.0</v>
      </c>
      <c r="K61" s="25">
        <f t="shared" ref="K61:P61" si="42">K167</f>
        <v>17456.21281</v>
      </c>
      <c r="L61" s="25">
        <f t="shared" si="42"/>
        <v>20395.35594</v>
      </c>
      <c r="M61" s="25">
        <f t="shared" si="42"/>
        <v>23838.01008</v>
      </c>
      <c r="N61" s="25">
        <f t="shared" si="42"/>
        <v>27871.44105</v>
      </c>
      <c r="O61" s="25">
        <f t="shared" si="42"/>
        <v>32598.15476</v>
      </c>
      <c r="P61" s="25">
        <f t="shared" si="42"/>
        <v>38138.57181</v>
      </c>
    </row>
    <row r="62" ht="15.75" customHeight="1">
      <c r="A62" s="1" t="s">
        <v>48</v>
      </c>
      <c r="B62" s="49">
        <v>11978.0</v>
      </c>
      <c r="C62" s="49">
        <v>13028.0</v>
      </c>
      <c r="D62" s="49">
        <v>13338.0</v>
      </c>
      <c r="E62" s="49">
        <v>14420.0</v>
      </c>
      <c r="F62" s="49">
        <v>9040.0</v>
      </c>
      <c r="G62" s="49">
        <v>12720.0</v>
      </c>
      <c r="H62" s="49">
        <v>20272.0</v>
      </c>
      <c r="I62" s="49">
        <v>22900.0</v>
      </c>
      <c r="J62" s="49">
        <v>22237.0</v>
      </c>
      <c r="K62" s="25">
        <f t="shared" ref="K62:P62" si="43">K168</f>
        <v>34912.42561</v>
      </c>
      <c r="L62" s="25">
        <f t="shared" si="43"/>
        <v>40790.71187</v>
      </c>
      <c r="M62" s="25">
        <f t="shared" si="43"/>
        <v>47676.02015</v>
      </c>
      <c r="N62" s="25">
        <f t="shared" si="43"/>
        <v>55742.8821</v>
      </c>
      <c r="O62" s="25">
        <f t="shared" si="43"/>
        <v>65196.30952</v>
      </c>
      <c r="P62" s="25">
        <f t="shared" si="43"/>
        <v>76277.14363</v>
      </c>
    </row>
    <row r="63" ht="15.75" customHeight="1">
      <c r="A63" s="8" t="s">
        <v>49</v>
      </c>
      <c r="B63" s="27">
        <f t="shared" ref="B63:P63" si="44">B55+B49+B41</f>
        <v>427255</v>
      </c>
      <c r="C63" s="27">
        <f t="shared" si="44"/>
        <v>519605</v>
      </c>
      <c r="D63" s="27">
        <f t="shared" si="44"/>
        <v>602484</v>
      </c>
      <c r="E63" s="27">
        <f t="shared" si="44"/>
        <v>639687</v>
      </c>
      <c r="F63" s="27">
        <f t="shared" si="44"/>
        <v>636277</v>
      </c>
      <c r="G63" s="27">
        <f t="shared" si="44"/>
        <v>713761</v>
      </c>
      <c r="H63" s="27">
        <f t="shared" si="44"/>
        <v>746555</v>
      </c>
      <c r="I63" s="27">
        <f t="shared" si="44"/>
        <v>1003854</v>
      </c>
      <c r="J63" s="27">
        <f t="shared" si="44"/>
        <v>1153508</v>
      </c>
      <c r="K63" s="54">
        <f t="shared" si="44"/>
        <v>1398093.676</v>
      </c>
      <c r="L63" s="54">
        <f t="shared" si="44"/>
        <v>1652962.427</v>
      </c>
      <c r="M63" s="54">
        <f t="shared" si="44"/>
        <v>1951156.541</v>
      </c>
      <c r="N63" s="54">
        <f t="shared" si="44"/>
        <v>2300992.198</v>
      </c>
      <c r="O63" s="54">
        <f t="shared" si="44"/>
        <v>2712230.408</v>
      </c>
      <c r="P63" s="54">
        <f t="shared" si="44"/>
        <v>3196329.724</v>
      </c>
    </row>
    <row r="64" ht="15.75" customHeight="1">
      <c r="A64" s="7"/>
    </row>
    <row r="65" ht="15.75" customHeight="1">
      <c r="A65" s="7"/>
    </row>
    <row r="66" ht="15.75" customHeight="1">
      <c r="A66" s="4" t="s">
        <v>50</v>
      </c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</row>
    <row r="67" ht="15.75" customHeight="1">
      <c r="A67" s="7"/>
    </row>
    <row r="68" ht="15.75" customHeight="1">
      <c r="A68" s="18" t="s">
        <v>51</v>
      </c>
      <c r="B68" s="27">
        <f t="shared" ref="B68:P68" si="45">SUM(B69:B79)</f>
        <v>347744</v>
      </c>
      <c r="C68" s="27">
        <f t="shared" si="45"/>
        <v>431625</v>
      </c>
      <c r="D68" s="27">
        <f t="shared" si="45"/>
        <v>523184</v>
      </c>
      <c r="E68" s="27">
        <f t="shared" si="45"/>
        <v>515960</v>
      </c>
      <c r="F68" s="27">
        <f t="shared" si="45"/>
        <v>551871</v>
      </c>
      <c r="G68" s="27">
        <f t="shared" si="45"/>
        <v>532791</v>
      </c>
      <c r="H68" s="27">
        <f t="shared" si="45"/>
        <v>578621</v>
      </c>
      <c r="I68" s="27">
        <f t="shared" si="45"/>
        <v>847162</v>
      </c>
      <c r="J68" s="27">
        <f t="shared" si="45"/>
        <v>927170</v>
      </c>
      <c r="K68" s="27">
        <f t="shared" si="45"/>
        <v>966528</v>
      </c>
      <c r="L68" s="27">
        <f t="shared" si="45"/>
        <v>1007328</v>
      </c>
      <c r="M68" s="27">
        <f t="shared" si="45"/>
        <v>1048128</v>
      </c>
      <c r="N68" s="27">
        <f t="shared" si="45"/>
        <v>1088928</v>
      </c>
      <c r="O68" s="27">
        <f t="shared" si="45"/>
        <v>1129728</v>
      </c>
      <c r="P68" s="27">
        <f t="shared" si="45"/>
        <v>1170528</v>
      </c>
    </row>
    <row r="69" ht="15.75" customHeight="1">
      <c r="A69" s="28" t="s">
        <v>111</v>
      </c>
      <c r="B69" s="49">
        <v>121827.0</v>
      </c>
      <c r="C69" s="49">
        <v>129377.0</v>
      </c>
      <c r="D69" s="49">
        <v>130771.0</v>
      </c>
      <c r="E69" s="49">
        <v>149862.0</v>
      </c>
      <c r="F69" s="49">
        <v>147905.0</v>
      </c>
      <c r="G69" s="49">
        <v>141785.0</v>
      </c>
      <c r="H69" s="49">
        <v>128261.0</v>
      </c>
      <c r="I69" s="49">
        <v>268028.0</v>
      </c>
      <c r="J69" s="49">
        <v>267982.0</v>
      </c>
      <c r="K69" s="19">
        <f t="shared" ref="K69:P69" si="46">SUM(J69:J73)+K201-K203</f>
        <v>395354</v>
      </c>
      <c r="L69" s="19">
        <f t="shared" si="46"/>
        <v>436154</v>
      </c>
      <c r="M69" s="19">
        <f t="shared" si="46"/>
        <v>476954</v>
      </c>
      <c r="N69" s="19">
        <f t="shared" si="46"/>
        <v>517754</v>
      </c>
      <c r="O69" s="19">
        <f t="shared" si="46"/>
        <v>558554</v>
      </c>
      <c r="P69" s="19">
        <f t="shared" si="46"/>
        <v>599354</v>
      </c>
    </row>
    <row r="70" ht="15.75" customHeight="1">
      <c r="A70" s="16" t="s">
        <v>53</v>
      </c>
      <c r="B70" s="49">
        <v>3469.0</v>
      </c>
      <c r="C70" s="49">
        <v>3730.0</v>
      </c>
      <c r="D70" s="49">
        <v>3117.0</v>
      </c>
      <c r="E70" s="49">
        <v>4511.0</v>
      </c>
      <c r="F70" s="49">
        <v>4067.0</v>
      </c>
      <c r="G70" s="49">
        <v>2242.0</v>
      </c>
      <c r="H70" s="49">
        <v>3499.0</v>
      </c>
      <c r="I70" s="49">
        <v>5479.0</v>
      </c>
      <c r="J70" s="49">
        <v>4537.0</v>
      </c>
    </row>
    <row r="71" ht="15.75" customHeight="1">
      <c r="A71" s="16" t="s">
        <v>54</v>
      </c>
      <c r="B71" s="49">
        <v>10069.0</v>
      </c>
      <c r="C71" s="49">
        <v>12523.0</v>
      </c>
      <c r="D71" s="49">
        <v>21321.0</v>
      </c>
      <c r="E71" s="49">
        <v>16069.0</v>
      </c>
      <c r="F71" s="49">
        <v>13443.0</v>
      </c>
      <c r="G71" s="49">
        <v>11993.0</v>
      </c>
      <c r="H71" s="49">
        <v>26462.0</v>
      </c>
      <c r="I71" s="49">
        <v>40541.0</v>
      </c>
      <c r="J71" s="49">
        <v>75043.0</v>
      </c>
    </row>
    <row r="72" ht="15.75" customHeight="1">
      <c r="A72" s="16" t="s">
        <v>55</v>
      </c>
      <c r="B72" s="49">
        <v>0.0</v>
      </c>
      <c r="C72" s="49">
        <v>0.0</v>
      </c>
      <c r="D72" s="49">
        <v>0.0</v>
      </c>
      <c r="E72" s="49">
        <v>0.0</v>
      </c>
      <c r="F72" s="49">
        <v>0.0</v>
      </c>
      <c r="G72" s="49">
        <v>2975.0</v>
      </c>
      <c r="H72" s="49">
        <v>2903.0</v>
      </c>
      <c r="I72" s="55">
        <v>889.0</v>
      </c>
      <c r="J72" s="49">
        <v>2305.0</v>
      </c>
    </row>
    <row r="73" ht="15.75" customHeight="1">
      <c r="A73" s="29" t="s">
        <v>102</v>
      </c>
      <c r="B73" s="49">
        <v>0.0</v>
      </c>
      <c r="C73" s="49">
        <v>0.0</v>
      </c>
      <c r="D73" s="49">
        <v>0.0</v>
      </c>
      <c r="E73" s="49">
        <v>0.0</v>
      </c>
      <c r="F73" s="49">
        <v>6181.0</v>
      </c>
      <c r="G73" s="49">
        <v>5860.0</v>
      </c>
      <c r="H73" s="49">
        <v>5712.0</v>
      </c>
      <c r="I73" s="49">
        <v>5907.0</v>
      </c>
      <c r="J73" s="49">
        <v>6129.0</v>
      </c>
    </row>
    <row r="74" ht="15.75" customHeight="1">
      <c r="A74" s="1" t="s">
        <v>56</v>
      </c>
      <c r="B74" s="49">
        <v>195345.0</v>
      </c>
      <c r="C74" s="49">
        <v>269718.0</v>
      </c>
      <c r="D74" s="49">
        <v>349058.0</v>
      </c>
      <c r="E74" s="49">
        <v>324581.0</v>
      </c>
      <c r="F74" s="49">
        <v>362692.0</v>
      </c>
      <c r="G74" s="49">
        <v>345291.0</v>
      </c>
      <c r="H74" s="49">
        <v>379348.0</v>
      </c>
      <c r="I74" s="49">
        <v>491843.0</v>
      </c>
      <c r="J74" s="49">
        <v>533838.0</v>
      </c>
      <c r="K74" s="50">
        <f t="shared" ref="K74:P74" si="47">J74</f>
        <v>533838</v>
      </c>
      <c r="L74" s="50">
        <f t="shared" si="47"/>
        <v>533838</v>
      </c>
      <c r="M74" s="50">
        <f t="shared" si="47"/>
        <v>533838</v>
      </c>
      <c r="N74" s="50">
        <f t="shared" si="47"/>
        <v>533838</v>
      </c>
      <c r="O74" s="50">
        <f t="shared" si="47"/>
        <v>533838</v>
      </c>
      <c r="P74" s="50">
        <f t="shared" si="47"/>
        <v>533838</v>
      </c>
    </row>
    <row r="75" ht="15.75" customHeight="1">
      <c r="A75" s="1" t="s">
        <v>57</v>
      </c>
      <c r="B75" s="49">
        <v>234.0</v>
      </c>
      <c r="C75" s="49">
        <v>241.0</v>
      </c>
      <c r="D75" s="49">
        <v>328.0</v>
      </c>
      <c r="E75" s="49">
        <v>344.0</v>
      </c>
      <c r="F75" s="49">
        <v>365.0</v>
      </c>
      <c r="G75" s="49">
        <v>369.0</v>
      </c>
      <c r="H75" s="49">
        <v>375.0</v>
      </c>
      <c r="I75" s="49">
        <v>2398.0</v>
      </c>
      <c r="J75" s="49">
        <v>2981.0</v>
      </c>
      <c r="K75" s="50">
        <f t="shared" ref="K75:P75" si="48">J75</f>
        <v>2981</v>
      </c>
      <c r="L75" s="50">
        <f t="shared" si="48"/>
        <v>2981</v>
      </c>
      <c r="M75" s="50">
        <f t="shared" si="48"/>
        <v>2981</v>
      </c>
      <c r="N75" s="50">
        <f t="shared" si="48"/>
        <v>2981</v>
      </c>
      <c r="O75" s="50">
        <f t="shared" si="48"/>
        <v>2981</v>
      </c>
      <c r="P75" s="50">
        <f t="shared" si="48"/>
        <v>2981</v>
      </c>
    </row>
    <row r="76" ht="15.75" customHeight="1">
      <c r="A76" s="1" t="s">
        <v>58</v>
      </c>
      <c r="B76" s="49">
        <v>4.0</v>
      </c>
      <c r="C76" s="49">
        <v>3.0</v>
      </c>
      <c r="D76" s="49">
        <v>2.0</v>
      </c>
      <c r="E76" s="49">
        <v>2.0</v>
      </c>
      <c r="F76" s="49">
        <v>2.0</v>
      </c>
      <c r="G76" s="49">
        <v>2.0</v>
      </c>
      <c r="H76" s="49">
        <v>5446.0</v>
      </c>
      <c r="I76" s="49">
        <v>2.0</v>
      </c>
      <c r="J76" s="49">
        <v>1.0</v>
      </c>
      <c r="K76" s="50">
        <f t="shared" ref="K76:P76" si="49">J76</f>
        <v>1</v>
      </c>
      <c r="L76" s="50">
        <f t="shared" si="49"/>
        <v>1</v>
      </c>
      <c r="M76" s="50">
        <f t="shared" si="49"/>
        <v>1</v>
      </c>
      <c r="N76" s="50">
        <f t="shared" si="49"/>
        <v>1</v>
      </c>
      <c r="O76" s="50">
        <f t="shared" si="49"/>
        <v>1</v>
      </c>
      <c r="P76" s="50">
        <f t="shared" si="49"/>
        <v>1</v>
      </c>
    </row>
    <row r="77" ht="15.75" customHeight="1">
      <c r="A77" s="1" t="s">
        <v>59</v>
      </c>
      <c r="B77" s="49">
        <v>16796.0</v>
      </c>
      <c r="C77" s="49">
        <v>16033.0</v>
      </c>
      <c r="D77" s="49">
        <v>18587.0</v>
      </c>
      <c r="E77" s="49">
        <v>20591.0</v>
      </c>
      <c r="F77" s="49">
        <v>17216.0</v>
      </c>
      <c r="G77" s="49">
        <v>16867.0</v>
      </c>
      <c r="H77" s="49">
        <v>1411.0</v>
      </c>
      <c r="I77" s="49">
        <v>23226.0</v>
      </c>
      <c r="J77" s="49">
        <v>28049.0</v>
      </c>
      <c r="K77" s="50">
        <f t="shared" ref="K77:P77" si="50">J77</f>
        <v>28049</v>
      </c>
      <c r="L77" s="50">
        <f t="shared" si="50"/>
        <v>28049</v>
      </c>
      <c r="M77" s="50">
        <f t="shared" si="50"/>
        <v>28049</v>
      </c>
      <c r="N77" s="50">
        <f t="shared" si="50"/>
        <v>28049</v>
      </c>
      <c r="O77" s="50">
        <f t="shared" si="50"/>
        <v>28049</v>
      </c>
      <c r="P77" s="50">
        <f t="shared" si="50"/>
        <v>28049</v>
      </c>
    </row>
    <row r="78" ht="15.75" customHeight="1">
      <c r="A78" s="29" t="s">
        <v>112</v>
      </c>
      <c r="B78" s="49">
        <v>0.0</v>
      </c>
      <c r="C78" s="49">
        <v>0.0</v>
      </c>
      <c r="D78" s="49">
        <v>0.0</v>
      </c>
      <c r="E78" s="49">
        <v>0.0</v>
      </c>
      <c r="F78" s="49">
        <v>0.0</v>
      </c>
      <c r="G78" s="49">
        <v>0.0</v>
      </c>
      <c r="H78" s="49">
        <v>0.0</v>
      </c>
      <c r="I78" s="49">
        <v>6055.0</v>
      </c>
      <c r="J78" s="49">
        <v>5838.0</v>
      </c>
      <c r="K78" s="50">
        <f t="shared" ref="K78:P78" si="51">J78</f>
        <v>5838</v>
      </c>
      <c r="L78" s="50">
        <f t="shared" si="51"/>
        <v>5838</v>
      </c>
      <c r="M78" s="50">
        <f t="shared" si="51"/>
        <v>5838</v>
      </c>
      <c r="N78" s="50">
        <f t="shared" si="51"/>
        <v>5838</v>
      </c>
      <c r="O78" s="50">
        <f t="shared" si="51"/>
        <v>5838</v>
      </c>
      <c r="P78" s="50">
        <f t="shared" si="51"/>
        <v>5838</v>
      </c>
    </row>
    <row r="79" ht="15.75" customHeight="1">
      <c r="A79" s="29" t="s">
        <v>113</v>
      </c>
      <c r="B79" s="49">
        <v>0.0</v>
      </c>
      <c r="C79" s="49">
        <v>0.0</v>
      </c>
      <c r="D79" s="49">
        <v>0.0</v>
      </c>
      <c r="E79" s="49">
        <v>0.0</v>
      </c>
      <c r="F79" s="49">
        <v>0.0</v>
      </c>
      <c r="G79" s="49">
        <v>5407.0</v>
      </c>
      <c r="H79" s="49">
        <v>25204.0</v>
      </c>
      <c r="I79" s="49">
        <v>2794.0</v>
      </c>
      <c r="J79" s="49">
        <v>467.0</v>
      </c>
      <c r="K79" s="50">
        <f t="shared" ref="K79:P79" si="52">J79</f>
        <v>467</v>
      </c>
      <c r="L79" s="50">
        <f t="shared" si="52"/>
        <v>467</v>
      </c>
      <c r="M79" s="50">
        <f t="shared" si="52"/>
        <v>467</v>
      </c>
      <c r="N79" s="50">
        <f t="shared" si="52"/>
        <v>467</v>
      </c>
      <c r="O79" s="50">
        <f t="shared" si="52"/>
        <v>467</v>
      </c>
      <c r="P79" s="50">
        <f t="shared" si="52"/>
        <v>467</v>
      </c>
    </row>
    <row r="80" ht="15.75" customHeight="1">
      <c r="A80" s="18"/>
    </row>
    <row r="81" ht="15.75" customHeight="1">
      <c r="A81" s="18" t="s">
        <v>60</v>
      </c>
      <c r="B81" s="27">
        <f t="shared" ref="B81:P81" si="53">SUM(B83:B91)</f>
        <v>79511</v>
      </c>
      <c r="C81" s="27">
        <f t="shared" si="53"/>
        <v>87980</v>
      </c>
      <c r="D81" s="27">
        <f t="shared" si="53"/>
        <v>79300</v>
      </c>
      <c r="E81" s="27">
        <f t="shared" si="53"/>
        <v>123727</v>
      </c>
      <c r="F81" s="27">
        <f t="shared" si="53"/>
        <v>84406</v>
      </c>
      <c r="G81" s="27">
        <f t="shared" si="53"/>
        <v>180970</v>
      </c>
      <c r="H81" s="27">
        <f t="shared" si="53"/>
        <v>167934</v>
      </c>
      <c r="I81" s="27">
        <f t="shared" si="53"/>
        <v>156692</v>
      </c>
      <c r="J81" s="27">
        <f t="shared" si="53"/>
        <v>226338</v>
      </c>
      <c r="K81" s="54">
        <f t="shared" si="53"/>
        <v>431565.676</v>
      </c>
      <c r="L81" s="54">
        <f t="shared" si="53"/>
        <v>645634.4271</v>
      </c>
      <c r="M81" s="54">
        <f t="shared" si="53"/>
        <v>903028.5407</v>
      </c>
      <c r="N81" s="54">
        <f t="shared" si="53"/>
        <v>1212064.198</v>
      </c>
      <c r="O81" s="54">
        <f t="shared" si="53"/>
        <v>1582502.408</v>
      </c>
      <c r="P81" s="54">
        <f t="shared" si="53"/>
        <v>2025801.724</v>
      </c>
    </row>
    <row r="82" ht="15.75" customHeight="1">
      <c r="A82" s="1"/>
    </row>
    <row r="83" ht="15.75" customHeight="1">
      <c r="A83" s="16" t="s">
        <v>61</v>
      </c>
      <c r="B83" s="49">
        <v>31326.0</v>
      </c>
      <c r="C83" s="49">
        <v>32637.0</v>
      </c>
      <c r="D83" s="49">
        <v>31602.0</v>
      </c>
      <c r="E83" s="49">
        <v>33226.0</v>
      </c>
      <c r="F83" s="49">
        <v>32139.0</v>
      </c>
      <c r="G83" s="49">
        <v>30490.0</v>
      </c>
      <c r="H83" s="49">
        <v>35323.0</v>
      </c>
      <c r="I83" s="49">
        <v>54435.0</v>
      </c>
      <c r="J83" s="49">
        <v>53181.0</v>
      </c>
      <c r="K83" s="25">
        <f t="shared" ref="K83:P83" si="54">K155</f>
        <v>69824.85122</v>
      </c>
      <c r="L83" s="25">
        <f t="shared" si="54"/>
        <v>81581.42375</v>
      </c>
      <c r="M83" s="25">
        <f t="shared" si="54"/>
        <v>95352.0403</v>
      </c>
      <c r="N83" s="25">
        <f t="shared" si="54"/>
        <v>111485.7642</v>
      </c>
      <c r="O83" s="25">
        <f t="shared" si="54"/>
        <v>130392.619</v>
      </c>
      <c r="P83" s="25">
        <f t="shared" si="54"/>
        <v>152554.2873</v>
      </c>
    </row>
    <row r="84" ht="15.75" customHeight="1">
      <c r="A84" s="16" t="s">
        <v>62</v>
      </c>
      <c r="B84" s="49">
        <v>13234.0</v>
      </c>
      <c r="C84" s="49">
        <v>12026.0</v>
      </c>
      <c r="D84" s="49">
        <v>14654.0</v>
      </c>
      <c r="E84" s="49">
        <v>23128.0</v>
      </c>
      <c r="F84" s="49">
        <v>21298.0</v>
      </c>
      <c r="G84" s="49">
        <v>12799.0</v>
      </c>
      <c r="H84" s="49">
        <v>20345.0</v>
      </c>
      <c r="I84" s="49">
        <v>32848.0</v>
      </c>
      <c r="J84" s="49">
        <v>45968.0</v>
      </c>
      <c r="K84" s="25">
        <f t="shared" ref="K84:P84" si="55">K156</f>
        <v>52368.63842</v>
      </c>
      <c r="L84" s="25">
        <f t="shared" si="55"/>
        <v>61186.06781</v>
      </c>
      <c r="M84" s="25">
        <f t="shared" si="55"/>
        <v>71514.03023</v>
      </c>
      <c r="N84" s="25">
        <f t="shared" si="55"/>
        <v>83614.32315</v>
      </c>
      <c r="O84" s="25">
        <f t="shared" si="55"/>
        <v>97794.46428</v>
      </c>
      <c r="P84" s="25">
        <f t="shared" si="55"/>
        <v>114415.7154</v>
      </c>
    </row>
    <row r="85" ht="15.75" customHeight="1">
      <c r="A85" s="16" t="s">
        <v>63</v>
      </c>
      <c r="B85" s="49">
        <v>507.0</v>
      </c>
      <c r="C85" s="49">
        <v>235.0</v>
      </c>
      <c r="D85" s="49">
        <v>740.0</v>
      </c>
      <c r="E85" s="49">
        <v>1878.0</v>
      </c>
      <c r="F85" s="49">
        <v>290.0</v>
      </c>
      <c r="G85" s="49">
        <v>30471.0</v>
      </c>
      <c r="H85" s="49">
        <v>30422.0</v>
      </c>
      <c r="I85" s="49">
        <v>27485.0</v>
      </c>
      <c r="J85" s="49">
        <v>28274.0</v>
      </c>
      <c r="K85" s="19">
        <f t="shared" ref="K85:P85" si="56">K215</f>
        <v>221688.7359</v>
      </c>
      <c r="L85" s="19">
        <f t="shared" si="56"/>
        <v>400420.0187</v>
      </c>
      <c r="M85" s="19">
        <f t="shared" si="56"/>
        <v>616422.9254</v>
      </c>
      <c r="N85" s="19">
        <f t="shared" si="56"/>
        <v>876964.436</v>
      </c>
      <c r="O85" s="19">
        <f t="shared" si="56"/>
        <v>1190573.125</v>
      </c>
      <c r="P85" s="19">
        <f t="shared" si="56"/>
        <v>1567259.723</v>
      </c>
    </row>
    <row r="86" ht="15.75" customHeight="1">
      <c r="A86" s="16" t="s">
        <v>64</v>
      </c>
      <c r="B86" s="49">
        <v>31.0</v>
      </c>
      <c r="C86" s="49">
        <v>25.0</v>
      </c>
      <c r="D86" s="49">
        <v>30.0</v>
      </c>
      <c r="E86" s="49">
        <v>161.0</v>
      </c>
      <c r="F86" s="49">
        <v>170.0</v>
      </c>
      <c r="G86" s="49">
        <v>230.0</v>
      </c>
      <c r="H86" s="49">
        <v>305.0</v>
      </c>
      <c r="I86" s="49">
        <v>297.0</v>
      </c>
      <c r="J86" s="49">
        <v>327.0</v>
      </c>
      <c r="K86" s="25">
        <f t="shared" ref="K86:P86" si="57">K157</f>
        <v>402.3864385</v>
      </c>
      <c r="L86" s="25">
        <f t="shared" si="57"/>
        <v>470.1371786</v>
      </c>
      <c r="M86" s="25">
        <f t="shared" si="57"/>
        <v>549.4944455</v>
      </c>
      <c r="N86" s="25">
        <f t="shared" si="57"/>
        <v>642.4698201</v>
      </c>
      <c r="O86" s="25">
        <f t="shared" si="57"/>
        <v>751.4261852</v>
      </c>
      <c r="P86" s="25">
        <f t="shared" si="57"/>
        <v>879.1393789</v>
      </c>
    </row>
    <row r="87" ht="15.75" customHeight="1">
      <c r="A87" s="16" t="s">
        <v>65</v>
      </c>
      <c r="B87" s="49">
        <v>16611.0</v>
      </c>
      <c r="C87" s="49">
        <v>15408.0</v>
      </c>
      <c r="D87" s="49">
        <v>13140.0</v>
      </c>
      <c r="E87" s="49">
        <v>5638.0</v>
      </c>
      <c r="F87" s="49">
        <v>7974.0</v>
      </c>
      <c r="G87" s="49">
        <v>9581.0</v>
      </c>
      <c r="H87" s="49">
        <v>14608.0</v>
      </c>
      <c r="I87" s="49">
        <v>15602.0</v>
      </c>
      <c r="J87" s="49">
        <v>25077.0</v>
      </c>
      <c r="K87" s="25">
        <f t="shared" ref="K87:P87" si="58">K158</f>
        <v>34912.42561</v>
      </c>
      <c r="L87" s="25">
        <f t="shared" si="58"/>
        <v>40790.71187</v>
      </c>
      <c r="M87" s="25">
        <f t="shared" si="58"/>
        <v>47676.02015</v>
      </c>
      <c r="N87" s="25">
        <f t="shared" si="58"/>
        <v>55742.8821</v>
      </c>
      <c r="O87" s="25">
        <f t="shared" si="58"/>
        <v>65196.30952</v>
      </c>
      <c r="P87" s="25">
        <f t="shared" si="58"/>
        <v>76277.14363</v>
      </c>
    </row>
    <row r="88" ht="15.75" customHeight="1">
      <c r="A88" s="16" t="s">
        <v>66</v>
      </c>
      <c r="B88" s="49">
        <v>4906.0</v>
      </c>
      <c r="C88" s="49">
        <v>4910.0</v>
      </c>
      <c r="D88" s="49">
        <v>4115.0</v>
      </c>
      <c r="E88" s="49">
        <v>4277.0</v>
      </c>
      <c r="F88" s="49">
        <v>5272.0</v>
      </c>
      <c r="G88" s="49">
        <v>0.0</v>
      </c>
      <c r="H88" s="49">
        <v>0.0</v>
      </c>
      <c r="I88" s="49">
        <v>0.0</v>
      </c>
      <c r="J88" s="49">
        <v>0.0</v>
      </c>
      <c r="K88" s="25">
        <f t="shared" ref="K88:P88" si="59">K159</f>
        <v>0</v>
      </c>
      <c r="L88" s="25">
        <f t="shared" si="59"/>
        <v>0</v>
      </c>
      <c r="M88" s="25">
        <f t="shared" si="59"/>
        <v>0</v>
      </c>
      <c r="N88" s="25">
        <f t="shared" si="59"/>
        <v>0</v>
      </c>
      <c r="O88" s="25">
        <f t="shared" si="59"/>
        <v>0</v>
      </c>
      <c r="P88" s="25">
        <f t="shared" si="59"/>
        <v>0</v>
      </c>
    </row>
    <row r="89" ht="15.75" customHeight="1">
      <c r="A89" s="16" t="s">
        <v>67</v>
      </c>
      <c r="B89" s="49">
        <v>11413.0</v>
      </c>
      <c r="C89" s="49">
        <v>21788.0</v>
      </c>
      <c r="D89" s="49">
        <v>12173.0</v>
      </c>
      <c r="E89" s="49">
        <v>50455.0</v>
      </c>
      <c r="F89" s="49">
        <v>12188.0</v>
      </c>
      <c r="G89" s="49">
        <v>84157.0</v>
      </c>
      <c r="H89" s="49">
        <v>41001.0</v>
      </c>
      <c r="I89" s="49">
        <v>0.0</v>
      </c>
      <c r="J89" s="49">
        <v>39122.0</v>
      </c>
    </row>
    <row r="90" ht="15.75" customHeight="1">
      <c r="A90" s="1" t="s">
        <v>57</v>
      </c>
      <c r="B90" s="49">
        <v>1483.0</v>
      </c>
      <c r="C90" s="49">
        <v>951.0</v>
      </c>
      <c r="D90" s="49">
        <v>2846.0</v>
      </c>
      <c r="E90" s="49">
        <v>4964.0</v>
      </c>
      <c r="F90" s="49">
        <v>5075.0</v>
      </c>
      <c r="G90" s="49">
        <v>13242.0</v>
      </c>
      <c r="H90" s="49">
        <v>25930.0</v>
      </c>
      <c r="I90" s="49">
        <v>26025.0</v>
      </c>
      <c r="J90" s="49">
        <v>34186.0</v>
      </c>
      <c r="K90" s="25">
        <f t="shared" ref="K90:P90" si="60">K160</f>
        <v>52368.63842</v>
      </c>
      <c r="L90" s="25">
        <f t="shared" si="60"/>
        <v>61186.06781</v>
      </c>
      <c r="M90" s="25">
        <f t="shared" si="60"/>
        <v>71514.03023</v>
      </c>
      <c r="N90" s="25">
        <f t="shared" si="60"/>
        <v>83614.32315</v>
      </c>
      <c r="O90" s="25">
        <f t="shared" si="60"/>
        <v>97794.46428</v>
      </c>
      <c r="P90" s="25">
        <f t="shared" si="60"/>
        <v>114415.7154</v>
      </c>
    </row>
    <row r="91" ht="15.75" customHeight="1">
      <c r="A91" s="29" t="s">
        <v>105</v>
      </c>
      <c r="B91" s="49">
        <v>0.0</v>
      </c>
      <c r="C91" s="49">
        <v>0.0</v>
      </c>
      <c r="D91" s="49">
        <v>0.0</v>
      </c>
      <c r="E91" s="49">
        <v>0.0</v>
      </c>
      <c r="F91" s="49">
        <v>0.0</v>
      </c>
      <c r="G91" s="49">
        <v>0.0</v>
      </c>
      <c r="H91" s="49">
        <v>0.0</v>
      </c>
      <c r="I91" s="49">
        <v>0.0</v>
      </c>
      <c r="J91" s="49">
        <v>203.0</v>
      </c>
    </row>
    <row r="92" ht="15.75" customHeight="1">
      <c r="A92" s="8" t="s">
        <v>49</v>
      </c>
      <c r="B92" s="27">
        <f t="shared" ref="B92:P92" si="61">SUM(B81+B68)</f>
        <v>427255</v>
      </c>
      <c r="C92" s="27">
        <f t="shared" si="61"/>
        <v>519605</v>
      </c>
      <c r="D92" s="27">
        <f t="shared" si="61"/>
        <v>602484</v>
      </c>
      <c r="E92" s="27">
        <f t="shared" si="61"/>
        <v>639687</v>
      </c>
      <c r="F92" s="27">
        <f t="shared" si="61"/>
        <v>636277</v>
      </c>
      <c r="G92" s="27">
        <f t="shared" si="61"/>
        <v>713761</v>
      </c>
      <c r="H92" s="27">
        <f t="shared" si="61"/>
        <v>746555</v>
      </c>
      <c r="I92" s="27">
        <f t="shared" si="61"/>
        <v>1003854</v>
      </c>
      <c r="J92" s="27">
        <f t="shared" si="61"/>
        <v>1153508</v>
      </c>
      <c r="K92" s="54">
        <f t="shared" si="61"/>
        <v>1398093.676</v>
      </c>
      <c r="L92" s="54">
        <f t="shared" si="61"/>
        <v>1652962.427</v>
      </c>
      <c r="M92" s="54">
        <f t="shared" si="61"/>
        <v>1951156.541</v>
      </c>
      <c r="N92" s="54">
        <f t="shared" si="61"/>
        <v>2300992.198</v>
      </c>
      <c r="O92" s="54">
        <f t="shared" si="61"/>
        <v>2712230.408</v>
      </c>
      <c r="P92" s="54">
        <f t="shared" si="61"/>
        <v>3196329.724</v>
      </c>
    </row>
    <row r="93" ht="15.75" customHeight="1">
      <c r="A93" s="29" t="s">
        <v>114</v>
      </c>
      <c r="B93" s="19">
        <f t="shared" ref="B93:P93" si="62">B92-B63</f>
        <v>0</v>
      </c>
      <c r="C93" s="19">
        <f t="shared" si="62"/>
        <v>0</v>
      </c>
      <c r="D93" s="19">
        <f t="shared" si="62"/>
        <v>0</v>
      </c>
      <c r="E93" s="19">
        <f t="shared" si="62"/>
        <v>0</v>
      </c>
      <c r="F93" s="19">
        <f t="shared" si="62"/>
        <v>0</v>
      </c>
      <c r="G93" s="19">
        <f t="shared" si="62"/>
        <v>0</v>
      </c>
      <c r="H93" s="19">
        <f t="shared" si="62"/>
        <v>0</v>
      </c>
      <c r="I93" s="19">
        <f t="shared" si="62"/>
        <v>0</v>
      </c>
      <c r="J93" s="19">
        <f t="shared" si="62"/>
        <v>0</v>
      </c>
      <c r="K93" s="25">
        <f t="shared" si="62"/>
        <v>0</v>
      </c>
      <c r="L93" s="25">
        <f t="shared" si="62"/>
        <v>0</v>
      </c>
      <c r="M93" s="25">
        <f t="shared" si="62"/>
        <v>-0.0000000002328306437</v>
      </c>
      <c r="N93" s="25">
        <f t="shared" si="62"/>
        <v>0</v>
      </c>
      <c r="O93" s="25">
        <f t="shared" si="62"/>
        <v>-0.0000000004656612873</v>
      </c>
      <c r="P93" s="25">
        <f t="shared" si="62"/>
        <v>0</v>
      </c>
    </row>
    <row r="94" ht="15.75" customHeight="1">
      <c r="A94" s="5"/>
      <c r="B94" s="22"/>
      <c r="C94" s="22"/>
      <c r="D94" s="22"/>
      <c r="E94" s="15"/>
      <c r="F94" s="22"/>
      <c r="G94" s="22"/>
      <c r="H94" s="22"/>
      <c r="I94" s="22"/>
      <c r="J94" s="22"/>
    </row>
    <row r="95" ht="15.75" customHeight="1">
      <c r="A95" s="5" t="s">
        <v>68</v>
      </c>
      <c r="B95" s="22">
        <v>1500000.0</v>
      </c>
      <c r="C95" s="22">
        <v>1550000.0</v>
      </c>
      <c r="D95" s="22">
        <v>1560000.0</v>
      </c>
      <c r="E95" s="15">
        <v>1580000.0</v>
      </c>
      <c r="F95" s="22">
        <v>2000000.0</v>
      </c>
      <c r="G95" s="22">
        <v>2250000.0</v>
      </c>
      <c r="H95" s="22">
        <v>2250000.0</v>
      </c>
      <c r="I95" s="22">
        <v>2250000.0</v>
      </c>
      <c r="J95" s="22">
        <v>2250000.0</v>
      </c>
      <c r="K95" s="19">
        <f t="shared" ref="K95:P95" si="63">K96+J95</f>
        <v>2550000</v>
      </c>
      <c r="L95" s="19">
        <f t="shared" si="63"/>
        <v>2850000</v>
      </c>
      <c r="M95" s="19">
        <f t="shared" si="63"/>
        <v>3150000</v>
      </c>
      <c r="N95" s="19">
        <f t="shared" si="63"/>
        <v>3450000</v>
      </c>
      <c r="O95" s="19">
        <f t="shared" si="63"/>
        <v>3750000</v>
      </c>
      <c r="P95" s="19">
        <f t="shared" si="63"/>
        <v>4050000</v>
      </c>
    </row>
    <row r="96" ht="15.75" customHeight="1">
      <c r="A96" s="5" t="s">
        <v>69</v>
      </c>
      <c r="B96" s="15">
        <v>0.0</v>
      </c>
      <c r="C96" s="19">
        <f t="shared" ref="C96:J96" si="64">C95-B95</f>
        <v>50000</v>
      </c>
      <c r="D96" s="19">
        <f t="shared" si="64"/>
        <v>10000</v>
      </c>
      <c r="E96" s="19">
        <f t="shared" si="64"/>
        <v>20000</v>
      </c>
      <c r="F96" s="19">
        <f t="shared" si="64"/>
        <v>420000</v>
      </c>
      <c r="G96" s="19">
        <f t="shared" si="64"/>
        <v>250000</v>
      </c>
      <c r="H96" s="19">
        <f t="shared" si="64"/>
        <v>0</v>
      </c>
      <c r="I96" s="19">
        <f t="shared" si="64"/>
        <v>0</v>
      </c>
      <c r="J96" s="19">
        <f t="shared" si="64"/>
        <v>0</v>
      </c>
      <c r="K96" s="43">
        <v>300000.0</v>
      </c>
      <c r="L96" s="44">
        <f t="shared" ref="L96:P96" si="65">K96</f>
        <v>300000</v>
      </c>
      <c r="M96" s="44">
        <f t="shared" si="65"/>
        <v>300000</v>
      </c>
      <c r="N96" s="44">
        <f t="shared" si="65"/>
        <v>300000</v>
      </c>
      <c r="O96" s="44">
        <f t="shared" si="65"/>
        <v>300000</v>
      </c>
      <c r="P96" s="44">
        <f t="shared" si="65"/>
        <v>300000</v>
      </c>
    </row>
    <row r="97" ht="15.75" customHeight="1">
      <c r="A97" s="5"/>
    </row>
    <row r="98" ht="15.75" customHeight="1">
      <c r="A98" s="5" t="s">
        <v>70</v>
      </c>
      <c r="B98" s="22">
        <v>1305351.0</v>
      </c>
      <c r="C98" s="22">
        <f>C100-C99</f>
        <v>1444541</v>
      </c>
      <c r="D98" s="22">
        <v>1653500.0</v>
      </c>
      <c r="E98" s="22">
        <v>1753700.0</v>
      </c>
      <c r="F98" s="22">
        <v>1461126.0</v>
      </c>
      <c r="G98" s="22">
        <v>1361722.0</v>
      </c>
      <c r="H98" s="22">
        <v>1414277.0</v>
      </c>
      <c r="I98" s="22">
        <v>1706831.0</v>
      </c>
      <c r="J98" s="22">
        <v>1852256.0</v>
      </c>
    </row>
    <row r="99" ht="15.75" customHeight="1">
      <c r="A99" s="5" t="s">
        <v>71</v>
      </c>
      <c r="B99" s="22">
        <v>123897.0</v>
      </c>
      <c r="C99" s="22">
        <v>124062.0</v>
      </c>
      <c r="D99" s="22">
        <v>126074.0</v>
      </c>
      <c r="E99" s="19">
        <f>E100-E98</f>
        <v>108749</v>
      </c>
      <c r="F99" s="22">
        <v>102171.0</v>
      </c>
      <c r="G99" s="22">
        <v>96139.0</v>
      </c>
      <c r="H99" s="22">
        <v>238376.0</v>
      </c>
      <c r="I99" s="22">
        <v>259333.0</v>
      </c>
      <c r="J99" s="22">
        <v>283067.0</v>
      </c>
    </row>
    <row r="100" ht="15.75" customHeight="1">
      <c r="A100" s="17" t="s">
        <v>49</v>
      </c>
      <c r="B100" s="27">
        <f>SUM(B98:B99)</f>
        <v>1429248</v>
      </c>
      <c r="C100" s="52">
        <v>1568603.0</v>
      </c>
      <c r="D100" s="27">
        <f>SUM(D98:D99)</f>
        <v>1779574</v>
      </c>
      <c r="E100" s="52">
        <v>1862449.0</v>
      </c>
      <c r="F100" s="27">
        <f t="shared" ref="F100:J100" si="66">SUM(F98:F99)</f>
        <v>1563297</v>
      </c>
      <c r="G100" s="27">
        <f t="shared" si="66"/>
        <v>1457861</v>
      </c>
      <c r="H100" s="27">
        <f t="shared" si="66"/>
        <v>1652653</v>
      </c>
      <c r="I100" s="27">
        <f t="shared" si="66"/>
        <v>1966164</v>
      </c>
      <c r="J100" s="27">
        <f t="shared" si="66"/>
        <v>2135323</v>
      </c>
      <c r="K100" s="54">
        <f t="shared" ref="K100:P100" si="67">K111*K118</f>
        <v>2388726.764</v>
      </c>
      <c r="L100" s="54">
        <f t="shared" si="67"/>
        <v>2537202.039</v>
      </c>
      <c r="M100" s="54">
        <f t="shared" si="67"/>
        <v>2695883.226</v>
      </c>
      <c r="N100" s="54">
        <f t="shared" si="67"/>
        <v>2865482.868</v>
      </c>
      <c r="O100" s="54">
        <f t="shared" si="67"/>
        <v>3046763.362</v>
      </c>
      <c r="P100" s="54">
        <f t="shared" si="67"/>
        <v>3240540.458</v>
      </c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ht="15.75" customHeight="1">
      <c r="A101" s="5"/>
    </row>
    <row r="102" ht="15.75" customHeight="1">
      <c r="A102" s="5" t="s">
        <v>72</v>
      </c>
      <c r="B102" s="35">
        <f t="shared" ref="B102:P102" si="68">B100/B95</f>
        <v>0.952832</v>
      </c>
      <c r="C102" s="35">
        <f t="shared" si="68"/>
        <v>1.012001935</v>
      </c>
      <c r="D102" s="35">
        <f t="shared" si="68"/>
        <v>1.140752564</v>
      </c>
      <c r="E102" s="35">
        <f t="shared" si="68"/>
        <v>1.17876519</v>
      </c>
      <c r="F102" s="35">
        <f t="shared" si="68"/>
        <v>0.7816485</v>
      </c>
      <c r="G102" s="35">
        <f t="shared" si="68"/>
        <v>0.6479382222</v>
      </c>
      <c r="H102" s="35">
        <f t="shared" si="68"/>
        <v>0.7345124444</v>
      </c>
      <c r="I102" s="35">
        <f t="shared" si="68"/>
        <v>0.8738506667</v>
      </c>
      <c r="J102" s="35">
        <f t="shared" si="68"/>
        <v>0.9490324444</v>
      </c>
      <c r="K102" s="35">
        <f t="shared" si="68"/>
        <v>0.9367555938</v>
      </c>
      <c r="L102" s="35">
        <f t="shared" si="68"/>
        <v>0.8902463294</v>
      </c>
      <c r="M102" s="35">
        <f t="shared" si="68"/>
        <v>0.8558359449</v>
      </c>
      <c r="N102" s="35">
        <f t="shared" si="68"/>
        <v>0.8305747443</v>
      </c>
      <c r="O102" s="35">
        <f t="shared" si="68"/>
        <v>0.8124702299</v>
      </c>
      <c r="P102" s="35">
        <f t="shared" si="68"/>
        <v>0.8001334464</v>
      </c>
    </row>
    <row r="103" ht="15.75" customHeight="1">
      <c r="A103" s="5"/>
    </row>
    <row r="104" ht="15.75" customHeight="1">
      <c r="A104" s="5" t="s">
        <v>73</v>
      </c>
      <c r="C104" s="35">
        <f t="shared" ref="C104:J104" si="69">C98/B98-1</f>
        <v>0.106630324</v>
      </c>
      <c r="D104" s="35">
        <f t="shared" si="69"/>
        <v>0.1446542535</v>
      </c>
      <c r="E104" s="35">
        <f t="shared" si="69"/>
        <v>0.06059872997</v>
      </c>
      <c r="F104" s="35">
        <f t="shared" si="69"/>
        <v>-0.1668324115</v>
      </c>
      <c r="G104" s="35">
        <f t="shared" si="69"/>
        <v>-0.06803246263</v>
      </c>
      <c r="H104" s="35">
        <f t="shared" si="69"/>
        <v>0.03859451489</v>
      </c>
      <c r="I104" s="35">
        <f t="shared" si="69"/>
        <v>0.2068576382</v>
      </c>
      <c r="J104" s="35">
        <f t="shared" si="69"/>
        <v>0.08520175694</v>
      </c>
    </row>
    <row r="105" ht="15.75" customHeight="1">
      <c r="A105" s="5" t="s">
        <v>74</v>
      </c>
      <c r="C105" s="35">
        <f t="shared" ref="C105:J105" si="70">C99/B99-1</f>
        <v>0.001331751374</v>
      </c>
      <c r="D105" s="35">
        <f t="shared" si="70"/>
        <v>0.0162176976</v>
      </c>
      <c r="E105" s="35">
        <f t="shared" si="70"/>
        <v>-0.1374192934</v>
      </c>
      <c r="F105" s="35">
        <f t="shared" si="70"/>
        <v>-0.06048791253</v>
      </c>
      <c r="G105" s="35">
        <f t="shared" si="70"/>
        <v>-0.05903827896</v>
      </c>
      <c r="H105" s="35">
        <f t="shared" si="70"/>
        <v>1.479493234</v>
      </c>
      <c r="I105" s="35">
        <f t="shared" si="70"/>
        <v>0.08791572977</v>
      </c>
      <c r="J105" s="35">
        <f t="shared" si="70"/>
        <v>0.09151939784</v>
      </c>
    </row>
    <row r="106" ht="15.75" customHeight="1">
      <c r="A106" s="17" t="s">
        <v>75</v>
      </c>
      <c r="B106" s="34"/>
      <c r="C106" s="35">
        <f t="shared" ref="C106:J106" si="71">C100/B100-1</f>
        <v>0.0975023229</v>
      </c>
      <c r="D106" s="35">
        <f t="shared" si="71"/>
        <v>0.134496109</v>
      </c>
      <c r="E106" s="35">
        <f t="shared" si="71"/>
        <v>0.0465701342</v>
      </c>
      <c r="F106" s="35">
        <f t="shared" si="71"/>
        <v>-0.1606229218</v>
      </c>
      <c r="G106" s="35">
        <f t="shared" si="71"/>
        <v>-0.06744463784</v>
      </c>
      <c r="H106" s="35">
        <f t="shared" si="71"/>
        <v>0.1336149331</v>
      </c>
      <c r="I106" s="35">
        <f t="shared" si="71"/>
        <v>0.1897016494</v>
      </c>
      <c r="J106" s="35">
        <f t="shared" si="71"/>
        <v>0.08603504082</v>
      </c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ht="15.75" customHeight="1">
      <c r="A107" s="5"/>
    </row>
    <row r="108" ht="15.75" customHeight="1">
      <c r="A108" s="17" t="s">
        <v>76</v>
      </c>
    </row>
    <row r="109" ht="15.75" customHeight="1">
      <c r="A109" s="5" t="s">
        <v>77</v>
      </c>
      <c r="B109" s="49">
        <v>2789208.0</v>
      </c>
      <c r="C109" s="49">
        <v>3047582.0</v>
      </c>
      <c r="D109" s="49">
        <v>3288581.0</v>
      </c>
      <c r="E109" s="49">
        <v>3377389.0</v>
      </c>
      <c r="F109" s="49">
        <v>2773519.0</v>
      </c>
      <c r="G109" s="49">
        <v>2711457.0</v>
      </c>
      <c r="H109" s="49">
        <v>3069523.0</v>
      </c>
      <c r="I109" s="49">
        <v>3890114.0</v>
      </c>
      <c r="J109" s="49">
        <v>4218746.0</v>
      </c>
      <c r="K109" s="25">
        <f t="shared" ref="K109:P109" si="72">J109*(1+K112)</f>
        <v>4514058.22</v>
      </c>
      <c r="L109" s="25">
        <f t="shared" si="72"/>
        <v>4830042.295</v>
      </c>
      <c r="M109" s="25">
        <f t="shared" si="72"/>
        <v>5168145.256</v>
      </c>
      <c r="N109" s="25">
        <f t="shared" si="72"/>
        <v>5529915.424</v>
      </c>
      <c r="O109" s="25">
        <f t="shared" si="72"/>
        <v>5917009.504</v>
      </c>
      <c r="P109" s="25">
        <f t="shared" si="72"/>
        <v>6331200.169</v>
      </c>
    </row>
    <row r="110" ht="15.75" customHeight="1">
      <c r="A110" s="5" t="s">
        <v>71</v>
      </c>
      <c r="B110" s="49">
        <v>653053.0</v>
      </c>
      <c r="C110" s="49">
        <v>758727.0</v>
      </c>
      <c r="D110" s="49">
        <v>748366.0</v>
      </c>
      <c r="E110" s="49">
        <v>676192.0</v>
      </c>
      <c r="F110" s="49">
        <v>662118.0</v>
      </c>
      <c r="G110" s="49">
        <v>404397.0</v>
      </c>
      <c r="H110" s="49">
        <v>577875.0</v>
      </c>
      <c r="I110" s="49">
        <v>662891.0</v>
      </c>
      <c r="J110" s="49">
        <v>672105.0</v>
      </c>
      <c r="K110" s="25">
        <f t="shared" ref="K110:P110" si="73">J110*(1+K113)</f>
        <v>678826.05</v>
      </c>
      <c r="L110" s="25">
        <f t="shared" si="73"/>
        <v>685614.3105</v>
      </c>
      <c r="M110" s="25">
        <f t="shared" si="73"/>
        <v>692470.4536</v>
      </c>
      <c r="N110" s="25">
        <f t="shared" si="73"/>
        <v>699395.1581</v>
      </c>
      <c r="O110" s="25">
        <f t="shared" si="73"/>
        <v>706389.1097</v>
      </c>
      <c r="P110" s="25">
        <f t="shared" si="73"/>
        <v>713453.0008</v>
      </c>
    </row>
    <row r="111" ht="15.75" customHeight="1">
      <c r="A111" s="5" t="s">
        <v>49</v>
      </c>
      <c r="B111" s="19">
        <f t="shared" ref="B111:P111" si="74">SUM(B109:B110)</f>
        <v>3442261</v>
      </c>
      <c r="C111" s="19">
        <f t="shared" si="74"/>
        <v>3806309</v>
      </c>
      <c r="D111" s="19">
        <f t="shared" si="74"/>
        <v>4036947</v>
      </c>
      <c r="E111" s="19">
        <f t="shared" si="74"/>
        <v>4053581</v>
      </c>
      <c r="F111" s="19">
        <f t="shared" si="74"/>
        <v>3435637</v>
      </c>
      <c r="G111" s="19">
        <f t="shared" si="74"/>
        <v>3115854</v>
      </c>
      <c r="H111" s="19">
        <f t="shared" si="74"/>
        <v>3647398</v>
      </c>
      <c r="I111" s="19">
        <f t="shared" si="74"/>
        <v>4553005</v>
      </c>
      <c r="J111" s="19">
        <f t="shared" si="74"/>
        <v>4890851</v>
      </c>
      <c r="K111" s="25">
        <f t="shared" si="74"/>
        <v>5192884.27</v>
      </c>
      <c r="L111" s="25">
        <f t="shared" si="74"/>
        <v>5515656.606</v>
      </c>
      <c r="M111" s="25">
        <f t="shared" si="74"/>
        <v>5860615.71</v>
      </c>
      <c r="N111" s="25">
        <f t="shared" si="74"/>
        <v>6229310.582</v>
      </c>
      <c r="O111" s="25">
        <f t="shared" si="74"/>
        <v>6623398.613</v>
      </c>
      <c r="P111" s="25">
        <f t="shared" si="74"/>
        <v>7044653.17</v>
      </c>
    </row>
    <row r="112" ht="15.75" customHeight="1">
      <c r="A112" s="5" t="s">
        <v>78</v>
      </c>
      <c r="C112" s="39">
        <f t="shared" ref="C112:J112" si="75">C109/B109-1</f>
        <v>0.09263346441</v>
      </c>
      <c r="D112" s="39">
        <f t="shared" si="75"/>
        <v>0.07907875818</v>
      </c>
      <c r="E112" s="39">
        <f t="shared" si="75"/>
        <v>0.0270049605</v>
      </c>
      <c r="F112" s="39">
        <f t="shared" si="75"/>
        <v>-0.178797882</v>
      </c>
      <c r="G112" s="39">
        <f t="shared" si="75"/>
        <v>-0.02237662695</v>
      </c>
      <c r="H112" s="39">
        <f t="shared" si="75"/>
        <v>0.1320566765</v>
      </c>
      <c r="I112" s="39">
        <f t="shared" si="75"/>
        <v>0.2673350224</v>
      </c>
      <c r="J112" s="39">
        <f t="shared" si="75"/>
        <v>0.08447875821</v>
      </c>
      <c r="K112" s="47">
        <v>0.07</v>
      </c>
      <c r="L112" s="26">
        <f t="shared" ref="L112:P112" si="76">K112</f>
        <v>0.07</v>
      </c>
      <c r="M112" s="26">
        <f t="shared" si="76"/>
        <v>0.07</v>
      </c>
      <c r="N112" s="26">
        <f t="shared" si="76"/>
        <v>0.07</v>
      </c>
      <c r="O112" s="26">
        <f t="shared" si="76"/>
        <v>0.07</v>
      </c>
      <c r="P112" s="26">
        <f t="shared" si="76"/>
        <v>0.07</v>
      </c>
    </row>
    <row r="113" ht="15.75" customHeight="1">
      <c r="A113" s="5" t="s">
        <v>79</v>
      </c>
      <c r="C113" s="39">
        <f t="shared" ref="C113:J113" si="77">C110/B110-1</f>
        <v>0.1618153504</v>
      </c>
      <c r="D113" s="39">
        <f t="shared" si="77"/>
        <v>-0.01365576815</v>
      </c>
      <c r="E113" s="39">
        <f t="shared" si="77"/>
        <v>-0.09644211522</v>
      </c>
      <c r="F113" s="39">
        <f t="shared" si="77"/>
        <v>-0.02081361507</v>
      </c>
      <c r="G113" s="39">
        <f t="shared" si="77"/>
        <v>-0.3892372659</v>
      </c>
      <c r="H113" s="39">
        <f t="shared" si="77"/>
        <v>0.4289794435</v>
      </c>
      <c r="I113" s="39">
        <f t="shared" si="77"/>
        <v>0.1471183214</v>
      </c>
      <c r="J113" s="39">
        <f t="shared" si="77"/>
        <v>0.01389972107</v>
      </c>
      <c r="K113" s="47">
        <v>0.01</v>
      </c>
      <c r="L113" s="26">
        <f t="shared" ref="L113:P113" si="78">K113</f>
        <v>0.01</v>
      </c>
      <c r="M113" s="26">
        <f t="shared" si="78"/>
        <v>0.01</v>
      </c>
      <c r="N113" s="26">
        <f t="shared" si="78"/>
        <v>0.01</v>
      </c>
      <c r="O113" s="26">
        <f t="shared" si="78"/>
        <v>0.01</v>
      </c>
      <c r="P113" s="26">
        <f t="shared" si="78"/>
        <v>0.01</v>
      </c>
    </row>
    <row r="114" ht="15.75" customHeight="1">
      <c r="A114" s="5"/>
    </row>
    <row r="115" ht="15.75" customHeight="1">
      <c r="A115" s="17" t="s">
        <v>80</v>
      </c>
    </row>
    <row r="116" ht="15.75" customHeight="1">
      <c r="A116" s="5" t="s">
        <v>70</v>
      </c>
      <c r="B116" s="39">
        <f t="shared" ref="B116:J116" si="79">B98/B109</f>
        <v>0.4680005937</v>
      </c>
      <c r="C116" s="39">
        <f t="shared" si="79"/>
        <v>0.4739957776</v>
      </c>
      <c r="D116" s="39">
        <f t="shared" si="79"/>
        <v>0.502800448</v>
      </c>
      <c r="E116" s="39">
        <f t="shared" si="79"/>
        <v>0.5192472647</v>
      </c>
      <c r="F116" s="39">
        <f t="shared" si="79"/>
        <v>0.5268130487</v>
      </c>
      <c r="G116" s="39">
        <f t="shared" si="79"/>
        <v>0.5022104352</v>
      </c>
      <c r="H116" s="39">
        <f t="shared" si="79"/>
        <v>0.4607481358</v>
      </c>
      <c r="I116" s="39">
        <f t="shared" si="79"/>
        <v>0.4387611777</v>
      </c>
      <c r="J116" s="39">
        <f t="shared" si="79"/>
        <v>0.4390536904</v>
      </c>
    </row>
    <row r="117" ht="15.75" customHeight="1">
      <c r="A117" s="5" t="s">
        <v>71</v>
      </c>
      <c r="B117" s="39">
        <f t="shared" ref="B117:J117" si="80">B99/B110</f>
        <v>0.1897196705</v>
      </c>
      <c r="C117" s="39">
        <f t="shared" si="80"/>
        <v>0.1635133586</v>
      </c>
      <c r="D117" s="39">
        <f t="shared" si="80"/>
        <v>0.1684656973</v>
      </c>
      <c r="E117" s="39">
        <f t="shared" si="80"/>
        <v>0.1608256235</v>
      </c>
      <c r="F117" s="39">
        <f t="shared" si="80"/>
        <v>0.1543093527</v>
      </c>
      <c r="G117" s="39">
        <f t="shared" si="80"/>
        <v>0.2377342067</v>
      </c>
      <c r="H117" s="39">
        <f t="shared" si="80"/>
        <v>0.4125044343</v>
      </c>
      <c r="I117" s="39">
        <f t="shared" si="80"/>
        <v>0.391215147</v>
      </c>
      <c r="J117" s="39">
        <f t="shared" si="80"/>
        <v>0.4211648478</v>
      </c>
    </row>
    <row r="118" ht="15.75" customHeight="1">
      <c r="A118" s="5" t="s">
        <v>81</v>
      </c>
      <c r="B118" s="39">
        <f t="shared" ref="B118:J118" si="81">B100/B111</f>
        <v>0.4152061683</v>
      </c>
      <c r="C118" s="39">
        <f t="shared" si="81"/>
        <v>0.4121060587</v>
      </c>
      <c r="D118" s="39">
        <f t="shared" si="81"/>
        <v>0.4408217398</v>
      </c>
      <c r="E118" s="39">
        <f t="shared" si="81"/>
        <v>0.4594576993</v>
      </c>
      <c r="F118" s="39">
        <f t="shared" si="81"/>
        <v>0.4550239155</v>
      </c>
      <c r="G118" s="39">
        <f t="shared" si="81"/>
        <v>0.4678848881</v>
      </c>
      <c r="H118" s="39">
        <f t="shared" si="81"/>
        <v>0.4531046516</v>
      </c>
      <c r="I118" s="39">
        <f t="shared" si="81"/>
        <v>0.4318387526</v>
      </c>
      <c r="J118" s="39">
        <f t="shared" si="81"/>
        <v>0.43659539</v>
      </c>
      <c r="K118" s="56">
        <v>0.46</v>
      </c>
      <c r="L118" s="57">
        <f t="shared" ref="L118:P118" si="82">K118</f>
        <v>0.46</v>
      </c>
      <c r="M118" s="57">
        <f t="shared" si="82"/>
        <v>0.46</v>
      </c>
      <c r="N118" s="57">
        <f t="shared" si="82"/>
        <v>0.46</v>
      </c>
      <c r="O118" s="57">
        <f t="shared" si="82"/>
        <v>0.46</v>
      </c>
      <c r="P118" s="57">
        <f t="shared" si="82"/>
        <v>0.46</v>
      </c>
    </row>
    <row r="119" ht="15.75" customHeight="1">
      <c r="A119" s="5"/>
    </row>
    <row r="120" ht="15.75" customHeight="1">
      <c r="A120" s="5" t="s">
        <v>82</v>
      </c>
      <c r="B120" s="25">
        <f t="shared" ref="B120:J120" si="83">B3/B100*1000000</f>
        <v>399241.4193</v>
      </c>
      <c r="C120" s="25">
        <f t="shared" si="83"/>
        <v>434048.6407</v>
      </c>
      <c r="D120" s="25">
        <f t="shared" si="83"/>
        <v>448474.7473</v>
      </c>
      <c r="E120" s="25">
        <f t="shared" si="83"/>
        <v>462125.4059</v>
      </c>
      <c r="F120" s="25">
        <f t="shared" si="83"/>
        <v>483977.1329</v>
      </c>
      <c r="G120" s="25">
        <f t="shared" si="83"/>
        <v>482707.1991</v>
      </c>
      <c r="H120" s="25">
        <f t="shared" si="83"/>
        <v>534472.7538</v>
      </c>
      <c r="I120" s="25">
        <f t="shared" si="83"/>
        <v>602238.1653</v>
      </c>
      <c r="J120" s="25">
        <f t="shared" si="83"/>
        <v>664340.711</v>
      </c>
      <c r="K120" s="25">
        <f t="shared" ref="K120:P120" si="84">J120*(1+K121)</f>
        <v>730774.7821</v>
      </c>
      <c r="L120" s="25">
        <f t="shared" si="84"/>
        <v>803852.2603</v>
      </c>
      <c r="M120" s="25">
        <f t="shared" si="84"/>
        <v>884237.4863</v>
      </c>
      <c r="N120" s="25">
        <f t="shared" si="84"/>
        <v>972661.235</v>
      </c>
      <c r="O120" s="25">
        <f t="shared" si="84"/>
        <v>1069927.358</v>
      </c>
      <c r="P120" s="25">
        <f t="shared" si="84"/>
        <v>1176920.094</v>
      </c>
    </row>
    <row r="121" ht="15.75" customHeight="1">
      <c r="A121" s="5" t="s">
        <v>83</v>
      </c>
      <c r="C121" s="39">
        <f t="shared" ref="C121:J121" si="85">C120/B120-1</f>
        <v>0.08718339278</v>
      </c>
      <c r="D121" s="39">
        <f t="shared" si="85"/>
        <v>0.03323615199</v>
      </c>
      <c r="E121" s="39">
        <f t="shared" si="85"/>
        <v>0.03043796469</v>
      </c>
      <c r="F121" s="39">
        <f t="shared" si="85"/>
        <v>0.04728527542</v>
      </c>
      <c r="G121" s="39">
        <f t="shared" si="85"/>
        <v>-0.002623954209</v>
      </c>
      <c r="H121" s="39">
        <f t="shared" si="85"/>
        <v>0.1072400718</v>
      </c>
      <c r="I121" s="39">
        <f t="shared" si="85"/>
        <v>0.1267892722</v>
      </c>
      <c r="J121" s="39">
        <f t="shared" si="85"/>
        <v>0.1031195784</v>
      </c>
      <c r="K121" s="56">
        <v>0.1</v>
      </c>
      <c r="L121" s="57">
        <f t="shared" ref="L121:P121" si="86">K121</f>
        <v>0.1</v>
      </c>
      <c r="M121" s="57">
        <f t="shared" si="86"/>
        <v>0.1</v>
      </c>
      <c r="N121" s="57">
        <f t="shared" si="86"/>
        <v>0.1</v>
      </c>
      <c r="O121" s="57">
        <f t="shared" si="86"/>
        <v>0.1</v>
      </c>
      <c r="P121" s="57">
        <f t="shared" si="86"/>
        <v>0.1</v>
      </c>
    </row>
    <row r="122" ht="15.75" customHeight="1">
      <c r="A122" s="5"/>
    </row>
    <row r="123" ht="15.75" customHeight="1">
      <c r="A123" s="17" t="s">
        <v>84</v>
      </c>
    </row>
    <row r="124" ht="15.75" customHeight="1">
      <c r="A124" s="5"/>
    </row>
    <row r="125" ht="15.75" customHeight="1">
      <c r="A125" s="1" t="s">
        <v>5</v>
      </c>
      <c r="B125" s="39">
        <f t="shared" ref="B125:J125" si="87">B9/B$3</f>
        <v>0.6344154991</v>
      </c>
      <c r="C125" s="39">
        <f t="shared" si="87"/>
        <v>0.6260982595</v>
      </c>
      <c r="D125" s="39">
        <f t="shared" si="87"/>
        <v>0.5631316612</v>
      </c>
      <c r="E125" s="39">
        <f t="shared" si="87"/>
        <v>0.5231379657</v>
      </c>
      <c r="F125" s="39">
        <f t="shared" si="87"/>
        <v>0.4577689664</v>
      </c>
      <c r="G125" s="39">
        <f t="shared" si="87"/>
        <v>0.4731484113</v>
      </c>
      <c r="H125" s="39">
        <f t="shared" si="87"/>
        <v>0.4499002602</v>
      </c>
      <c r="I125" s="39">
        <f t="shared" si="87"/>
        <v>0.6194769187</v>
      </c>
      <c r="J125" s="39">
        <f t="shared" si="87"/>
        <v>0.5562970628</v>
      </c>
      <c r="K125" s="58">
        <v>0.6</v>
      </c>
      <c r="L125" s="35">
        <f t="shared" ref="L125:P125" si="88">K125</f>
        <v>0.6</v>
      </c>
      <c r="M125" s="35">
        <f t="shared" si="88"/>
        <v>0.6</v>
      </c>
      <c r="N125" s="35">
        <f t="shared" si="88"/>
        <v>0.6</v>
      </c>
      <c r="O125" s="35">
        <f t="shared" si="88"/>
        <v>0.6</v>
      </c>
      <c r="P125" s="35">
        <f t="shared" si="88"/>
        <v>0.6</v>
      </c>
    </row>
    <row r="126" ht="15.75" customHeight="1">
      <c r="A126" s="1" t="s">
        <v>6</v>
      </c>
      <c r="B126" s="39">
        <f t="shared" ref="B126:J126" si="89">B10/B$3</f>
        <v>0.05558038257</v>
      </c>
      <c r="C126" s="39">
        <f t="shared" si="89"/>
        <v>0.06599985312</v>
      </c>
      <c r="D126" s="39">
        <f t="shared" si="89"/>
        <v>0.1253248364</v>
      </c>
      <c r="E126" s="39">
        <f t="shared" si="89"/>
        <v>0.1663895618</v>
      </c>
      <c r="F126" s="39">
        <f t="shared" si="89"/>
        <v>0.2480465239</v>
      </c>
      <c r="G126" s="39">
        <f t="shared" si="89"/>
        <v>0.2451841642</v>
      </c>
      <c r="H126" s="39">
        <f t="shared" si="89"/>
        <v>0.2988515767</v>
      </c>
      <c r="I126" s="39">
        <f t="shared" si="89"/>
        <v>0.1073786905</v>
      </c>
      <c r="J126" s="39">
        <f t="shared" si="89"/>
        <v>0.1494746162</v>
      </c>
      <c r="K126" s="58">
        <v>0.08</v>
      </c>
      <c r="L126" s="35">
        <f t="shared" ref="L126:P126" si="90">K126</f>
        <v>0.08</v>
      </c>
      <c r="M126" s="35">
        <f t="shared" si="90"/>
        <v>0.08</v>
      </c>
      <c r="N126" s="35">
        <f t="shared" si="90"/>
        <v>0.08</v>
      </c>
      <c r="O126" s="35">
        <f t="shared" si="90"/>
        <v>0.08</v>
      </c>
      <c r="P126" s="35">
        <f t="shared" si="90"/>
        <v>0.08</v>
      </c>
    </row>
    <row r="127" ht="15.75" customHeight="1">
      <c r="A127" s="1" t="s">
        <v>8</v>
      </c>
      <c r="B127" s="39">
        <f t="shared" ref="B127:J127" si="91">B11/B$3</f>
        <v>0.0001104071922</v>
      </c>
      <c r="C127" s="39">
        <f t="shared" si="91"/>
        <v>-0.005570977455</v>
      </c>
      <c r="D127" s="39">
        <f t="shared" si="91"/>
        <v>0.0005112179768</v>
      </c>
      <c r="E127" s="39">
        <f t="shared" si="91"/>
        <v>0.002458506887</v>
      </c>
      <c r="F127" s="39">
        <f t="shared" si="91"/>
        <v>-0.003154903516</v>
      </c>
      <c r="G127" s="39">
        <f t="shared" si="91"/>
        <v>0.003887909964</v>
      </c>
      <c r="H127" s="39">
        <f t="shared" si="91"/>
        <v>-0.001054004424</v>
      </c>
      <c r="I127" s="39">
        <f t="shared" si="91"/>
        <v>-0.004902461703</v>
      </c>
      <c r="J127" s="39">
        <f t="shared" si="91"/>
        <v>-0.002668862286</v>
      </c>
      <c r="K127" s="59">
        <f t="shared" ref="K127:P127" si="92">J127</f>
        <v>-0.002668862286</v>
      </c>
      <c r="L127" s="35">
        <f t="shared" si="92"/>
        <v>-0.002668862286</v>
      </c>
      <c r="M127" s="35">
        <f t="shared" si="92"/>
        <v>-0.002668862286</v>
      </c>
      <c r="N127" s="35">
        <f t="shared" si="92"/>
        <v>-0.002668862286</v>
      </c>
      <c r="O127" s="35">
        <f t="shared" si="92"/>
        <v>-0.002668862286</v>
      </c>
      <c r="P127" s="35">
        <f t="shared" si="92"/>
        <v>-0.002668862286</v>
      </c>
    </row>
    <row r="128" ht="15.75" customHeight="1">
      <c r="A128" s="1" t="s">
        <v>10</v>
      </c>
      <c r="B128" s="39">
        <f t="shared" ref="B128:J128" si="93">B12/B$3</f>
        <v>0.03610490436</v>
      </c>
      <c r="C128" s="39">
        <f t="shared" si="93"/>
        <v>0.03466696042</v>
      </c>
      <c r="D128" s="39">
        <f t="shared" si="93"/>
        <v>0.03587797929</v>
      </c>
      <c r="E128" s="39">
        <f t="shared" si="93"/>
        <v>0.03816727374</v>
      </c>
      <c r="F128" s="39">
        <f t="shared" si="93"/>
        <v>0.04515199577</v>
      </c>
      <c r="G128" s="39">
        <f t="shared" si="93"/>
        <v>0.04876371284</v>
      </c>
      <c r="H128" s="39">
        <f t="shared" si="93"/>
        <v>0.04586674033</v>
      </c>
      <c r="I128" s="39">
        <f t="shared" si="93"/>
        <v>0.04483155547</v>
      </c>
      <c r="J128" s="39">
        <f t="shared" si="93"/>
        <v>0.04442182405</v>
      </c>
      <c r="K128" s="58">
        <v>0.04</v>
      </c>
      <c r="L128" s="35">
        <f t="shared" ref="L128:P128" si="94">K128</f>
        <v>0.04</v>
      </c>
      <c r="M128" s="35">
        <f t="shared" si="94"/>
        <v>0.04</v>
      </c>
      <c r="N128" s="35">
        <f t="shared" si="94"/>
        <v>0.04</v>
      </c>
      <c r="O128" s="35">
        <f t="shared" si="94"/>
        <v>0.04</v>
      </c>
      <c r="P128" s="35">
        <f t="shared" si="94"/>
        <v>0.04</v>
      </c>
    </row>
    <row r="129" ht="15.75" customHeight="1">
      <c r="A129" s="1" t="s">
        <v>12</v>
      </c>
      <c r="B129" s="39">
        <f t="shared" ref="B129:J129" si="95">B13/B$3</f>
        <v>0.1422097211</v>
      </c>
      <c r="C129" s="39">
        <f t="shared" si="95"/>
        <v>0.1281927003</v>
      </c>
      <c r="D129" s="39">
        <f t="shared" si="95"/>
        <v>0.1252433924</v>
      </c>
      <c r="E129" s="39">
        <f t="shared" si="95"/>
        <v>0.1434229712</v>
      </c>
      <c r="F129" s="39">
        <f t="shared" si="95"/>
        <v>0.1571451229</v>
      </c>
      <c r="G129" s="39">
        <f t="shared" si="95"/>
        <v>0.1540030126</v>
      </c>
      <c r="H129" s="39">
        <f t="shared" si="95"/>
        <v>0.1434702671</v>
      </c>
      <c r="I129" s="39">
        <f t="shared" si="95"/>
        <v>0.123951629</v>
      </c>
      <c r="J129" s="39">
        <f t="shared" si="95"/>
        <v>0.1237157951</v>
      </c>
      <c r="K129" s="59">
        <f t="shared" ref="K129:P129" si="96">J129</f>
        <v>0.1237157951</v>
      </c>
      <c r="L129" s="35">
        <f t="shared" si="96"/>
        <v>0.1237157951</v>
      </c>
      <c r="M129" s="35">
        <f t="shared" si="96"/>
        <v>0.1237157951</v>
      </c>
      <c r="N129" s="35">
        <f t="shared" si="96"/>
        <v>0.1237157951</v>
      </c>
      <c r="O129" s="35">
        <f t="shared" si="96"/>
        <v>0.1237157951</v>
      </c>
      <c r="P129" s="35">
        <f t="shared" si="96"/>
        <v>0.1237157951</v>
      </c>
    </row>
    <row r="130" ht="15.75" customHeight="1">
      <c r="A130" s="1" t="s">
        <v>85</v>
      </c>
      <c r="B130" s="39">
        <f t="shared" ref="B130:J130" si="97">B14/B$3</f>
        <v>-0.001055002059</v>
      </c>
      <c r="C130" s="39">
        <f t="shared" si="97"/>
        <v>-0.001521627378</v>
      </c>
      <c r="D130" s="39">
        <f t="shared" si="97"/>
        <v>-0.00124170837</v>
      </c>
      <c r="E130" s="39">
        <f t="shared" si="97"/>
        <v>-0.001418637481</v>
      </c>
      <c r="F130" s="39">
        <f t="shared" si="97"/>
        <v>-0.001608511763</v>
      </c>
      <c r="G130" s="39">
        <f t="shared" si="97"/>
        <v>-0.001034502359</v>
      </c>
      <c r="H130" s="39">
        <f t="shared" si="97"/>
        <v>-0.001635914493</v>
      </c>
      <c r="I130" s="39">
        <f t="shared" si="97"/>
        <v>-0.001321680028</v>
      </c>
      <c r="J130" s="39">
        <f t="shared" si="97"/>
        <v>-0.001837750655</v>
      </c>
      <c r="K130" s="59">
        <f t="shared" ref="K130:P130" si="98">J130</f>
        <v>-0.001837750655</v>
      </c>
      <c r="L130" s="35">
        <f t="shared" si="98"/>
        <v>-0.001837750655</v>
      </c>
      <c r="M130" s="35">
        <f t="shared" si="98"/>
        <v>-0.001837750655</v>
      </c>
      <c r="N130" s="35">
        <f t="shared" si="98"/>
        <v>-0.001837750655</v>
      </c>
      <c r="O130" s="35">
        <f t="shared" si="98"/>
        <v>-0.001837750655</v>
      </c>
      <c r="P130" s="35">
        <f t="shared" si="98"/>
        <v>-0.001837750655</v>
      </c>
    </row>
    <row r="131" ht="15.75" customHeight="1">
      <c r="A131" s="5"/>
    </row>
    <row r="132" ht="15.75" hidden="1" customHeight="1">
      <c r="A132" s="5"/>
    </row>
    <row r="133" ht="15.75" hidden="1" customHeight="1">
      <c r="A133" s="18" t="s">
        <v>86</v>
      </c>
    </row>
    <row r="134" ht="15.75" hidden="1" customHeight="1">
      <c r="A134" s="5"/>
    </row>
    <row r="135" ht="15.75" hidden="1" customHeight="1">
      <c r="A135" s="1" t="s">
        <v>5</v>
      </c>
    </row>
    <row r="136" ht="15.75" hidden="1" customHeight="1">
      <c r="A136" s="1" t="s">
        <v>6</v>
      </c>
    </row>
    <row r="137" ht="15.75" hidden="1" customHeight="1">
      <c r="A137" s="1" t="s">
        <v>8</v>
      </c>
    </row>
    <row r="138" ht="15.75" hidden="1" customHeight="1">
      <c r="A138" s="1" t="s">
        <v>10</v>
      </c>
    </row>
    <row r="139" ht="15.75" hidden="1" customHeight="1">
      <c r="A139" s="1" t="s">
        <v>12</v>
      </c>
    </row>
    <row r="140" ht="15.75" hidden="1" customHeight="1">
      <c r="A140" s="1" t="s">
        <v>85</v>
      </c>
    </row>
    <row r="141" ht="15.75" hidden="1" customHeight="1">
      <c r="A141" s="5"/>
    </row>
    <row r="142" ht="15.75" hidden="1" customHeight="1">
      <c r="A142" s="1" t="s">
        <v>83</v>
      </c>
    </row>
    <row r="143" ht="15.75" hidden="1" customHeight="1">
      <c r="A143" s="1" t="s">
        <v>5</v>
      </c>
    </row>
    <row r="144" ht="15.75" hidden="1" customHeight="1">
      <c r="A144" s="1" t="s">
        <v>6</v>
      </c>
    </row>
    <row r="145" ht="15.75" hidden="1" customHeight="1">
      <c r="A145" s="1" t="s">
        <v>8</v>
      </c>
    </row>
    <row r="146" ht="15.75" hidden="1" customHeight="1">
      <c r="A146" s="1" t="s">
        <v>10</v>
      </c>
    </row>
    <row r="147" ht="15.75" hidden="1" customHeight="1">
      <c r="A147" s="1" t="s">
        <v>12</v>
      </c>
    </row>
    <row r="148" ht="15.75" hidden="1" customHeight="1">
      <c r="A148" s="1" t="s">
        <v>85</v>
      </c>
    </row>
    <row r="149" ht="15.75" hidden="1" customHeight="1">
      <c r="A149" s="5"/>
    </row>
    <row r="150" ht="15.75" hidden="1" customHeight="1">
      <c r="A150" s="5"/>
    </row>
    <row r="151" ht="15.75" customHeight="1">
      <c r="A151" s="5"/>
    </row>
    <row r="152" ht="15.75" customHeight="1">
      <c r="A152" s="18" t="s">
        <v>87</v>
      </c>
    </row>
    <row r="153" ht="15.75" customHeight="1">
      <c r="A153" s="5"/>
    </row>
    <row r="154" ht="15.75" customHeight="1">
      <c r="A154" s="5" t="s">
        <v>60</v>
      </c>
      <c r="B154" s="27">
        <f t="shared" ref="B154:P154" si="99">SUM(B155:B160)</f>
        <v>79004</v>
      </c>
      <c r="C154" s="27">
        <f t="shared" si="99"/>
        <v>87745</v>
      </c>
      <c r="D154" s="27">
        <f t="shared" si="99"/>
        <v>78560</v>
      </c>
      <c r="E154" s="27">
        <f t="shared" si="99"/>
        <v>121849</v>
      </c>
      <c r="F154" s="27">
        <f t="shared" si="99"/>
        <v>84116</v>
      </c>
      <c r="G154" s="27">
        <f t="shared" si="99"/>
        <v>150499</v>
      </c>
      <c r="H154" s="27">
        <f t="shared" si="99"/>
        <v>137512</v>
      </c>
      <c r="I154" s="27">
        <f t="shared" si="99"/>
        <v>129207</v>
      </c>
      <c r="J154" s="27">
        <f t="shared" si="99"/>
        <v>198064</v>
      </c>
      <c r="K154" s="54">
        <f t="shared" si="99"/>
        <v>209876.9401</v>
      </c>
      <c r="L154" s="54">
        <f t="shared" si="99"/>
        <v>245214.4084</v>
      </c>
      <c r="M154" s="54">
        <f t="shared" si="99"/>
        <v>286605.6154</v>
      </c>
      <c r="N154" s="54">
        <f t="shared" si="99"/>
        <v>335099.7624</v>
      </c>
      <c r="O154" s="54">
        <f t="shared" si="99"/>
        <v>391929.2833</v>
      </c>
      <c r="P154" s="54">
        <f t="shared" si="99"/>
        <v>458542.0012</v>
      </c>
    </row>
    <row r="155" ht="15.75" customHeight="1">
      <c r="A155" s="16" t="s">
        <v>61</v>
      </c>
      <c r="B155" s="19">
        <f t="shared" ref="B155:J155" si="100">B83</f>
        <v>31326</v>
      </c>
      <c r="C155" s="19">
        <f t="shared" si="100"/>
        <v>32637</v>
      </c>
      <c r="D155" s="19">
        <f t="shared" si="100"/>
        <v>31602</v>
      </c>
      <c r="E155" s="19">
        <f t="shared" si="100"/>
        <v>33226</v>
      </c>
      <c r="F155" s="19">
        <f t="shared" si="100"/>
        <v>32139</v>
      </c>
      <c r="G155" s="19">
        <f t="shared" si="100"/>
        <v>30490</v>
      </c>
      <c r="H155" s="19">
        <f t="shared" si="100"/>
        <v>35323</v>
      </c>
      <c r="I155" s="19">
        <f t="shared" si="100"/>
        <v>54435</v>
      </c>
      <c r="J155" s="19">
        <f t="shared" si="100"/>
        <v>53181</v>
      </c>
      <c r="K155" s="25">
        <f t="shared" ref="K155:P155" si="101">K$170*K174</f>
        <v>69824.85122</v>
      </c>
      <c r="L155" s="25">
        <f t="shared" si="101"/>
        <v>81581.42375</v>
      </c>
      <c r="M155" s="25">
        <f t="shared" si="101"/>
        <v>95352.0403</v>
      </c>
      <c r="N155" s="25">
        <f t="shared" si="101"/>
        <v>111485.7642</v>
      </c>
      <c r="O155" s="25">
        <f t="shared" si="101"/>
        <v>130392.619</v>
      </c>
      <c r="P155" s="25">
        <f t="shared" si="101"/>
        <v>152554.2873</v>
      </c>
    </row>
    <row r="156" ht="15.75" customHeight="1">
      <c r="A156" s="16" t="s">
        <v>62</v>
      </c>
      <c r="B156" s="19">
        <f t="shared" ref="B156:J156" si="102">B84</f>
        <v>13234</v>
      </c>
      <c r="C156" s="19">
        <f t="shared" si="102"/>
        <v>12026</v>
      </c>
      <c r="D156" s="19">
        <f t="shared" si="102"/>
        <v>14654</v>
      </c>
      <c r="E156" s="19">
        <f t="shared" si="102"/>
        <v>23128</v>
      </c>
      <c r="F156" s="19">
        <f t="shared" si="102"/>
        <v>21298</v>
      </c>
      <c r="G156" s="19">
        <f t="shared" si="102"/>
        <v>12799</v>
      </c>
      <c r="H156" s="19">
        <f t="shared" si="102"/>
        <v>20345</v>
      </c>
      <c r="I156" s="19">
        <f t="shared" si="102"/>
        <v>32848</v>
      </c>
      <c r="J156" s="19">
        <f t="shared" si="102"/>
        <v>45968</v>
      </c>
      <c r="K156" s="25">
        <f t="shared" ref="K156:P156" si="103">K$170*K175</f>
        <v>52368.63842</v>
      </c>
      <c r="L156" s="25">
        <f t="shared" si="103"/>
        <v>61186.06781</v>
      </c>
      <c r="M156" s="25">
        <f t="shared" si="103"/>
        <v>71514.03023</v>
      </c>
      <c r="N156" s="25">
        <f t="shared" si="103"/>
        <v>83614.32315</v>
      </c>
      <c r="O156" s="25">
        <f t="shared" si="103"/>
        <v>97794.46428</v>
      </c>
      <c r="P156" s="25">
        <f t="shared" si="103"/>
        <v>114415.7154</v>
      </c>
    </row>
    <row r="157" ht="15.75" customHeight="1">
      <c r="A157" s="16" t="s">
        <v>64</v>
      </c>
      <c r="B157" s="19">
        <f t="shared" ref="B157:J157" si="104">B86</f>
        <v>31</v>
      </c>
      <c r="C157" s="19">
        <f t="shared" si="104"/>
        <v>25</v>
      </c>
      <c r="D157" s="19">
        <f t="shared" si="104"/>
        <v>30</v>
      </c>
      <c r="E157" s="19">
        <f t="shared" si="104"/>
        <v>161</v>
      </c>
      <c r="F157" s="19">
        <f t="shared" si="104"/>
        <v>170</v>
      </c>
      <c r="G157" s="19">
        <f t="shared" si="104"/>
        <v>230</v>
      </c>
      <c r="H157" s="19">
        <f t="shared" si="104"/>
        <v>305</v>
      </c>
      <c r="I157" s="19">
        <f t="shared" si="104"/>
        <v>297</v>
      </c>
      <c r="J157" s="19">
        <f t="shared" si="104"/>
        <v>327</v>
      </c>
      <c r="K157" s="25">
        <f t="shared" ref="K157:P157" si="105">K$170*K176</f>
        <v>402.3864385</v>
      </c>
      <c r="L157" s="25">
        <f t="shared" si="105"/>
        <v>470.1371786</v>
      </c>
      <c r="M157" s="25">
        <f t="shared" si="105"/>
        <v>549.4944455</v>
      </c>
      <c r="N157" s="25">
        <f t="shared" si="105"/>
        <v>642.4698201</v>
      </c>
      <c r="O157" s="25">
        <f t="shared" si="105"/>
        <v>751.4261852</v>
      </c>
      <c r="P157" s="25">
        <f t="shared" si="105"/>
        <v>879.1393789</v>
      </c>
    </row>
    <row r="158" ht="15.75" customHeight="1">
      <c r="A158" s="16" t="s">
        <v>65</v>
      </c>
      <c r="B158" s="19">
        <f t="shared" ref="B158:J158" si="106">B87</f>
        <v>16611</v>
      </c>
      <c r="C158" s="19">
        <f t="shared" si="106"/>
        <v>15408</v>
      </c>
      <c r="D158" s="19">
        <f t="shared" si="106"/>
        <v>13140</v>
      </c>
      <c r="E158" s="19">
        <f t="shared" si="106"/>
        <v>5638</v>
      </c>
      <c r="F158" s="19">
        <f t="shared" si="106"/>
        <v>7974</v>
      </c>
      <c r="G158" s="19">
        <f t="shared" si="106"/>
        <v>9581</v>
      </c>
      <c r="H158" s="19">
        <f t="shared" si="106"/>
        <v>14608</v>
      </c>
      <c r="I158" s="19">
        <f t="shared" si="106"/>
        <v>15602</v>
      </c>
      <c r="J158" s="19">
        <f t="shared" si="106"/>
        <v>25077</v>
      </c>
      <c r="K158" s="25">
        <f t="shared" ref="K158:P158" si="107">K$170*K177</f>
        <v>34912.42561</v>
      </c>
      <c r="L158" s="25">
        <f t="shared" si="107"/>
        <v>40790.71187</v>
      </c>
      <c r="M158" s="25">
        <f t="shared" si="107"/>
        <v>47676.02015</v>
      </c>
      <c r="N158" s="25">
        <f t="shared" si="107"/>
        <v>55742.8821</v>
      </c>
      <c r="O158" s="25">
        <f t="shared" si="107"/>
        <v>65196.30952</v>
      </c>
      <c r="P158" s="25">
        <f t="shared" si="107"/>
        <v>76277.14363</v>
      </c>
    </row>
    <row r="159" ht="15.75" customHeight="1">
      <c r="A159" s="16" t="s">
        <v>66</v>
      </c>
      <c r="B159" s="19">
        <f t="shared" ref="B159:J159" si="108">B88</f>
        <v>4906</v>
      </c>
      <c r="C159" s="19">
        <f t="shared" si="108"/>
        <v>4910</v>
      </c>
      <c r="D159" s="19">
        <f t="shared" si="108"/>
        <v>4115</v>
      </c>
      <c r="E159" s="19">
        <f t="shared" si="108"/>
        <v>4277</v>
      </c>
      <c r="F159" s="19">
        <f t="shared" si="108"/>
        <v>5272</v>
      </c>
      <c r="G159" s="19">
        <f t="shared" si="108"/>
        <v>0</v>
      </c>
      <c r="H159" s="19">
        <f t="shared" si="108"/>
        <v>0</v>
      </c>
      <c r="I159" s="19">
        <f t="shared" si="108"/>
        <v>0</v>
      </c>
      <c r="J159" s="19">
        <f t="shared" si="108"/>
        <v>0</v>
      </c>
      <c r="K159" s="25">
        <f t="shared" ref="K159:P159" si="109">K$170*K178</f>
        <v>0</v>
      </c>
      <c r="L159" s="25">
        <f t="shared" si="109"/>
        <v>0</v>
      </c>
      <c r="M159" s="25">
        <f t="shared" si="109"/>
        <v>0</v>
      </c>
      <c r="N159" s="25">
        <f t="shared" si="109"/>
        <v>0</v>
      </c>
      <c r="O159" s="25">
        <f t="shared" si="109"/>
        <v>0</v>
      </c>
      <c r="P159" s="25">
        <f t="shared" si="109"/>
        <v>0</v>
      </c>
    </row>
    <row r="160" ht="15.75" customHeight="1">
      <c r="A160" s="1" t="s">
        <v>57</v>
      </c>
      <c r="B160" s="19">
        <f t="shared" ref="B160:J160" si="110">B91+B90+B89</f>
        <v>12896</v>
      </c>
      <c r="C160" s="19">
        <f t="shared" si="110"/>
        <v>22739</v>
      </c>
      <c r="D160" s="19">
        <f t="shared" si="110"/>
        <v>15019</v>
      </c>
      <c r="E160" s="19">
        <f t="shared" si="110"/>
        <v>55419</v>
      </c>
      <c r="F160" s="19">
        <f t="shared" si="110"/>
        <v>17263</v>
      </c>
      <c r="G160" s="19">
        <f t="shared" si="110"/>
        <v>97399</v>
      </c>
      <c r="H160" s="19">
        <f t="shared" si="110"/>
        <v>66931</v>
      </c>
      <c r="I160" s="19">
        <f t="shared" si="110"/>
        <v>26025</v>
      </c>
      <c r="J160" s="19">
        <f t="shared" si="110"/>
        <v>73511</v>
      </c>
      <c r="K160" s="25">
        <f t="shared" ref="K160:P160" si="111">K$170*K179</f>
        <v>52368.63842</v>
      </c>
      <c r="L160" s="25">
        <f t="shared" si="111"/>
        <v>61186.06781</v>
      </c>
      <c r="M160" s="25">
        <f t="shared" si="111"/>
        <v>71514.03023</v>
      </c>
      <c r="N160" s="25">
        <f t="shared" si="111"/>
        <v>83614.32315</v>
      </c>
      <c r="O160" s="25">
        <f t="shared" si="111"/>
        <v>97794.46428</v>
      </c>
      <c r="P160" s="25">
        <f t="shared" si="111"/>
        <v>114415.7154</v>
      </c>
    </row>
    <row r="161" ht="15.75" customHeight="1">
      <c r="A161" s="5"/>
    </row>
    <row r="162" ht="15.75" customHeight="1">
      <c r="A162" s="5" t="s">
        <v>42</v>
      </c>
      <c r="B162" s="27">
        <f t="shared" ref="B162:P162" si="112">SUM(B163:B168)</f>
        <v>110441</v>
      </c>
      <c r="C162" s="27">
        <f t="shared" si="112"/>
        <v>132368</v>
      </c>
      <c r="D162" s="27">
        <f t="shared" si="112"/>
        <v>154485</v>
      </c>
      <c r="E162" s="27">
        <f t="shared" si="112"/>
        <v>141605</v>
      </c>
      <c r="F162" s="27">
        <f t="shared" si="112"/>
        <v>113054</v>
      </c>
      <c r="G162" s="27">
        <f t="shared" si="112"/>
        <v>162139</v>
      </c>
      <c r="H162" s="27">
        <f t="shared" si="112"/>
        <v>170235</v>
      </c>
      <c r="I162" s="27">
        <f t="shared" si="112"/>
        <v>227667</v>
      </c>
      <c r="J162" s="27">
        <f t="shared" si="112"/>
        <v>259518</v>
      </c>
      <c r="K162" s="54">
        <f t="shared" si="112"/>
        <v>333413.6646</v>
      </c>
      <c r="L162" s="54">
        <f t="shared" si="112"/>
        <v>389551.2984</v>
      </c>
      <c r="M162" s="54">
        <f t="shared" si="112"/>
        <v>455305.9924</v>
      </c>
      <c r="N162" s="54">
        <f t="shared" si="112"/>
        <v>532344.524</v>
      </c>
      <c r="O162" s="54">
        <f t="shared" si="112"/>
        <v>622624.7559</v>
      </c>
      <c r="P162" s="54">
        <f t="shared" si="112"/>
        <v>728446.7217</v>
      </c>
    </row>
    <row r="163" ht="15.75" customHeight="1">
      <c r="A163" s="1" t="s">
        <v>43</v>
      </c>
      <c r="B163" s="19">
        <f t="shared" ref="B163:J163" si="113">B56</f>
        <v>7956</v>
      </c>
      <c r="C163" s="19">
        <f t="shared" si="113"/>
        <v>8036</v>
      </c>
      <c r="D163" s="19">
        <f t="shared" si="113"/>
        <v>8541</v>
      </c>
      <c r="E163" s="19">
        <f t="shared" si="113"/>
        <v>6729</v>
      </c>
      <c r="F163" s="19">
        <f t="shared" si="113"/>
        <v>6962</v>
      </c>
      <c r="G163" s="19">
        <f t="shared" si="113"/>
        <v>8547</v>
      </c>
      <c r="H163" s="19">
        <f t="shared" si="113"/>
        <v>11113</v>
      </c>
      <c r="I163" s="19">
        <f t="shared" si="113"/>
        <v>11584</v>
      </c>
      <c r="J163" s="19">
        <f t="shared" si="113"/>
        <v>12030</v>
      </c>
      <c r="K163" s="25">
        <f t="shared" ref="K163:P163" si="114">K$170*K182</f>
        <v>17456.21281</v>
      </c>
      <c r="L163" s="25">
        <f t="shared" si="114"/>
        <v>20395.35594</v>
      </c>
      <c r="M163" s="25">
        <f t="shared" si="114"/>
        <v>23838.01008</v>
      </c>
      <c r="N163" s="25">
        <f t="shared" si="114"/>
        <v>27871.44105</v>
      </c>
      <c r="O163" s="25">
        <f t="shared" si="114"/>
        <v>32598.15476</v>
      </c>
      <c r="P163" s="25">
        <f t="shared" si="114"/>
        <v>38138.57181</v>
      </c>
    </row>
    <row r="164" ht="15.75" customHeight="1">
      <c r="A164" s="1" t="s">
        <v>44</v>
      </c>
      <c r="B164" s="19">
        <f t="shared" ref="B164:J164" si="115">B57</f>
        <v>774</v>
      </c>
      <c r="C164" s="19">
        <f t="shared" si="115"/>
        <v>4838</v>
      </c>
      <c r="D164" s="19">
        <f t="shared" si="115"/>
        <v>1108</v>
      </c>
      <c r="E164" s="19">
        <f t="shared" si="115"/>
        <v>1496</v>
      </c>
      <c r="F164" s="19">
        <f t="shared" si="115"/>
        <v>1063</v>
      </c>
      <c r="G164" s="19">
        <f t="shared" si="115"/>
        <v>4962</v>
      </c>
      <c r="H164" s="19">
        <f t="shared" si="115"/>
        <v>3819</v>
      </c>
      <c r="I164" s="19">
        <f t="shared" si="115"/>
        <v>12226</v>
      </c>
      <c r="J164" s="19">
        <f t="shared" si="115"/>
        <v>509</v>
      </c>
      <c r="K164" s="25">
        <f t="shared" ref="K164:P164" si="116">K$170*K183</f>
        <v>1745.621281</v>
      </c>
      <c r="L164" s="25">
        <f t="shared" si="116"/>
        <v>2039.535594</v>
      </c>
      <c r="M164" s="25">
        <f t="shared" si="116"/>
        <v>2383.801008</v>
      </c>
      <c r="N164" s="25">
        <f t="shared" si="116"/>
        <v>2787.144105</v>
      </c>
      <c r="O164" s="25">
        <f t="shared" si="116"/>
        <v>3259.815476</v>
      </c>
      <c r="P164" s="25">
        <f t="shared" si="116"/>
        <v>3813.857181</v>
      </c>
    </row>
    <row r="165" ht="15.75" customHeight="1">
      <c r="A165" s="1" t="s">
        <v>45</v>
      </c>
      <c r="B165" s="19">
        <f t="shared" ref="B165:J165" si="117">B58+B59</f>
        <v>74089</v>
      </c>
      <c r="C165" s="19">
        <f t="shared" si="117"/>
        <v>83692</v>
      </c>
      <c r="D165" s="19">
        <f t="shared" si="117"/>
        <v>104993</v>
      </c>
      <c r="E165" s="19">
        <f t="shared" si="117"/>
        <v>96377</v>
      </c>
      <c r="F165" s="19">
        <f t="shared" si="117"/>
        <v>75091</v>
      </c>
      <c r="G165" s="19">
        <f t="shared" si="117"/>
        <v>101681</v>
      </c>
      <c r="H165" s="19">
        <f t="shared" si="117"/>
        <v>97732</v>
      </c>
      <c r="I165" s="19">
        <f t="shared" si="117"/>
        <v>136755</v>
      </c>
      <c r="J165" s="19">
        <f t="shared" si="117"/>
        <v>169884</v>
      </c>
      <c r="K165" s="25">
        <f t="shared" ref="K165:P165" si="118">K$170*K184</f>
        <v>209474.5537</v>
      </c>
      <c r="L165" s="25">
        <f t="shared" si="118"/>
        <v>244744.2712</v>
      </c>
      <c r="M165" s="25">
        <f t="shared" si="118"/>
        <v>286056.1209</v>
      </c>
      <c r="N165" s="25">
        <f t="shared" si="118"/>
        <v>334457.2926</v>
      </c>
      <c r="O165" s="25">
        <f t="shared" si="118"/>
        <v>391177.8571</v>
      </c>
      <c r="P165" s="25">
        <f t="shared" si="118"/>
        <v>457662.8618</v>
      </c>
    </row>
    <row r="166" ht="15.75" customHeight="1">
      <c r="A166" s="1" t="s">
        <v>46</v>
      </c>
      <c r="B166" s="19">
        <f t="shared" ref="B166:J166" si="119">B60</f>
        <v>11650</v>
      </c>
      <c r="C166" s="19">
        <f t="shared" si="119"/>
        <v>18278</v>
      </c>
      <c r="D166" s="19">
        <f t="shared" si="119"/>
        <v>20896</v>
      </c>
      <c r="E166" s="19">
        <f t="shared" si="119"/>
        <v>16329</v>
      </c>
      <c r="F166" s="19">
        <f t="shared" si="119"/>
        <v>14091</v>
      </c>
      <c r="G166" s="19">
        <f t="shared" si="119"/>
        <v>26801</v>
      </c>
      <c r="H166" s="19">
        <f t="shared" si="119"/>
        <v>28686</v>
      </c>
      <c r="I166" s="19">
        <f t="shared" si="119"/>
        <v>33372</v>
      </c>
      <c r="J166" s="19">
        <f t="shared" si="119"/>
        <v>41739</v>
      </c>
      <c r="K166" s="25">
        <f t="shared" ref="K166:P166" si="120">K$170*K185</f>
        <v>52368.63842</v>
      </c>
      <c r="L166" s="25">
        <f t="shared" si="120"/>
        <v>61186.06781</v>
      </c>
      <c r="M166" s="25">
        <f t="shared" si="120"/>
        <v>71514.03023</v>
      </c>
      <c r="N166" s="25">
        <f t="shared" si="120"/>
        <v>83614.32315</v>
      </c>
      <c r="O166" s="25">
        <f t="shared" si="120"/>
        <v>97794.46428</v>
      </c>
      <c r="P166" s="25">
        <f t="shared" si="120"/>
        <v>114415.7154</v>
      </c>
    </row>
    <row r="167" ht="15.75" customHeight="1">
      <c r="A167" s="1" t="s">
        <v>47</v>
      </c>
      <c r="B167" s="19">
        <f t="shared" ref="B167:J167" si="121">B61</f>
        <v>3994</v>
      </c>
      <c r="C167" s="19">
        <f t="shared" si="121"/>
        <v>4496</v>
      </c>
      <c r="D167" s="19">
        <f t="shared" si="121"/>
        <v>5609</v>
      </c>
      <c r="E167" s="19">
        <f t="shared" si="121"/>
        <v>6254</v>
      </c>
      <c r="F167" s="19">
        <f t="shared" si="121"/>
        <v>6807</v>
      </c>
      <c r="G167" s="19">
        <f t="shared" si="121"/>
        <v>7428</v>
      </c>
      <c r="H167" s="19">
        <f t="shared" si="121"/>
        <v>8613</v>
      </c>
      <c r="I167" s="19">
        <f t="shared" si="121"/>
        <v>10830</v>
      </c>
      <c r="J167" s="19">
        <f t="shared" si="121"/>
        <v>13119</v>
      </c>
      <c r="K167" s="25">
        <f t="shared" ref="K167:P167" si="122">K$170*K186</f>
        <v>17456.21281</v>
      </c>
      <c r="L167" s="25">
        <f t="shared" si="122"/>
        <v>20395.35594</v>
      </c>
      <c r="M167" s="25">
        <f t="shared" si="122"/>
        <v>23838.01008</v>
      </c>
      <c r="N167" s="25">
        <f t="shared" si="122"/>
        <v>27871.44105</v>
      </c>
      <c r="O167" s="25">
        <f t="shared" si="122"/>
        <v>32598.15476</v>
      </c>
      <c r="P167" s="25">
        <f t="shared" si="122"/>
        <v>38138.57181</v>
      </c>
    </row>
    <row r="168" ht="15.75" customHeight="1">
      <c r="A168" s="1" t="s">
        <v>48</v>
      </c>
      <c r="B168" s="19">
        <f t="shared" ref="B168:J168" si="123">B62</f>
        <v>11978</v>
      </c>
      <c r="C168" s="19">
        <f t="shared" si="123"/>
        <v>13028</v>
      </c>
      <c r="D168" s="19">
        <f t="shared" si="123"/>
        <v>13338</v>
      </c>
      <c r="E168" s="19">
        <f t="shared" si="123"/>
        <v>14420</v>
      </c>
      <c r="F168" s="19">
        <f t="shared" si="123"/>
        <v>9040</v>
      </c>
      <c r="G168" s="19">
        <f t="shared" si="123"/>
        <v>12720</v>
      </c>
      <c r="H168" s="19">
        <f t="shared" si="123"/>
        <v>20272</v>
      </c>
      <c r="I168" s="19">
        <f t="shared" si="123"/>
        <v>22900</v>
      </c>
      <c r="J168" s="19">
        <f t="shared" si="123"/>
        <v>22237</v>
      </c>
      <c r="K168" s="25">
        <f t="shared" ref="K168:P168" si="124">K$170*K187</f>
        <v>34912.42561</v>
      </c>
      <c r="L168" s="25">
        <f t="shared" si="124"/>
        <v>40790.71187</v>
      </c>
      <c r="M168" s="25">
        <f t="shared" si="124"/>
        <v>47676.02015</v>
      </c>
      <c r="N168" s="25">
        <f t="shared" si="124"/>
        <v>55742.8821</v>
      </c>
      <c r="O168" s="25">
        <f t="shared" si="124"/>
        <v>65196.30952</v>
      </c>
      <c r="P168" s="25">
        <f t="shared" si="124"/>
        <v>76277.14363</v>
      </c>
    </row>
    <row r="169" ht="15.75" customHeight="1">
      <c r="A169" s="5"/>
    </row>
    <row r="170" ht="15.75" customHeight="1">
      <c r="A170" s="1" t="s">
        <v>88</v>
      </c>
      <c r="B170" s="27">
        <f t="shared" ref="B170:P170" si="125">B3</f>
        <v>570615</v>
      </c>
      <c r="C170" s="27">
        <f t="shared" si="125"/>
        <v>680850</v>
      </c>
      <c r="D170" s="27">
        <f t="shared" si="125"/>
        <v>798094</v>
      </c>
      <c r="E170" s="27">
        <f t="shared" si="125"/>
        <v>860685</v>
      </c>
      <c r="F170" s="27">
        <f t="shared" si="125"/>
        <v>756600</v>
      </c>
      <c r="G170" s="27">
        <f t="shared" si="125"/>
        <v>703720</v>
      </c>
      <c r="H170" s="27">
        <f t="shared" si="125"/>
        <v>883298</v>
      </c>
      <c r="I170" s="27">
        <f t="shared" si="125"/>
        <v>1184099</v>
      </c>
      <c r="J170" s="27">
        <f t="shared" si="125"/>
        <v>1418582</v>
      </c>
      <c r="K170" s="54">
        <f t="shared" si="125"/>
        <v>1745621.281</v>
      </c>
      <c r="L170" s="54">
        <f t="shared" si="125"/>
        <v>2039535.594</v>
      </c>
      <c r="M170" s="54">
        <f t="shared" si="125"/>
        <v>2383801.008</v>
      </c>
      <c r="N170" s="54">
        <f t="shared" si="125"/>
        <v>2787144.105</v>
      </c>
      <c r="O170" s="54">
        <f t="shared" si="125"/>
        <v>3259815.476</v>
      </c>
      <c r="P170" s="54">
        <f t="shared" si="125"/>
        <v>3813857.181</v>
      </c>
    </row>
    <row r="171" ht="15.75" customHeight="1">
      <c r="A171" s="5"/>
    </row>
    <row r="172" ht="15.75" customHeight="1">
      <c r="A172" s="18" t="s">
        <v>89</v>
      </c>
    </row>
    <row r="173" ht="15.75" customHeight="1">
      <c r="A173" s="5" t="s">
        <v>60</v>
      </c>
      <c r="B173" s="35"/>
      <c r="C173" s="35"/>
      <c r="D173" s="35"/>
      <c r="E173" s="35"/>
      <c r="F173" s="35"/>
      <c r="G173" s="35"/>
      <c r="H173" s="35"/>
      <c r="I173" s="35"/>
      <c r="J173" s="35"/>
    </row>
    <row r="174" ht="15.75" customHeight="1">
      <c r="A174" s="16" t="s">
        <v>61</v>
      </c>
      <c r="B174" s="35">
        <f t="shared" ref="B174:J174" si="126">B155/B$170</f>
        <v>0.05489866197</v>
      </c>
      <c r="C174" s="35">
        <f t="shared" si="126"/>
        <v>0.04793566865</v>
      </c>
      <c r="D174" s="35">
        <f t="shared" si="126"/>
        <v>0.03959683947</v>
      </c>
      <c r="E174" s="35">
        <f t="shared" si="126"/>
        <v>0.03860413508</v>
      </c>
      <c r="F174" s="35">
        <f t="shared" si="126"/>
        <v>0.04247819191</v>
      </c>
      <c r="G174" s="35">
        <f t="shared" si="126"/>
        <v>0.04332689138</v>
      </c>
      <c r="H174" s="35">
        <f t="shared" si="126"/>
        <v>0.03998990148</v>
      </c>
      <c r="I174" s="35">
        <f t="shared" si="126"/>
        <v>0.04597166284</v>
      </c>
      <c r="J174" s="35">
        <f t="shared" si="126"/>
        <v>0.03748884449</v>
      </c>
      <c r="K174" s="58">
        <v>0.04</v>
      </c>
      <c r="L174" s="59">
        <f t="shared" ref="L174:P174" si="127">K174</f>
        <v>0.04</v>
      </c>
      <c r="M174" s="59">
        <f t="shared" si="127"/>
        <v>0.04</v>
      </c>
      <c r="N174" s="59">
        <f t="shared" si="127"/>
        <v>0.04</v>
      </c>
      <c r="O174" s="59">
        <f t="shared" si="127"/>
        <v>0.04</v>
      </c>
      <c r="P174" s="59">
        <f t="shared" si="127"/>
        <v>0.04</v>
      </c>
    </row>
    <row r="175" ht="15.75" customHeight="1">
      <c r="A175" s="16" t="s">
        <v>62</v>
      </c>
      <c r="B175" s="35">
        <f t="shared" ref="B175:J175" si="128">B156/B$170</f>
        <v>0.02319252035</v>
      </c>
      <c r="C175" s="35">
        <f t="shared" si="128"/>
        <v>0.0176632151</v>
      </c>
      <c r="D175" s="35">
        <f t="shared" si="128"/>
        <v>0.01836124567</v>
      </c>
      <c r="E175" s="35">
        <f t="shared" si="128"/>
        <v>0.0268716197</v>
      </c>
      <c r="F175" s="35">
        <f t="shared" si="128"/>
        <v>0.02814961671</v>
      </c>
      <c r="G175" s="35">
        <f t="shared" si="128"/>
        <v>0.01818763144</v>
      </c>
      <c r="H175" s="35">
        <f t="shared" si="128"/>
        <v>0.02303299679</v>
      </c>
      <c r="I175" s="35">
        <f t="shared" si="128"/>
        <v>0.02774092369</v>
      </c>
      <c r="J175" s="35">
        <f t="shared" si="128"/>
        <v>0.03240418954</v>
      </c>
      <c r="K175" s="58">
        <v>0.03</v>
      </c>
      <c r="L175" s="59">
        <f t="shared" ref="L175:P175" si="129">K175</f>
        <v>0.03</v>
      </c>
      <c r="M175" s="59">
        <f t="shared" si="129"/>
        <v>0.03</v>
      </c>
      <c r="N175" s="59">
        <f t="shared" si="129"/>
        <v>0.03</v>
      </c>
      <c r="O175" s="59">
        <f t="shared" si="129"/>
        <v>0.03</v>
      </c>
      <c r="P175" s="59">
        <f t="shared" si="129"/>
        <v>0.03</v>
      </c>
    </row>
    <row r="176" ht="15.75" customHeight="1">
      <c r="A176" s="16" t="s">
        <v>64</v>
      </c>
      <c r="B176" s="35">
        <f t="shared" ref="B176:J176" si="130">B157/B$170</f>
        <v>0.00005432734856</v>
      </c>
      <c r="C176" s="35">
        <f t="shared" si="130"/>
        <v>0.00003671880737</v>
      </c>
      <c r="D176" s="35">
        <f t="shared" si="130"/>
        <v>0.00003758955712</v>
      </c>
      <c r="E176" s="35">
        <f t="shared" si="130"/>
        <v>0.0001870603066</v>
      </c>
      <c r="F176" s="35">
        <f t="shared" si="130"/>
        <v>0.0002246893999</v>
      </c>
      <c r="G176" s="35">
        <f t="shared" si="130"/>
        <v>0.0003268345365</v>
      </c>
      <c r="H176" s="35">
        <f t="shared" si="130"/>
        <v>0.0003452968307</v>
      </c>
      <c r="I176" s="35">
        <f t="shared" si="130"/>
        <v>0.000250823622</v>
      </c>
      <c r="J176" s="35">
        <f t="shared" si="130"/>
        <v>0.0002305118774</v>
      </c>
      <c r="K176" s="59">
        <f t="shared" ref="K176:P176" si="131">J176</f>
        <v>0.0002305118774</v>
      </c>
      <c r="L176" s="59">
        <f t="shared" si="131"/>
        <v>0.0002305118774</v>
      </c>
      <c r="M176" s="59">
        <f t="shared" si="131"/>
        <v>0.0002305118774</v>
      </c>
      <c r="N176" s="59">
        <f t="shared" si="131"/>
        <v>0.0002305118774</v>
      </c>
      <c r="O176" s="59">
        <f t="shared" si="131"/>
        <v>0.0002305118774</v>
      </c>
      <c r="P176" s="59">
        <f t="shared" si="131"/>
        <v>0.0002305118774</v>
      </c>
    </row>
    <row r="177" ht="15.75" customHeight="1">
      <c r="A177" s="16" t="s">
        <v>65</v>
      </c>
      <c r="B177" s="35">
        <f t="shared" ref="B177:J177" si="132">B158/B$170</f>
        <v>0.02911069635</v>
      </c>
      <c r="C177" s="35">
        <f t="shared" si="132"/>
        <v>0.02263053536</v>
      </c>
      <c r="D177" s="35">
        <f t="shared" si="132"/>
        <v>0.01646422602</v>
      </c>
      <c r="E177" s="35">
        <f t="shared" si="132"/>
        <v>0.006550596327</v>
      </c>
      <c r="F177" s="35">
        <f t="shared" si="132"/>
        <v>0.01053925456</v>
      </c>
      <c r="G177" s="35">
        <f t="shared" si="132"/>
        <v>0.01361478997</v>
      </c>
      <c r="H177" s="35">
        <f t="shared" si="132"/>
        <v>0.01653802001</v>
      </c>
      <c r="I177" s="35">
        <f t="shared" si="132"/>
        <v>0.01317626313</v>
      </c>
      <c r="J177" s="35">
        <f t="shared" si="132"/>
        <v>0.01767751177</v>
      </c>
      <c r="K177" s="58">
        <v>0.02</v>
      </c>
      <c r="L177" s="59">
        <f t="shared" ref="L177:P177" si="133">K177</f>
        <v>0.02</v>
      </c>
      <c r="M177" s="59">
        <f t="shared" si="133"/>
        <v>0.02</v>
      </c>
      <c r="N177" s="59">
        <f t="shared" si="133"/>
        <v>0.02</v>
      </c>
      <c r="O177" s="59">
        <f t="shared" si="133"/>
        <v>0.02</v>
      </c>
      <c r="P177" s="59">
        <f t="shared" si="133"/>
        <v>0.02</v>
      </c>
    </row>
    <row r="178" ht="15.75" customHeight="1">
      <c r="A178" s="16" t="s">
        <v>66</v>
      </c>
      <c r="B178" s="35">
        <f t="shared" ref="B178:J178" si="134">B159/B$170</f>
        <v>0.008597741034</v>
      </c>
      <c r="C178" s="35">
        <f t="shared" si="134"/>
        <v>0.007211573768</v>
      </c>
      <c r="D178" s="35">
        <f t="shared" si="134"/>
        <v>0.005156034252</v>
      </c>
      <c r="E178" s="35">
        <f t="shared" si="134"/>
        <v>0.004969297711</v>
      </c>
      <c r="F178" s="35">
        <f t="shared" si="134"/>
        <v>0.006968014803</v>
      </c>
      <c r="G178" s="35">
        <f t="shared" si="134"/>
        <v>0</v>
      </c>
      <c r="H178" s="35">
        <f t="shared" si="134"/>
        <v>0</v>
      </c>
      <c r="I178" s="35">
        <f t="shared" si="134"/>
        <v>0</v>
      </c>
      <c r="J178" s="35">
        <f t="shared" si="134"/>
        <v>0</v>
      </c>
      <c r="K178" s="59">
        <f t="shared" ref="K178:P178" si="135">J178</f>
        <v>0</v>
      </c>
      <c r="L178" s="59">
        <f t="shared" si="135"/>
        <v>0</v>
      </c>
      <c r="M178" s="59">
        <f t="shared" si="135"/>
        <v>0</v>
      </c>
      <c r="N178" s="59">
        <f t="shared" si="135"/>
        <v>0</v>
      </c>
      <c r="O178" s="59">
        <f t="shared" si="135"/>
        <v>0</v>
      </c>
      <c r="P178" s="59">
        <f t="shared" si="135"/>
        <v>0</v>
      </c>
    </row>
    <row r="179" ht="15.75" customHeight="1">
      <c r="A179" s="1" t="s">
        <v>57</v>
      </c>
      <c r="B179" s="35">
        <f t="shared" ref="B179:J179" si="136">B160/B$170</f>
        <v>0.022600177</v>
      </c>
      <c r="C179" s="35">
        <f t="shared" si="136"/>
        <v>0.03339795843</v>
      </c>
      <c r="D179" s="35">
        <f t="shared" si="136"/>
        <v>0.01881858528</v>
      </c>
      <c r="E179" s="35">
        <f t="shared" si="136"/>
        <v>0.06438941076</v>
      </c>
      <c r="F179" s="35">
        <f t="shared" si="136"/>
        <v>0.02281654771</v>
      </c>
      <c r="G179" s="35">
        <f t="shared" si="136"/>
        <v>0.1384059001</v>
      </c>
      <c r="H179" s="35">
        <f t="shared" si="136"/>
        <v>0.07577397436</v>
      </c>
      <c r="I179" s="35">
        <f t="shared" si="136"/>
        <v>0.02197873658</v>
      </c>
      <c r="J179" s="35">
        <f t="shared" si="136"/>
        <v>0.05182005693</v>
      </c>
      <c r="K179" s="58">
        <v>0.03</v>
      </c>
      <c r="L179" s="59">
        <f t="shared" ref="L179:P179" si="137">K179</f>
        <v>0.03</v>
      </c>
      <c r="M179" s="59">
        <f t="shared" si="137"/>
        <v>0.03</v>
      </c>
      <c r="N179" s="59">
        <f t="shared" si="137"/>
        <v>0.03</v>
      </c>
      <c r="O179" s="59">
        <f t="shared" si="137"/>
        <v>0.03</v>
      </c>
      <c r="P179" s="59">
        <f t="shared" si="137"/>
        <v>0.03</v>
      </c>
    </row>
    <row r="180" ht="15.75" customHeight="1">
      <c r="A180" s="5"/>
      <c r="B180" s="35"/>
      <c r="C180" s="35"/>
      <c r="D180" s="35"/>
      <c r="E180" s="35"/>
      <c r="F180" s="35"/>
      <c r="G180" s="35"/>
      <c r="H180" s="35"/>
      <c r="I180" s="35"/>
      <c r="J180" s="35"/>
    </row>
    <row r="181" ht="15.75" customHeight="1">
      <c r="A181" s="5" t="s">
        <v>42</v>
      </c>
      <c r="B181" s="35"/>
      <c r="C181" s="35"/>
      <c r="D181" s="35"/>
      <c r="E181" s="35"/>
      <c r="F181" s="35"/>
      <c r="G181" s="35"/>
      <c r="H181" s="35"/>
      <c r="I181" s="35"/>
      <c r="J181" s="35"/>
    </row>
    <row r="182" ht="15.75" customHeight="1">
      <c r="A182" s="1" t="s">
        <v>43</v>
      </c>
      <c r="B182" s="35">
        <f t="shared" ref="B182:J182" si="138">B163/B$170</f>
        <v>0.01394285113</v>
      </c>
      <c r="C182" s="35">
        <f t="shared" si="138"/>
        <v>0.01180289344</v>
      </c>
      <c r="D182" s="35">
        <f t="shared" si="138"/>
        <v>0.01070174691</v>
      </c>
      <c r="E182" s="35">
        <f t="shared" si="138"/>
        <v>0.007818191324</v>
      </c>
      <c r="F182" s="35">
        <f t="shared" si="138"/>
        <v>0.009201691779</v>
      </c>
      <c r="G182" s="35">
        <f t="shared" si="138"/>
        <v>0.01214545558</v>
      </c>
      <c r="H182" s="35">
        <f t="shared" si="138"/>
        <v>0.01258125797</v>
      </c>
      <c r="I182" s="35">
        <f t="shared" si="138"/>
        <v>0.009782965782</v>
      </c>
      <c r="J182" s="35">
        <f t="shared" si="138"/>
        <v>0.008480299341</v>
      </c>
      <c r="K182" s="58">
        <v>0.01</v>
      </c>
      <c r="L182" s="59">
        <f t="shared" ref="L182:P182" si="139">K182</f>
        <v>0.01</v>
      </c>
      <c r="M182" s="59">
        <f t="shared" si="139"/>
        <v>0.01</v>
      </c>
      <c r="N182" s="59">
        <f t="shared" si="139"/>
        <v>0.01</v>
      </c>
      <c r="O182" s="59">
        <f t="shared" si="139"/>
        <v>0.01</v>
      </c>
      <c r="P182" s="59">
        <f t="shared" si="139"/>
        <v>0.01</v>
      </c>
    </row>
    <row r="183" ht="15.75" customHeight="1">
      <c r="A183" s="1" t="s">
        <v>44</v>
      </c>
      <c r="B183" s="35">
        <f t="shared" ref="B183:J183" si="140">B164/B$170</f>
        <v>0.001356431219</v>
      </c>
      <c r="C183" s="35">
        <f t="shared" si="140"/>
        <v>0.007105823603</v>
      </c>
      <c r="D183" s="35">
        <f t="shared" si="140"/>
        <v>0.001388307643</v>
      </c>
      <c r="E183" s="35">
        <f t="shared" si="140"/>
        <v>0.001738150427</v>
      </c>
      <c r="F183" s="35">
        <f t="shared" si="140"/>
        <v>0.001404969601</v>
      </c>
      <c r="G183" s="35">
        <f t="shared" si="140"/>
        <v>0.007051099869</v>
      </c>
      <c r="H183" s="35">
        <f t="shared" si="140"/>
        <v>0.004323569169</v>
      </c>
      <c r="I183" s="35">
        <f t="shared" si="140"/>
        <v>0.01032515018</v>
      </c>
      <c r="J183" s="35">
        <f t="shared" si="140"/>
        <v>0.0003588090079</v>
      </c>
      <c r="K183" s="58">
        <v>0.001</v>
      </c>
      <c r="L183" s="59">
        <f t="shared" ref="L183:P183" si="141">K183</f>
        <v>0.001</v>
      </c>
      <c r="M183" s="59">
        <f t="shared" si="141"/>
        <v>0.001</v>
      </c>
      <c r="N183" s="59">
        <f t="shared" si="141"/>
        <v>0.001</v>
      </c>
      <c r="O183" s="59">
        <f t="shared" si="141"/>
        <v>0.001</v>
      </c>
      <c r="P183" s="59">
        <f t="shared" si="141"/>
        <v>0.001</v>
      </c>
    </row>
    <row r="184" ht="15.75" customHeight="1">
      <c r="A184" s="1" t="s">
        <v>45</v>
      </c>
      <c r="B184" s="35">
        <f t="shared" ref="B184:J184" si="142">B165/B$170</f>
        <v>0.1298406106</v>
      </c>
      <c r="C184" s="35">
        <f t="shared" si="142"/>
        <v>0.1229228171</v>
      </c>
      <c r="D184" s="35">
        <f t="shared" si="142"/>
        <v>0.131554679</v>
      </c>
      <c r="E184" s="35">
        <f t="shared" si="142"/>
        <v>0.111977088</v>
      </c>
      <c r="F184" s="35">
        <f t="shared" si="142"/>
        <v>0.09924795136</v>
      </c>
      <c r="G184" s="35">
        <f t="shared" si="142"/>
        <v>0.1444907065</v>
      </c>
      <c r="H184" s="35">
        <f t="shared" si="142"/>
        <v>0.1106444258</v>
      </c>
      <c r="I184" s="35">
        <f t="shared" si="142"/>
        <v>0.1154928769</v>
      </c>
      <c r="J184" s="35">
        <f t="shared" si="142"/>
        <v>0.1197562073</v>
      </c>
      <c r="K184" s="58">
        <v>0.12</v>
      </c>
      <c r="L184" s="59">
        <f t="shared" ref="L184:P184" si="143">K184</f>
        <v>0.12</v>
      </c>
      <c r="M184" s="59">
        <f t="shared" si="143"/>
        <v>0.12</v>
      </c>
      <c r="N184" s="59">
        <f t="shared" si="143"/>
        <v>0.12</v>
      </c>
      <c r="O184" s="59">
        <f t="shared" si="143"/>
        <v>0.12</v>
      </c>
      <c r="P184" s="59">
        <f t="shared" si="143"/>
        <v>0.12</v>
      </c>
    </row>
    <row r="185" ht="15.75" customHeight="1">
      <c r="A185" s="1" t="s">
        <v>46</v>
      </c>
      <c r="B185" s="35">
        <f t="shared" ref="B185:J185" si="144">B166/B$170</f>
        <v>0.02041656809</v>
      </c>
      <c r="C185" s="35">
        <f t="shared" si="144"/>
        <v>0.02684585445</v>
      </c>
      <c r="D185" s="35">
        <f t="shared" si="144"/>
        <v>0.02618237952</v>
      </c>
      <c r="E185" s="35">
        <f t="shared" si="144"/>
        <v>0.01897209781</v>
      </c>
      <c r="F185" s="35">
        <f t="shared" si="144"/>
        <v>0.01862410785</v>
      </c>
      <c r="G185" s="35">
        <f t="shared" si="144"/>
        <v>0.03808474962</v>
      </c>
      <c r="H185" s="35">
        <f t="shared" si="144"/>
        <v>0.03247601602</v>
      </c>
      <c r="I185" s="35">
        <f t="shared" si="144"/>
        <v>0.02818345426</v>
      </c>
      <c r="J185" s="35">
        <f t="shared" si="144"/>
        <v>0.02942304357</v>
      </c>
      <c r="K185" s="58">
        <v>0.03</v>
      </c>
      <c r="L185" s="59">
        <f t="shared" ref="L185:P185" si="145">K185</f>
        <v>0.03</v>
      </c>
      <c r="M185" s="59">
        <f t="shared" si="145"/>
        <v>0.03</v>
      </c>
      <c r="N185" s="59">
        <f t="shared" si="145"/>
        <v>0.03</v>
      </c>
      <c r="O185" s="59">
        <f t="shared" si="145"/>
        <v>0.03</v>
      </c>
      <c r="P185" s="59">
        <f t="shared" si="145"/>
        <v>0.03</v>
      </c>
    </row>
    <row r="186" ht="15.75" customHeight="1">
      <c r="A186" s="1" t="s">
        <v>47</v>
      </c>
      <c r="B186" s="35">
        <f t="shared" ref="B186:J186" si="146">B167/B$170</f>
        <v>0.006999465489</v>
      </c>
      <c r="C186" s="35">
        <f t="shared" si="146"/>
        <v>0.006603510318</v>
      </c>
      <c r="D186" s="35">
        <f t="shared" si="146"/>
        <v>0.007027994196</v>
      </c>
      <c r="E186" s="35">
        <f t="shared" si="146"/>
        <v>0.007266305327</v>
      </c>
      <c r="F186" s="35">
        <f t="shared" si="146"/>
        <v>0.008996827914</v>
      </c>
      <c r="G186" s="35">
        <f t="shared" si="146"/>
        <v>0.01055533451</v>
      </c>
      <c r="H186" s="35">
        <f t="shared" si="146"/>
        <v>0.009750956076</v>
      </c>
      <c r="I186" s="35">
        <f t="shared" si="146"/>
        <v>0.009146194702</v>
      </c>
      <c r="J186" s="35">
        <f t="shared" si="146"/>
        <v>0.009247967336</v>
      </c>
      <c r="K186" s="58">
        <v>0.01</v>
      </c>
      <c r="L186" s="59">
        <f t="shared" ref="L186:P186" si="147">K186</f>
        <v>0.01</v>
      </c>
      <c r="M186" s="59">
        <f t="shared" si="147"/>
        <v>0.01</v>
      </c>
      <c r="N186" s="59">
        <f t="shared" si="147"/>
        <v>0.01</v>
      </c>
      <c r="O186" s="59">
        <f t="shared" si="147"/>
        <v>0.01</v>
      </c>
      <c r="P186" s="59">
        <f t="shared" si="147"/>
        <v>0.01</v>
      </c>
    </row>
    <row r="187" ht="15.75" customHeight="1">
      <c r="A187" s="1" t="s">
        <v>48</v>
      </c>
      <c r="B187" s="35">
        <f t="shared" ref="B187:J187" si="148">B168/B$170</f>
        <v>0.02099138649</v>
      </c>
      <c r="C187" s="35">
        <f t="shared" si="148"/>
        <v>0.0191349049</v>
      </c>
      <c r="D187" s="35">
        <f t="shared" si="148"/>
        <v>0.0167123171</v>
      </c>
      <c r="E187" s="35">
        <f t="shared" si="148"/>
        <v>0.01675409703</v>
      </c>
      <c r="F187" s="35">
        <f t="shared" si="148"/>
        <v>0.01194818927</v>
      </c>
      <c r="G187" s="35">
        <f t="shared" si="148"/>
        <v>0.01807537089</v>
      </c>
      <c r="H187" s="35">
        <f t="shared" si="148"/>
        <v>0.02295035198</v>
      </c>
      <c r="I187" s="35">
        <f t="shared" si="148"/>
        <v>0.01933959914</v>
      </c>
      <c r="J187" s="35">
        <f t="shared" si="148"/>
        <v>0.01567551259</v>
      </c>
      <c r="K187" s="58">
        <v>0.02</v>
      </c>
      <c r="L187" s="59">
        <f t="shared" ref="L187:P187" si="149">K187</f>
        <v>0.02</v>
      </c>
      <c r="M187" s="59">
        <f t="shared" si="149"/>
        <v>0.02</v>
      </c>
      <c r="N187" s="59">
        <f t="shared" si="149"/>
        <v>0.02</v>
      </c>
      <c r="O187" s="59">
        <f t="shared" si="149"/>
        <v>0.02</v>
      </c>
      <c r="P187" s="59">
        <f t="shared" si="149"/>
        <v>0.02</v>
      </c>
    </row>
    <row r="188" ht="15.75" customHeight="1">
      <c r="A188" s="5"/>
    </row>
    <row r="189" ht="15.75" customHeight="1">
      <c r="A189" s="1" t="s">
        <v>90</v>
      </c>
      <c r="B189" s="19">
        <f t="shared" ref="B189:P189" si="150">B154-B162</f>
        <v>-31437</v>
      </c>
      <c r="C189" s="19">
        <f t="shared" si="150"/>
        <v>-44623</v>
      </c>
      <c r="D189" s="19">
        <f t="shared" si="150"/>
        <v>-75925</v>
      </c>
      <c r="E189" s="19">
        <f t="shared" si="150"/>
        <v>-19756</v>
      </c>
      <c r="F189" s="19">
        <f t="shared" si="150"/>
        <v>-28938</v>
      </c>
      <c r="G189" s="19">
        <f t="shared" si="150"/>
        <v>-11640</v>
      </c>
      <c r="H189" s="19">
        <f t="shared" si="150"/>
        <v>-32723</v>
      </c>
      <c r="I189" s="19">
        <f t="shared" si="150"/>
        <v>-98460</v>
      </c>
      <c r="J189" s="19">
        <f t="shared" si="150"/>
        <v>-61454</v>
      </c>
      <c r="K189" s="25">
        <f t="shared" si="150"/>
        <v>-123536.7245</v>
      </c>
      <c r="L189" s="25">
        <f t="shared" si="150"/>
        <v>-144336.89</v>
      </c>
      <c r="M189" s="25">
        <f t="shared" si="150"/>
        <v>-168700.3771</v>
      </c>
      <c r="N189" s="25">
        <f t="shared" si="150"/>
        <v>-197244.7616</v>
      </c>
      <c r="O189" s="25">
        <f t="shared" si="150"/>
        <v>-230695.4726</v>
      </c>
      <c r="P189" s="25">
        <f t="shared" si="150"/>
        <v>-269904.7205</v>
      </c>
    </row>
    <row r="190" ht="15.75" customHeight="1">
      <c r="A190" s="1" t="s">
        <v>91</v>
      </c>
      <c r="C190" s="19">
        <f t="shared" ref="C190:P190" si="151">C189-B189</f>
        <v>-13186</v>
      </c>
      <c r="D190" s="19">
        <f t="shared" si="151"/>
        <v>-31302</v>
      </c>
      <c r="E190" s="19">
        <f t="shared" si="151"/>
        <v>56169</v>
      </c>
      <c r="F190" s="19">
        <f t="shared" si="151"/>
        <v>-9182</v>
      </c>
      <c r="G190" s="19">
        <f t="shared" si="151"/>
        <v>17298</v>
      </c>
      <c r="H190" s="19">
        <f t="shared" si="151"/>
        <v>-21083</v>
      </c>
      <c r="I190" s="19">
        <f t="shared" si="151"/>
        <v>-65737</v>
      </c>
      <c r="J190" s="19">
        <f t="shared" si="151"/>
        <v>37006</v>
      </c>
      <c r="K190" s="25">
        <f t="shared" si="151"/>
        <v>-62082.72448</v>
      </c>
      <c r="L190" s="25">
        <f t="shared" si="151"/>
        <v>-20800.16549</v>
      </c>
      <c r="M190" s="25">
        <f t="shared" si="151"/>
        <v>-24363.48712</v>
      </c>
      <c r="N190" s="25">
        <f t="shared" si="151"/>
        <v>-28544.38454</v>
      </c>
      <c r="O190" s="25">
        <f t="shared" si="151"/>
        <v>-33450.71097</v>
      </c>
      <c r="P190" s="25">
        <f t="shared" si="151"/>
        <v>-39209.2479</v>
      </c>
    </row>
    <row r="191" ht="15.75" customHeight="1">
      <c r="A191" s="5"/>
    </row>
    <row r="192" ht="15.75" customHeight="1">
      <c r="A192" s="18" t="s">
        <v>92</v>
      </c>
    </row>
    <row r="193" ht="15.75" customHeight="1">
      <c r="A193" s="5" t="s">
        <v>93</v>
      </c>
      <c r="B193" s="19">
        <f t="shared" ref="B193:J193" si="152">B69+B71</f>
        <v>131896</v>
      </c>
      <c r="C193" s="19">
        <f t="shared" si="152"/>
        <v>141900</v>
      </c>
      <c r="D193" s="19">
        <f t="shared" si="152"/>
        <v>152092</v>
      </c>
      <c r="E193" s="19">
        <f t="shared" si="152"/>
        <v>165931</v>
      </c>
      <c r="F193" s="19">
        <f t="shared" si="152"/>
        <v>161348</v>
      </c>
      <c r="G193" s="19">
        <f t="shared" si="152"/>
        <v>153778</v>
      </c>
      <c r="H193" s="19">
        <f t="shared" si="152"/>
        <v>154723</v>
      </c>
      <c r="I193" s="19">
        <f t="shared" si="152"/>
        <v>308569</v>
      </c>
      <c r="J193" s="19">
        <f t="shared" si="152"/>
        <v>343025</v>
      </c>
    </row>
    <row r="194" ht="15.75" customHeight="1">
      <c r="A194" s="5" t="s">
        <v>94</v>
      </c>
      <c r="B194" s="19">
        <f t="shared" ref="B194:J194" si="153">B70+B72+B73</f>
        <v>3469</v>
      </c>
      <c r="C194" s="19">
        <f t="shared" si="153"/>
        <v>3730</v>
      </c>
      <c r="D194" s="19">
        <f t="shared" si="153"/>
        <v>3117</v>
      </c>
      <c r="E194" s="19">
        <f t="shared" si="153"/>
        <v>4511</v>
      </c>
      <c r="F194" s="19">
        <f t="shared" si="153"/>
        <v>10248</v>
      </c>
      <c r="G194" s="19">
        <f t="shared" si="153"/>
        <v>11077</v>
      </c>
      <c r="H194" s="19">
        <f t="shared" si="153"/>
        <v>12114</v>
      </c>
      <c r="I194" s="19">
        <f t="shared" si="153"/>
        <v>12275</v>
      </c>
      <c r="J194" s="19">
        <f t="shared" si="153"/>
        <v>12971</v>
      </c>
    </row>
    <row r="195" ht="15.75" customHeight="1">
      <c r="A195" s="17" t="s">
        <v>49</v>
      </c>
      <c r="B195" s="27">
        <f t="shared" ref="B195:J195" si="154">SUM(B193:B194)</f>
        <v>135365</v>
      </c>
      <c r="C195" s="27">
        <f t="shared" si="154"/>
        <v>145630</v>
      </c>
      <c r="D195" s="27">
        <f t="shared" si="154"/>
        <v>155209</v>
      </c>
      <c r="E195" s="27">
        <f t="shared" si="154"/>
        <v>170442</v>
      </c>
      <c r="F195" s="27">
        <f t="shared" si="154"/>
        <v>171596</v>
      </c>
      <c r="G195" s="27">
        <f t="shared" si="154"/>
        <v>164855</v>
      </c>
      <c r="H195" s="27">
        <f t="shared" si="154"/>
        <v>166837</v>
      </c>
      <c r="I195" s="27">
        <f t="shared" si="154"/>
        <v>320844</v>
      </c>
      <c r="J195" s="27">
        <f t="shared" si="154"/>
        <v>355996</v>
      </c>
      <c r="K195" s="34">
        <f t="shared" ref="K195:P195" si="155">K95*K197/10^6</f>
        <v>408000</v>
      </c>
      <c r="L195" s="34">
        <f t="shared" si="155"/>
        <v>456000</v>
      </c>
      <c r="M195" s="34">
        <f t="shared" si="155"/>
        <v>504000</v>
      </c>
      <c r="N195" s="34">
        <f t="shared" si="155"/>
        <v>552000</v>
      </c>
      <c r="O195" s="34">
        <f t="shared" si="155"/>
        <v>600000</v>
      </c>
      <c r="P195" s="34">
        <f t="shared" si="155"/>
        <v>648000</v>
      </c>
    </row>
    <row r="196" ht="15.75" customHeight="1">
      <c r="A196" s="5"/>
    </row>
    <row r="197" ht="15.75" customHeight="1">
      <c r="A197" s="17" t="s">
        <v>95</v>
      </c>
      <c r="B197" s="54">
        <f t="shared" ref="B197:J197" si="156">B195/B95*10^6</f>
        <v>90243.33333</v>
      </c>
      <c r="C197" s="54">
        <f t="shared" si="156"/>
        <v>93954.83871</v>
      </c>
      <c r="D197" s="54">
        <f t="shared" si="156"/>
        <v>99492.94872</v>
      </c>
      <c r="E197" s="54">
        <f t="shared" si="156"/>
        <v>107874.6835</v>
      </c>
      <c r="F197" s="54">
        <f t="shared" si="156"/>
        <v>85798</v>
      </c>
      <c r="G197" s="54">
        <f t="shared" si="156"/>
        <v>73268.88889</v>
      </c>
      <c r="H197" s="54">
        <f t="shared" si="156"/>
        <v>74149.77778</v>
      </c>
      <c r="I197" s="54">
        <f t="shared" si="156"/>
        <v>142597.3333</v>
      </c>
      <c r="J197" s="54">
        <f t="shared" si="156"/>
        <v>158220.4444</v>
      </c>
      <c r="K197" s="60">
        <v>160000.0</v>
      </c>
      <c r="L197" s="61">
        <f t="shared" ref="L197:P197" si="157">K197</f>
        <v>160000</v>
      </c>
      <c r="M197" s="61">
        <f t="shared" si="157"/>
        <v>160000</v>
      </c>
      <c r="N197" s="61">
        <f t="shared" si="157"/>
        <v>160000</v>
      </c>
      <c r="O197" s="61">
        <f t="shared" si="157"/>
        <v>160000</v>
      </c>
      <c r="P197" s="61">
        <f t="shared" si="157"/>
        <v>160000</v>
      </c>
    </row>
    <row r="198" ht="15.75" customHeight="1">
      <c r="A198" s="5"/>
    </row>
    <row r="199" ht="15.75" customHeight="1">
      <c r="A199" s="5" t="s">
        <v>96</v>
      </c>
      <c r="K199" s="44">
        <f t="shared" ref="K199:P199" si="158">K197*K96/10^6</f>
        <v>48000</v>
      </c>
      <c r="L199" s="44">
        <f t="shared" si="158"/>
        <v>48000</v>
      </c>
      <c r="M199" s="44">
        <f t="shared" si="158"/>
        <v>48000</v>
      </c>
      <c r="N199" s="44">
        <f t="shared" si="158"/>
        <v>48000</v>
      </c>
      <c r="O199" s="44">
        <f t="shared" si="158"/>
        <v>48000</v>
      </c>
      <c r="P199" s="44">
        <f t="shared" si="158"/>
        <v>48000</v>
      </c>
    </row>
    <row r="200" ht="15.75" customHeight="1">
      <c r="A200" s="5" t="s">
        <v>97</v>
      </c>
      <c r="K200" s="19">
        <f t="shared" ref="K200:P200" si="159">J203</f>
        <v>52558</v>
      </c>
      <c r="L200" s="44">
        <f t="shared" si="159"/>
        <v>61200</v>
      </c>
      <c r="M200" s="44">
        <f t="shared" si="159"/>
        <v>68400</v>
      </c>
      <c r="N200" s="44">
        <f t="shared" si="159"/>
        <v>75600</v>
      </c>
      <c r="O200" s="44">
        <f t="shared" si="159"/>
        <v>82800</v>
      </c>
      <c r="P200" s="44">
        <f t="shared" si="159"/>
        <v>90000</v>
      </c>
    </row>
    <row r="201" ht="15.75" customHeight="1">
      <c r="A201" s="5" t="s">
        <v>98</v>
      </c>
      <c r="K201" s="44">
        <f t="shared" ref="K201:P201" si="160">SUM(K199:K200)</f>
        <v>100558</v>
      </c>
      <c r="L201" s="44">
        <f t="shared" si="160"/>
        <v>109200</v>
      </c>
      <c r="M201" s="44">
        <f t="shared" si="160"/>
        <v>116400</v>
      </c>
      <c r="N201" s="44">
        <f t="shared" si="160"/>
        <v>123600</v>
      </c>
      <c r="O201" s="44">
        <f t="shared" si="160"/>
        <v>130800</v>
      </c>
      <c r="P201" s="44">
        <f t="shared" si="160"/>
        <v>138000</v>
      </c>
    </row>
    <row r="202" ht="15.75" customHeight="1">
      <c r="A202" s="5"/>
    </row>
    <row r="203" ht="15.75" customHeight="1">
      <c r="A203" s="5" t="s">
        <v>99</v>
      </c>
      <c r="B203" s="19">
        <f t="shared" ref="B203:J203" si="161">B20</f>
        <v>28670</v>
      </c>
      <c r="C203" s="19">
        <f t="shared" si="161"/>
        <v>26039</v>
      </c>
      <c r="D203" s="19">
        <f t="shared" si="161"/>
        <v>27598</v>
      </c>
      <c r="E203" s="19">
        <f t="shared" si="161"/>
        <v>30208</v>
      </c>
      <c r="F203" s="19">
        <f t="shared" si="161"/>
        <v>35284</v>
      </c>
      <c r="G203" s="19">
        <f t="shared" si="161"/>
        <v>30341</v>
      </c>
      <c r="H203" s="19">
        <f t="shared" si="161"/>
        <v>27890</v>
      </c>
      <c r="I203" s="19">
        <f t="shared" si="161"/>
        <v>48460</v>
      </c>
      <c r="J203" s="19">
        <f t="shared" si="161"/>
        <v>52558</v>
      </c>
      <c r="K203" s="44">
        <f t="shared" ref="K203:P203" si="162">K195*K204</f>
        <v>61200</v>
      </c>
      <c r="L203" s="44">
        <f t="shared" si="162"/>
        <v>68400</v>
      </c>
      <c r="M203" s="44">
        <f t="shared" si="162"/>
        <v>75600</v>
      </c>
      <c r="N203" s="44">
        <f t="shared" si="162"/>
        <v>82800</v>
      </c>
      <c r="O203" s="44">
        <f t="shared" si="162"/>
        <v>90000</v>
      </c>
      <c r="P203" s="44">
        <f t="shared" si="162"/>
        <v>97200</v>
      </c>
    </row>
    <row r="204" ht="15.75" customHeight="1">
      <c r="A204" s="5" t="s">
        <v>100</v>
      </c>
      <c r="B204" s="35">
        <f t="shared" ref="B204:J204" si="163">B203/B195</f>
        <v>0.2117977321</v>
      </c>
      <c r="C204" s="35">
        <f t="shared" si="163"/>
        <v>0.1788024446</v>
      </c>
      <c r="D204" s="35">
        <f t="shared" si="163"/>
        <v>0.1778118537</v>
      </c>
      <c r="E204" s="35">
        <f t="shared" si="163"/>
        <v>0.177233311</v>
      </c>
      <c r="F204" s="35">
        <f t="shared" si="163"/>
        <v>0.2056225087</v>
      </c>
      <c r="G204" s="35">
        <f t="shared" si="163"/>
        <v>0.1840465864</v>
      </c>
      <c r="H204" s="35">
        <f t="shared" si="163"/>
        <v>0.1671691531</v>
      </c>
      <c r="I204" s="35">
        <f t="shared" si="163"/>
        <v>0.1510391343</v>
      </c>
      <c r="J204" s="35">
        <f t="shared" si="163"/>
        <v>0.1476364903</v>
      </c>
      <c r="K204" s="62">
        <v>0.15</v>
      </c>
      <c r="L204" s="63">
        <f t="shared" ref="L204:P204" si="164">K204</f>
        <v>0.15</v>
      </c>
      <c r="M204" s="63">
        <f t="shared" si="164"/>
        <v>0.15</v>
      </c>
      <c r="N204" s="63">
        <f t="shared" si="164"/>
        <v>0.15</v>
      </c>
      <c r="O204" s="63">
        <f t="shared" si="164"/>
        <v>0.15</v>
      </c>
      <c r="P204" s="63">
        <f t="shared" si="164"/>
        <v>0.15</v>
      </c>
    </row>
    <row r="205" ht="15.75" customHeight="1">
      <c r="A205" s="1"/>
    </row>
    <row r="206" ht="15.75" customHeight="1">
      <c r="A206" s="64" t="s">
        <v>115</v>
      </c>
    </row>
    <row r="207" ht="15.75" customHeight="1">
      <c r="A207" s="65" t="s">
        <v>116</v>
      </c>
      <c r="B207" s="19">
        <f t="shared" ref="B207:P207" si="165">B36</f>
        <v>46988</v>
      </c>
      <c r="C207" s="19">
        <f t="shared" si="165"/>
        <v>77326</v>
      </c>
      <c r="D207" s="19">
        <f t="shared" si="165"/>
        <v>82118</v>
      </c>
      <c r="E207" s="19">
        <f t="shared" si="165"/>
        <v>74103</v>
      </c>
      <c r="F207" s="19">
        <f t="shared" si="165"/>
        <v>52359</v>
      </c>
      <c r="G207" s="19">
        <f t="shared" si="165"/>
        <v>49027</v>
      </c>
      <c r="H207" s="19">
        <f t="shared" si="165"/>
        <v>41924</v>
      </c>
      <c r="I207" s="19">
        <f t="shared" si="165"/>
        <v>83223</v>
      </c>
      <c r="J207" s="19">
        <f t="shared" si="165"/>
        <v>137551</v>
      </c>
      <c r="K207" s="19">
        <f t="shared" si="165"/>
        <v>170690.0114</v>
      </c>
      <c r="L207" s="19">
        <f t="shared" si="165"/>
        <v>198731.1173</v>
      </c>
      <c r="M207" s="19">
        <f t="shared" si="165"/>
        <v>232439.4196</v>
      </c>
      <c r="N207" s="19">
        <f t="shared" si="165"/>
        <v>272797.1261</v>
      </c>
      <c r="O207" s="19">
        <f t="shared" si="165"/>
        <v>320957.9775</v>
      </c>
      <c r="P207" s="19">
        <f t="shared" si="165"/>
        <v>378277.3508</v>
      </c>
    </row>
    <row r="208" ht="15.75" customHeight="1">
      <c r="A208" s="65" t="s">
        <v>117</v>
      </c>
      <c r="B208" s="19">
        <f t="shared" ref="B208:P208" si="166">B20</f>
        <v>28670</v>
      </c>
      <c r="C208" s="19">
        <f t="shared" si="166"/>
        <v>26039</v>
      </c>
      <c r="D208" s="19">
        <f t="shared" si="166"/>
        <v>27598</v>
      </c>
      <c r="E208" s="19">
        <f t="shared" si="166"/>
        <v>30208</v>
      </c>
      <c r="F208" s="19">
        <f t="shared" si="166"/>
        <v>35284</v>
      </c>
      <c r="G208" s="19">
        <f t="shared" si="166"/>
        <v>30341</v>
      </c>
      <c r="H208" s="19">
        <f t="shared" si="166"/>
        <v>27890</v>
      </c>
      <c r="I208" s="19">
        <f t="shared" si="166"/>
        <v>48460</v>
      </c>
      <c r="J208" s="19">
        <f t="shared" si="166"/>
        <v>52558</v>
      </c>
      <c r="K208" s="44">
        <f t="shared" si="166"/>
        <v>61200</v>
      </c>
      <c r="L208" s="44">
        <f t="shared" si="166"/>
        <v>68400</v>
      </c>
      <c r="M208" s="44">
        <f t="shared" si="166"/>
        <v>75600</v>
      </c>
      <c r="N208" s="44">
        <f t="shared" si="166"/>
        <v>82800</v>
      </c>
      <c r="O208" s="44">
        <f t="shared" si="166"/>
        <v>90000</v>
      </c>
      <c r="P208" s="44">
        <f t="shared" si="166"/>
        <v>97200</v>
      </c>
    </row>
    <row r="209" ht="15.75" customHeight="1">
      <c r="A209" s="65" t="s">
        <v>118</v>
      </c>
      <c r="C209" s="19">
        <f t="shared" ref="C209:P209" si="167">C50-B50</f>
        <v>0</v>
      </c>
      <c r="D209" s="19">
        <f t="shared" si="167"/>
        <v>100</v>
      </c>
      <c r="E209" s="19">
        <f t="shared" si="167"/>
        <v>-20</v>
      </c>
      <c r="F209" s="19">
        <f t="shared" si="167"/>
        <v>572</v>
      </c>
      <c r="G209" s="19">
        <f t="shared" si="167"/>
        <v>-232</v>
      </c>
      <c r="H209" s="19">
        <f t="shared" si="167"/>
        <v>-91</v>
      </c>
      <c r="I209" s="19">
        <f t="shared" si="167"/>
        <v>-79</v>
      </c>
      <c r="J209" s="19">
        <f t="shared" si="167"/>
        <v>427</v>
      </c>
      <c r="K209" s="19">
        <f t="shared" si="167"/>
        <v>0</v>
      </c>
      <c r="L209" s="19">
        <f t="shared" si="167"/>
        <v>0</v>
      </c>
      <c r="M209" s="19">
        <f t="shared" si="167"/>
        <v>0</v>
      </c>
      <c r="N209" s="19">
        <f t="shared" si="167"/>
        <v>0</v>
      </c>
      <c r="O209" s="19">
        <f t="shared" si="167"/>
        <v>0</v>
      </c>
      <c r="P209" s="19">
        <f t="shared" si="167"/>
        <v>0</v>
      </c>
    </row>
    <row r="210" ht="15.75" customHeight="1">
      <c r="A210" s="65" t="s">
        <v>119</v>
      </c>
      <c r="B210" s="44" t="str">
        <f t="shared" ref="B210:P210" si="168">B190</f>
        <v/>
      </c>
      <c r="C210" s="19">
        <f t="shared" si="168"/>
        <v>-13186</v>
      </c>
      <c r="D210" s="19">
        <f t="shared" si="168"/>
        <v>-31302</v>
      </c>
      <c r="E210" s="19">
        <f t="shared" si="168"/>
        <v>56169</v>
      </c>
      <c r="F210" s="19">
        <f t="shared" si="168"/>
        <v>-9182</v>
      </c>
      <c r="G210" s="19">
        <f t="shared" si="168"/>
        <v>17298</v>
      </c>
      <c r="H210" s="19">
        <f t="shared" si="168"/>
        <v>-21083</v>
      </c>
      <c r="I210" s="19">
        <f t="shared" si="168"/>
        <v>-65737</v>
      </c>
      <c r="J210" s="19">
        <f t="shared" si="168"/>
        <v>37006</v>
      </c>
      <c r="K210" s="25">
        <f t="shared" si="168"/>
        <v>-62082.72448</v>
      </c>
      <c r="L210" s="25">
        <f t="shared" si="168"/>
        <v>-20800.16549</v>
      </c>
      <c r="M210" s="25">
        <f t="shared" si="168"/>
        <v>-24363.48712</v>
      </c>
      <c r="N210" s="25">
        <f t="shared" si="168"/>
        <v>-28544.38454</v>
      </c>
      <c r="O210" s="25">
        <f t="shared" si="168"/>
        <v>-33450.71097</v>
      </c>
      <c r="P210" s="25">
        <f t="shared" si="168"/>
        <v>-39209.2479</v>
      </c>
    </row>
    <row r="211" ht="15.75" customHeight="1">
      <c r="A211" s="65" t="s">
        <v>120</v>
      </c>
      <c r="B211" s="44" t="str">
        <f t="shared" ref="B211:P211" si="169">B201</f>
        <v/>
      </c>
      <c r="C211" s="44" t="str">
        <f t="shared" si="169"/>
        <v/>
      </c>
      <c r="D211" s="44" t="str">
        <f t="shared" si="169"/>
        <v/>
      </c>
      <c r="E211" s="44" t="str">
        <f t="shared" si="169"/>
        <v/>
      </c>
      <c r="F211" s="44" t="str">
        <f t="shared" si="169"/>
        <v/>
      </c>
      <c r="G211" s="44" t="str">
        <f t="shared" si="169"/>
        <v/>
      </c>
      <c r="H211" s="44" t="str">
        <f t="shared" si="169"/>
        <v/>
      </c>
      <c r="I211" s="44" t="str">
        <f t="shared" si="169"/>
        <v/>
      </c>
      <c r="J211" s="44" t="str">
        <f t="shared" si="169"/>
        <v/>
      </c>
      <c r="K211" s="44">
        <f t="shared" si="169"/>
        <v>100558</v>
      </c>
      <c r="L211" s="44">
        <f t="shared" si="169"/>
        <v>109200</v>
      </c>
      <c r="M211" s="44">
        <f t="shared" si="169"/>
        <v>116400</v>
      </c>
      <c r="N211" s="44">
        <f t="shared" si="169"/>
        <v>123600</v>
      </c>
      <c r="O211" s="44">
        <f t="shared" si="169"/>
        <v>130800</v>
      </c>
      <c r="P211" s="44">
        <f t="shared" si="169"/>
        <v>138000</v>
      </c>
    </row>
    <row r="212" ht="15.75" customHeight="1">
      <c r="A212" s="66"/>
    </row>
    <row r="213" ht="15.75" customHeight="1">
      <c r="A213" s="65" t="s">
        <v>121</v>
      </c>
      <c r="K213" s="19">
        <f t="shared" ref="K213:P213" si="170">J215</f>
        <v>28274</v>
      </c>
      <c r="L213" s="19">
        <f t="shared" si="170"/>
        <v>221688.7359</v>
      </c>
      <c r="M213" s="19">
        <f t="shared" si="170"/>
        <v>400420.0187</v>
      </c>
      <c r="N213" s="19">
        <f t="shared" si="170"/>
        <v>616422.9254</v>
      </c>
      <c r="O213" s="19">
        <f t="shared" si="170"/>
        <v>876964.436</v>
      </c>
      <c r="P213" s="19">
        <f t="shared" si="170"/>
        <v>1190573.125</v>
      </c>
    </row>
    <row r="214" ht="15.75" customHeight="1">
      <c r="A214" s="65" t="s">
        <v>122</v>
      </c>
      <c r="K214" s="19">
        <f t="shared" ref="K214:P214" si="171">K207+K208+K209-K210-K211</f>
        <v>193414.7359</v>
      </c>
      <c r="L214" s="19">
        <f t="shared" si="171"/>
        <v>178731.2828</v>
      </c>
      <c r="M214" s="19">
        <f t="shared" si="171"/>
        <v>216002.9067</v>
      </c>
      <c r="N214" s="19">
        <f t="shared" si="171"/>
        <v>260541.5106</v>
      </c>
      <c r="O214" s="19">
        <f t="shared" si="171"/>
        <v>313608.6885</v>
      </c>
      <c r="P214" s="19">
        <f t="shared" si="171"/>
        <v>376686.5987</v>
      </c>
      <c r="Q214" s="25">
        <f t="shared" ref="Q214:V214" si="172">P214*(1+Q216)</f>
        <v>443034.565</v>
      </c>
      <c r="R214" s="25">
        <f t="shared" si="172"/>
        <v>509992.9142</v>
      </c>
      <c r="S214" s="25">
        <f t="shared" si="172"/>
        <v>574321.239</v>
      </c>
      <c r="T214" s="25">
        <f t="shared" si="172"/>
        <v>632405.6326</v>
      </c>
      <c r="U214" s="25">
        <f t="shared" si="172"/>
        <v>680554.2925</v>
      </c>
      <c r="V214" s="25">
        <f t="shared" si="172"/>
        <v>715354.9281</v>
      </c>
      <c r="W214" s="25">
        <f>V214*(1+W216)/(B221-W216)</f>
        <v>7296620.266</v>
      </c>
    </row>
    <row r="215" ht="15.75" customHeight="1">
      <c r="A215" s="64" t="s">
        <v>123</v>
      </c>
      <c r="J215" s="19">
        <f>J85</f>
        <v>28274</v>
      </c>
      <c r="K215" s="19">
        <f t="shared" ref="K215:P215" si="173">K214+K213</f>
        <v>221688.7359</v>
      </c>
      <c r="L215" s="19">
        <f t="shared" si="173"/>
        <v>400420.0187</v>
      </c>
      <c r="M215" s="19">
        <f t="shared" si="173"/>
        <v>616422.9254</v>
      </c>
      <c r="N215" s="19">
        <f t="shared" si="173"/>
        <v>876964.436</v>
      </c>
      <c r="O215" s="19">
        <f t="shared" si="173"/>
        <v>1190573.125</v>
      </c>
      <c r="P215" s="19">
        <f t="shared" si="173"/>
        <v>1567259.723</v>
      </c>
    </row>
    <row r="216" ht="15.75" customHeight="1">
      <c r="A216" s="65" t="s">
        <v>124</v>
      </c>
      <c r="L216" s="35">
        <f t="shared" ref="L216:P216" si="174">L214/K214-1</f>
        <v>-0.07591693042</v>
      </c>
      <c r="M216" s="35">
        <f t="shared" si="174"/>
        <v>0.208534417</v>
      </c>
      <c r="N216" s="35">
        <f t="shared" si="174"/>
        <v>0.2061944659</v>
      </c>
      <c r="O216" s="35">
        <f t="shared" si="174"/>
        <v>0.2036803185</v>
      </c>
      <c r="P216" s="35">
        <f t="shared" si="174"/>
        <v>0.2011357227</v>
      </c>
      <c r="Q216" s="35">
        <f t="shared" ref="Q216:V216" si="175">P216-$B$220</f>
        <v>0.1761357227</v>
      </c>
      <c r="R216" s="35">
        <f t="shared" si="175"/>
        <v>0.1511357227</v>
      </c>
      <c r="S216" s="35">
        <f t="shared" si="175"/>
        <v>0.1261357227</v>
      </c>
      <c r="T216" s="35">
        <f t="shared" si="175"/>
        <v>0.1011357227</v>
      </c>
      <c r="U216" s="35">
        <f t="shared" si="175"/>
        <v>0.07613572271</v>
      </c>
      <c r="V216" s="35">
        <f t="shared" si="175"/>
        <v>0.05113572271</v>
      </c>
      <c r="W216" s="35">
        <f>B219</f>
        <v>0.02</v>
      </c>
    </row>
    <row r="217" ht="15.75" customHeight="1">
      <c r="A217" s="66"/>
    </row>
    <row r="218" ht="15.75" customHeight="1">
      <c r="A218" s="66"/>
    </row>
    <row r="219" ht="15.75" customHeight="1">
      <c r="A219" s="65" t="s">
        <v>125</v>
      </c>
      <c r="B219" s="58">
        <v>0.02</v>
      </c>
    </row>
    <row r="220" ht="15.75" customHeight="1">
      <c r="A220" s="65" t="s">
        <v>126</v>
      </c>
      <c r="B220" s="58">
        <v>0.025</v>
      </c>
    </row>
    <row r="221" ht="15.75" customHeight="1">
      <c r="A221" s="65" t="s">
        <v>127</v>
      </c>
      <c r="B221" s="67">
        <f>SUM(B222:B223)</f>
        <v>0.12</v>
      </c>
    </row>
    <row r="222" ht="15.75" customHeight="1">
      <c r="A222" s="65" t="s">
        <v>128</v>
      </c>
      <c r="B222" s="58">
        <v>0.07</v>
      </c>
    </row>
    <row r="223" ht="15.75" customHeight="1">
      <c r="A223" s="65" t="s">
        <v>129</v>
      </c>
      <c r="B223" s="67">
        <f>(12%-7%)*B224</f>
        <v>0.05</v>
      </c>
    </row>
    <row r="224" ht="15.75" customHeight="1">
      <c r="A224" s="65" t="s">
        <v>130</v>
      </c>
      <c r="B224" s="68">
        <v>1.0</v>
      </c>
    </row>
    <row r="225" ht="15.75" customHeight="1">
      <c r="A225" s="65" t="s">
        <v>131</v>
      </c>
      <c r="B225" s="19">
        <f>SUM(K225:W225)</f>
        <v>4072516.983</v>
      </c>
      <c r="K225" s="19">
        <f t="shared" ref="K225:V225" si="176">-PV($B$221,K1-$J$1,,K214,)</f>
        <v>172691.7284</v>
      </c>
      <c r="L225" s="19">
        <f t="shared" si="176"/>
        <v>142483.4844</v>
      </c>
      <c r="M225" s="19">
        <f t="shared" si="176"/>
        <v>153746.6024</v>
      </c>
      <c r="N225" s="19">
        <f t="shared" si="176"/>
        <v>165578.8402</v>
      </c>
      <c r="O225" s="19">
        <f t="shared" si="176"/>
        <v>177949.992</v>
      </c>
      <c r="P225" s="19">
        <f t="shared" si="176"/>
        <v>190841.1538</v>
      </c>
      <c r="Q225" s="19">
        <f t="shared" si="176"/>
        <v>200406.3379</v>
      </c>
      <c r="R225" s="19">
        <f t="shared" si="176"/>
        <v>205977.5844</v>
      </c>
      <c r="S225" s="19">
        <f t="shared" si="176"/>
        <v>207105.9963</v>
      </c>
      <c r="T225" s="19">
        <f t="shared" si="176"/>
        <v>203617.6884</v>
      </c>
      <c r="U225" s="19">
        <f t="shared" si="176"/>
        <v>195643.0966</v>
      </c>
      <c r="V225" s="19">
        <f t="shared" si="176"/>
        <v>183613.7927</v>
      </c>
      <c r="W225" s="19">
        <f>-PV($B$221,V1-$J$1,,W214,)</f>
        <v>1872860.685</v>
      </c>
    </row>
    <row r="226" ht="15.75" customHeight="1">
      <c r="A226" s="65" t="s">
        <v>132</v>
      </c>
      <c r="B226" s="19">
        <f>SUM(J85,J89,J90)</f>
        <v>101582</v>
      </c>
    </row>
    <row r="227" ht="15.75" customHeight="1">
      <c r="A227" s="69" t="s">
        <v>133</v>
      </c>
      <c r="B227" s="19">
        <f>SUM(B225:B226)</f>
        <v>4174098.983</v>
      </c>
      <c r="C227" s="15" t="s">
        <v>134</v>
      </c>
    </row>
    <row r="228" ht="15.75" customHeight="1">
      <c r="A228" s="65" t="s">
        <v>135</v>
      </c>
      <c r="B228" s="19">
        <f>314400202/10^6</f>
        <v>314.400202</v>
      </c>
    </row>
    <row r="229" ht="15.75" customHeight="1">
      <c r="A229" s="65" t="s">
        <v>136</v>
      </c>
      <c r="B229" s="25">
        <f>B227/B228</f>
        <v>13276.38773</v>
      </c>
    </row>
    <row r="230" ht="15.75" customHeight="1">
      <c r="A230" s="64" t="s">
        <v>137</v>
      </c>
      <c r="B230" s="52">
        <v>15374.0</v>
      </c>
    </row>
    <row r="231" ht="15.75" customHeight="1">
      <c r="A231" s="65"/>
      <c r="B231" s="19">
        <f>B230-B229</f>
        <v>2097.612275</v>
      </c>
      <c r="C231" s="15" t="s">
        <v>138</v>
      </c>
    </row>
    <row r="232" ht="15.75" customHeight="1">
      <c r="A232" s="64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>
      <c r="A403" s="1"/>
    </row>
    <row r="404" ht="15.75" customHeight="1">
      <c r="A404" s="1"/>
    </row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printOptions/>
  <pageMargins bottom="0.75" footer="0.0" header="0.0" left="0.7" right="0.7" top="0.75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1"/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  <c r="K3" s="25">
        <f t="shared" ref="K3:P3" si="2">(K100*K120)/10^6</f>
        <v>1745621.281</v>
      </c>
      <c r="L3" s="44">
        <f t="shared" si="2"/>
        <v>2039535.594</v>
      </c>
      <c r="M3" s="44">
        <f t="shared" si="2"/>
        <v>2383801.008</v>
      </c>
      <c r="N3" s="44">
        <f t="shared" si="2"/>
        <v>2787144.105</v>
      </c>
      <c r="O3" s="44">
        <f t="shared" si="2"/>
        <v>3259815.476</v>
      </c>
      <c r="P3" s="44">
        <f t="shared" si="2"/>
        <v>3813857.181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  <c r="K4" s="15">
        <v>20000.0</v>
      </c>
      <c r="L4" s="15">
        <v>20000.0</v>
      </c>
      <c r="M4" s="15">
        <v>20000.0</v>
      </c>
      <c r="N4" s="15">
        <v>20000.0</v>
      </c>
      <c r="O4" s="15">
        <v>20000.0</v>
      </c>
      <c r="P4" s="15">
        <v>20000.0</v>
      </c>
    </row>
    <row r="5" ht="15.75" customHeight="1">
      <c r="A5" s="7"/>
    </row>
    <row r="6" ht="15.75" customHeight="1">
      <c r="A6" s="8" t="s">
        <v>3</v>
      </c>
      <c r="B6" s="9">
        <f t="shared" ref="B6:P6" si="3">SUM(B3:B4)</f>
        <v>586120</v>
      </c>
      <c r="C6" s="9">
        <f t="shared" si="3"/>
        <v>703746</v>
      </c>
      <c r="D6" s="9">
        <f t="shared" si="3"/>
        <v>818552</v>
      </c>
      <c r="E6" s="9">
        <f t="shared" si="3"/>
        <v>886301</v>
      </c>
      <c r="F6" s="9">
        <f t="shared" si="3"/>
        <v>789944</v>
      </c>
      <c r="G6" s="9">
        <f t="shared" si="3"/>
        <v>733083</v>
      </c>
      <c r="H6" s="9">
        <f t="shared" si="3"/>
        <v>900745</v>
      </c>
      <c r="I6" s="9">
        <f t="shared" si="3"/>
        <v>1206746</v>
      </c>
      <c r="J6" s="9">
        <f t="shared" si="3"/>
        <v>1459517</v>
      </c>
      <c r="K6" s="9">
        <f t="shared" si="3"/>
        <v>1765621.281</v>
      </c>
      <c r="L6" s="9">
        <f t="shared" si="3"/>
        <v>2059535.594</v>
      </c>
      <c r="M6" s="9">
        <f t="shared" si="3"/>
        <v>2403801.008</v>
      </c>
      <c r="N6" s="9">
        <f t="shared" si="3"/>
        <v>2807144.105</v>
      </c>
      <c r="O6" s="9">
        <f t="shared" si="3"/>
        <v>3279815.476</v>
      </c>
      <c r="P6" s="9">
        <f t="shared" si="3"/>
        <v>3833857.181</v>
      </c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  <c r="K9" s="44">
        <f>K3*K126</f>
        <v>139649.7024</v>
      </c>
      <c r="L9" s="44">
        <f t="shared" ref="L9:P9" si="4">L3*L125</f>
        <v>362007</v>
      </c>
      <c r="M9" s="44">
        <f t="shared" si="4"/>
        <v>362007</v>
      </c>
      <c r="N9" s="44">
        <f t="shared" si="4"/>
        <v>362007</v>
      </c>
      <c r="O9" s="44">
        <f t="shared" si="4"/>
        <v>362007</v>
      </c>
      <c r="P9" s="44">
        <f t="shared" si="4"/>
        <v>362007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  <c r="K10" s="22">
        <f t="shared" ref="K10:P10" si="5">K$3*K126</f>
        <v>139649.7024</v>
      </c>
      <c r="L10" s="22">
        <f t="shared" si="5"/>
        <v>163162.8475</v>
      </c>
      <c r="M10" s="22">
        <f t="shared" si="5"/>
        <v>190704.0806</v>
      </c>
      <c r="N10" s="22">
        <f t="shared" si="5"/>
        <v>222971.5284</v>
      </c>
      <c r="O10" s="22">
        <f t="shared" si="5"/>
        <v>260785.2381</v>
      </c>
      <c r="P10" s="22">
        <f t="shared" si="5"/>
        <v>305108.5745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  <c r="K11" s="22">
        <f t="shared" ref="K11:P11" si="6">K3*K127</f>
        <v>-4658.822802</v>
      </c>
      <c r="L11" s="22">
        <f t="shared" si="6"/>
        <v>-6118.606781</v>
      </c>
      <c r="M11" s="22">
        <f t="shared" si="6"/>
        <v>-7151.403023</v>
      </c>
      <c r="N11" s="22">
        <f t="shared" si="6"/>
        <v>-8361.432315</v>
      </c>
      <c r="O11" s="22">
        <f t="shared" si="6"/>
        <v>-9779.446428</v>
      </c>
      <c r="P11" s="22">
        <f t="shared" si="6"/>
        <v>-11441.57154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  <c r="K12" s="22">
        <f t="shared" ref="K12:P12" si="7">K$3*K128</f>
        <v>69824.85122</v>
      </c>
      <c r="L12" s="22">
        <f t="shared" si="7"/>
        <v>81581.42375</v>
      </c>
      <c r="M12" s="22">
        <f t="shared" si="7"/>
        <v>95352.0403</v>
      </c>
      <c r="N12" s="22">
        <f t="shared" si="7"/>
        <v>111485.7642</v>
      </c>
      <c r="O12" s="22">
        <f t="shared" si="7"/>
        <v>130392.619</v>
      </c>
      <c r="P12" s="22">
        <f t="shared" si="7"/>
        <v>152554.2873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  <c r="K13" s="22">
        <f t="shared" ref="K13:P13" si="8">K$3*K129</f>
        <v>216457.0388</v>
      </c>
      <c r="L13" s="22">
        <f t="shared" si="8"/>
        <v>252902.4136</v>
      </c>
      <c r="M13" s="22">
        <f t="shared" si="8"/>
        <v>295591.3249</v>
      </c>
      <c r="N13" s="22">
        <f t="shared" si="8"/>
        <v>345605.869</v>
      </c>
      <c r="O13" s="22">
        <f t="shared" si="8"/>
        <v>404217.119</v>
      </c>
      <c r="P13" s="22">
        <f t="shared" si="8"/>
        <v>472918.2905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  <c r="K14" s="22">
        <f t="shared" ref="K14:P14" si="9">K$3*K130</f>
        <v>-3491.242561</v>
      </c>
      <c r="L14" s="22">
        <f t="shared" si="9"/>
        <v>-4079.071187</v>
      </c>
      <c r="M14" s="22">
        <f t="shared" si="9"/>
        <v>-4767.602015</v>
      </c>
      <c r="N14" s="22">
        <f t="shared" si="9"/>
        <v>-5574.28821</v>
      </c>
      <c r="O14" s="22">
        <f t="shared" si="9"/>
        <v>-6519.630952</v>
      </c>
      <c r="P14" s="22">
        <f t="shared" si="9"/>
        <v>-7627.714363</v>
      </c>
    </row>
    <row r="15" ht="15.75" customHeight="1">
      <c r="A15" s="7"/>
    </row>
    <row r="16" ht="15.75" customHeight="1">
      <c r="A16" s="8" t="s">
        <v>14</v>
      </c>
      <c r="B16" s="13">
        <f t="shared" ref="B16:P16" si="10">SUM(B9:B14)</f>
        <v>494932</v>
      </c>
      <c r="C16" s="13">
        <f t="shared" si="10"/>
        <v>577269</v>
      </c>
      <c r="D16" s="13">
        <f t="shared" si="10"/>
        <v>677460</v>
      </c>
      <c r="E16" s="13">
        <f t="shared" si="10"/>
        <v>750653</v>
      </c>
      <c r="F16" s="13">
        <f t="shared" si="10"/>
        <v>683474</v>
      </c>
      <c r="G16" s="13">
        <f t="shared" si="10"/>
        <v>650204</v>
      </c>
      <c r="H16" s="13">
        <f t="shared" si="10"/>
        <v>826236</v>
      </c>
      <c r="I16" s="13">
        <f t="shared" si="10"/>
        <v>1053155</v>
      </c>
      <c r="J16" s="13">
        <f t="shared" si="10"/>
        <v>1233319</v>
      </c>
      <c r="K16" s="13">
        <f t="shared" si="10"/>
        <v>557431.2295</v>
      </c>
      <c r="L16" s="13">
        <f t="shared" si="10"/>
        <v>849456.0069</v>
      </c>
      <c r="M16" s="13">
        <f t="shared" si="10"/>
        <v>931735.4408</v>
      </c>
      <c r="N16" s="13">
        <f t="shared" si="10"/>
        <v>1028134.441</v>
      </c>
      <c r="O16" s="13">
        <f t="shared" si="10"/>
        <v>1141102.899</v>
      </c>
      <c r="P16" s="13">
        <f t="shared" si="10"/>
        <v>1273518.866</v>
      </c>
    </row>
    <row r="17" ht="15.75" customHeight="1">
      <c r="A17" s="7"/>
    </row>
    <row r="18" ht="15.75" customHeight="1">
      <c r="A18" s="4" t="s">
        <v>15</v>
      </c>
      <c r="B18" s="6">
        <f t="shared" ref="B18:P18" si="11">B6-B16</f>
        <v>91188</v>
      </c>
      <c r="C18" s="6">
        <f t="shared" si="11"/>
        <v>126477</v>
      </c>
      <c r="D18" s="6">
        <f t="shared" si="11"/>
        <v>141092</v>
      </c>
      <c r="E18" s="6">
        <f t="shared" si="11"/>
        <v>135648</v>
      </c>
      <c r="F18" s="6">
        <f t="shared" si="11"/>
        <v>106470</v>
      </c>
      <c r="G18" s="6">
        <f t="shared" si="11"/>
        <v>82879</v>
      </c>
      <c r="H18" s="6">
        <f t="shared" si="11"/>
        <v>74509</v>
      </c>
      <c r="I18" s="6">
        <f t="shared" si="11"/>
        <v>153591</v>
      </c>
      <c r="J18" s="6">
        <f t="shared" si="11"/>
        <v>226198</v>
      </c>
      <c r="K18" s="19">
        <f t="shared" si="11"/>
        <v>1208190.051</v>
      </c>
      <c r="L18" s="19">
        <f t="shared" si="11"/>
        <v>1210079.587</v>
      </c>
      <c r="M18" s="19">
        <f t="shared" si="11"/>
        <v>1472065.567</v>
      </c>
      <c r="N18" s="19">
        <f t="shared" si="11"/>
        <v>1779009.664</v>
      </c>
      <c r="O18" s="19">
        <f t="shared" si="11"/>
        <v>2138712.577</v>
      </c>
      <c r="P18" s="19">
        <f t="shared" si="11"/>
        <v>2560338.315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</row>
    <row r="21" ht="15.75" customHeight="1">
      <c r="A21" s="7"/>
    </row>
    <row r="22" ht="15.75" customHeight="1">
      <c r="A22" s="7" t="s">
        <v>18</v>
      </c>
      <c r="B22" s="6">
        <f t="shared" ref="B22:P22" si="12">B18-B20</f>
        <v>62518</v>
      </c>
      <c r="C22" s="6">
        <f t="shared" si="12"/>
        <v>100438</v>
      </c>
      <c r="D22" s="6">
        <f t="shared" si="12"/>
        <v>113494</v>
      </c>
      <c r="E22" s="6">
        <f t="shared" si="12"/>
        <v>105440</v>
      </c>
      <c r="F22" s="6">
        <f t="shared" si="12"/>
        <v>71186</v>
      </c>
      <c r="G22" s="6">
        <f t="shared" si="12"/>
        <v>52538</v>
      </c>
      <c r="H22" s="6">
        <f t="shared" si="12"/>
        <v>46619</v>
      </c>
      <c r="I22" s="6">
        <f t="shared" si="12"/>
        <v>105131</v>
      </c>
      <c r="J22" s="6">
        <f t="shared" si="12"/>
        <v>173640</v>
      </c>
      <c r="K22" s="19">
        <f t="shared" si="12"/>
        <v>1208190.051</v>
      </c>
      <c r="L22" s="19">
        <f t="shared" si="12"/>
        <v>1210079.587</v>
      </c>
      <c r="M22" s="19">
        <f t="shared" si="12"/>
        <v>1472065.567</v>
      </c>
      <c r="N22" s="19">
        <f t="shared" si="12"/>
        <v>1779009.664</v>
      </c>
      <c r="O22" s="19">
        <f t="shared" si="12"/>
        <v>2138712.577</v>
      </c>
      <c r="P22" s="19">
        <f t="shared" si="12"/>
        <v>2560338.315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  <c r="K24" s="6">
        <v>1936.0</v>
      </c>
      <c r="L24" s="6">
        <v>1936.0</v>
      </c>
      <c r="M24" s="6">
        <v>1936.0</v>
      </c>
      <c r="N24" s="6">
        <v>1936.0</v>
      </c>
      <c r="O24" s="6">
        <v>1936.0</v>
      </c>
      <c r="P24" s="6">
        <v>1936.0</v>
      </c>
    </row>
    <row r="25" ht="15.75" customHeight="1">
      <c r="A25" s="7"/>
    </row>
    <row r="26" ht="15.75" customHeight="1">
      <c r="A26" s="7" t="s">
        <v>23</v>
      </c>
      <c r="B26" s="6">
        <f t="shared" ref="B26:P26" si="13">B22-B24</f>
        <v>61581</v>
      </c>
      <c r="C26" s="6">
        <f t="shared" si="13"/>
        <v>99544</v>
      </c>
      <c r="D26" s="6">
        <f t="shared" si="13"/>
        <v>110036</v>
      </c>
      <c r="E26" s="6">
        <f t="shared" si="13"/>
        <v>104681</v>
      </c>
      <c r="F26" s="6">
        <f t="shared" si="13"/>
        <v>69844</v>
      </c>
      <c r="G26" s="6">
        <f t="shared" si="13"/>
        <v>51520</v>
      </c>
      <c r="H26" s="6">
        <f t="shared" si="13"/>
        <v>45353</v>
      </c>
      <c r="I26" s="6">
        <f t="shared" si="13"/>
        <v>102608</v>
      </c>
      <c r="J26" s="6">
        <f t="shared" si="13"/>
        <v>171704</v>
      </c>
      <c r="K26" s="19">
        <f t="shared" si="13"/>
        <v>1206254.051</v>
      </c>
      <c r="L26" s="19">
        <f t="shared" si="13"/>
        <v>1208143.587</v>
      </c>
      <c r="M26" s="19">
        <f t="shared" si="13"/>
        <v>1470129.567</v>
      </c>
      <c r="N26" s="19">
        <f t="shared" si="13"/>
        <v>1777073.664</v>
      </c>
      <c r="O26" s="19">
        <f t="shared" si="13"/>
        <v>2136776.577</v>
      </c>
      <c r="P26" s="19">
        <f t="shared" si="13"/>
        <v>2558402.315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</row>
    <row r="28" ht="15.75" customHeight="1">
      <c r="A28" s="7" t="s">
        <v>25</v>
      </c>
      <c r="B28" s="6">
        <f t="shared" ref="B28:J28" si="14">SUM(B26:B27)</f>
        <v>66296</v>
      </c>
      <c r="C28" s="6">
        <f t="shared" si="14"/>
        <v>101272</v>
      </c>
      <c r="D28" s="6">
        <f t="shared" si="14"/>
        <v>111669</v>
      </c>
      <c r="E28" s="6">
        <f t="shared" si="14"/>
        <v>102651</v>
      </c>
      <c r="F28" s="6">
        <f t="shared" si="14"/>
        <v>65427</v>
      </c>
      <c r="G28" s="6">
        <f t="shared" si="14"/>
        <v>56656</v>
      </c>
      <c r="H28" s="6">
        <f t="shared" si="14"/>
        <v>48482</v>
      </c>
      <c r="I28" s="6">
        <f t="shared" si="14"/>
        <v>103194</v>
      </c>
      <c r="J28" s="6">
        <f t="shared" si="14"/>
        <v>174373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</row>
    <row r="31" ht="15.75" customHeight="1">
      <c r="A31" s="7"/>
    </row>
    <row r="32" ht="15.75" customHeight="1">
      <c r="A32" s="7" t="s">
        <v>27</v>
      </c>
      <c r="B32" s="6">
        <f t="shared" ref="B32:J32" si="15">B28-B30</f>
        <v>46309</v>
      </c>
      <c r="C32" s="6">
        <f t="shared" si="15"/>
        <v>75110</v>
      </c>
      <c r="D32" s="6">
        <f t="shared" si="15"/>
        <v>78807</v>
      </c>
      <c r="E32" s="6">
        <f t="shared" si="15"/>
        <v>72919</v>
      </c>
      <c r="F32" s="6">
        <f t="shared" si="15"/>
        <v>51175</v>
      </c>
      <c r="G32" s="6">
        <f t="shared" si="15"/>
        <v>47337</v>
      </c>
      <c r="H32" s="6">
        <f t="shared" si="15"/>
        <v>40305</v>
      </c>
      <c r="I32" s="6">
        <f t="shared" si="15"/>
        <v>81449</v>
      </c>
      <c r="J32" s="6">
        <f t="shared" si="15"/>
        <v>135010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16">B32+B33</f>
        <v>46988</v>
      </c>
      <c r="C36" s="9">
        <f t="shared" si="16"/>
        <v>77326</v>
      </c>
      <c r="D36" s="9">
        <f t="shared" si="16"/>
        <v>82118</v>
      </c>
      <c r="E36" s="9">
        <f>E32+F33</f>
        <v>74103</v>
      </c>
      <c r="F36" s="9">
        <f t="shared" ref="F36:J36" si="17">F32+F33</f>
        <v>52359</v>
      </c>
      <c r="G36" s="9">
        <f t="shared" si="17"/>
        <v>49027</v>
      </c>
      <c r="H36" s="9">
        <f t="shared" si="17"/>
        <v>41924</v>
      </c>
      <c r="I36" s="9">
        <f t="shared" si="17"/>
        <v>83223</v>
      </c>
      <c r="J36" s="9">
        <f t="shared" si="17"/>
        <v>137551</v>
      </c>
      <c r="K36" s="10"/>
      <c r="L36" s="10"/>
      <c r="M36" s="10"/>
      <c r="N36" s="10"/>
      <c r="O36" s="10"/>
      <c r="P36" s="10"/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</row>
    <row r="42" ht="15.75" customHeight="1">
      <c r="A42" s="1" t="s">
        <v>32</v>
      </c>
    </row>
    <row r="43" ht="15.75" customHeight="1">
      <c r="A43" s="1" t="s">
        <v>33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</row>
    <row r="47" ht="15.75" customHeight="1">
      <c r="A47" s="7" t="s">
        <v>36</v>
      </c>
    </row>
    <row r="48" ht="15.75" customHeight="1">
      <c r="A48" s="7"/>
    </row>
    <row r="49" ht="15.75" customHeight="1">
      <c r="A49" s="7" t="s">
        <v>37</v>
      </c>
    </row>
    <row r="50" ht="15.75" customHeight="1">
      <c r="A50" s="1" t="s">
        <v>38</v>
      </c>
    </row>
    <row r="51" ht="15.75" customHeight="1">
      <c r="A51" s="1" t="s">
        <v>39</v>
      </c>
    </row>
    <row r="52" ht="15.75" customHeight="1">
      <c r="A52" s="1" t="s">
        <v>40</v>
      </c>
    </row>
    <row r="53" ht="15.75" customHeight="1">
      <c r="A53" s="1" t="s">
        <v>41</v>
      </c>
    </row>
    <row r="54" ht="15.75" customHeight="1">
      <c r="A54" s="7"/>
    </row>
    <row r="55" ht="15.75" customHeight="1">
      <c r="A55" s="1" t="s">
        <v>42</v>
      </c>
    </row>
    <row r="56" ht="15.75" customHeight="1">
      <c r="A56" s="1" t="s">
        <v>43</v>
      </c>
    </row>
    <row r="57" ht="15.75" customHeight="1">
      <c r="A57" s="1" t="s">
        <v>44</v>
      </c>
    </row>
    <row r="58" ht="15.75" customHeight="1">
      <c r="A58" s="1" t="s">
        <v>45</v>
      </c>
    </row>
    <row r="59" ht="15.75" customHeight="1">
      <c r="A59" s="1"/>
    </row>
    <row r="60" ht="15.75" customHeight="1">
      <c r="A60" s="1" t="s">
        <v>46</v>
      </c>
    </row>
    <row r="61" ht="15.75" customHeight="1">
      <c r="A61" s="1" t="s">
        <v>47</v>
      </c>
    </row>
    <row r="62" ht="15.75" customHeight="1">
      <c r="A62" s="1" t="s">
        <v>48</v>
      </c>
    </row>
    <row r="63" ht="15.75" customHeight="1">
      <c r="A63" s="8" t="s">
        <v>49</v>
      </c>
    </row>
    <row r="64" ht="15.75" customHeight="1">
      <c r="A64" s="7"/>
    </row>
    <row r="65" ht="15.75" customHeight="1">
      <c r="A65" s="7"/>
    </row>
    <row r="66" ht="15.75" customHeight="1">
      <c r="A66" s="4" t="s">
        <v>50</v>
      </c>
    </row>
    <row r="67" ht="15.75" customHeight="1">
      <c r="A67" s="7"/>
    </row>
    <row r="68" ht="15.75" customHeight="1">
      <c r="A68" s="1" t="s">
        <v>51</v>
      </c>
    </row>
    <row r="69" ht="15.75" customHeight="1">
      <c r="A69" s="16" t="s">
        <v>52</v>
      </c>
    </row>
    <row r="70" ht="15.75" customHeight="1">
      <c r="A70" s="16" t="s">
        <v>53</v>
      </c>
    </row>
    <row r="71" ht="15.75" customHeight="1">
      <c r="A71" s="16" t="s">
        <v>54</v>
      </c>
    </row>
    <row r="72" ht="15.75" customHeight="1">
      <c r="A72" s="16" t="s">
        <v>55</v>
      </c>
    </row>
    <row r="73" ht="15.75" customHeight="1">
      <c r="A73" s="1"/>
    </row>
    <row r="74" ht="15.75" customHeight="1">
      <c r="A74" s="1" t="s">
        <v>56</v>
      </c>
    </row>
    <row r="75" ht="15.75" customHeight="1">
      <c r="A75" s="1" t="s">
        <v>57</v>
      </c>
    </row>
    <row r="76" ht="15.75" customHeight="1">
      <c r="A76" s="1" t="s">
        <v>58</v>
      </c>
    </row>
    <row r="77" ht="15.75" customHeight="1">
      <c r="A77" s="1" t="s">
        <v>59</v>
      </c>
    </row>
    <row r="78" ht="15.75" customHeight="1">
      <c r="A78" s="29" t="s">
        <v>103</v>
      </c>
    </row>
    <row r="79" ht="15.75" customHeight="1">
      <c r="A79" s="29" t="s">
        <v>104</v>
      </c>
    </row>
    <row r="80" ht="15.75" customHeight="1">
      <c r="A80" s="1"/>
    </row>
    <row r="81" ht="15.75" customHeight="1">
      <c r="A81" s="1" t="s">
        <v>60</v>
      </c>
    </row>
    <row r="82" ht="15.75" customHeight="1">
      <c r="A82" s="1"/>
    </row>
    <row r="83" ht="15.75" customHeight="1">
      <c r="A83" s="16" t="s">
        <v>61</v>
      </c>
    </row>
    <row r="84" ht="15.75" customHeight="1">
      <c r="A84" s="16" t="s">
        <v>62</v>
      </c>
    </row>
    <row r="85" ht="15.75" customHeight="1">
      <c r="A85" s="16" t="s">
        <v>63</v>
      </c>
    </row>
    <row r="86" ht="15.75" customHeight="1">
      <c r="A86" s="16" t="s">
        <v>64</v>
      </c>
    </row>
    <row r="87" ht="15.75" customHeight="1">
      <c r="A87" s="16" t="s">
        <v>65</v>
      </c>
    </row>
    <row r="88" ht="15.75" customHeight="1">
      <c r="A88" s="16" t="s">
        <v>66</v>
      </c>
    </row>
    <row r="89" ht="15.75" customHeight="1">
      <c r="A89" s="16" t="s">
        <v>67</v>
      </c>
    </row>
    <row r="90" ht="15.75" customHeight="1">
      <c r="A90" s="1" t="s">
        <v>57</v>
      </c>
    </row>
    <row r="91" ht="15.75" customHeight="1">
      <c r="A91" s="29" t="s">
        <v>105</v>
      </c>
    </row>
    <row r="92" ht="15.75" customHeight="1">
      <c r="A92" s="8" t="s">
        <v>49</v>
      </c>
    </row>
    <row r="93" ht="15.75" customHeight="1">
      <c r="A93" s="32" t="s">
        <v>106</v>
      </c>
    </row>
    <row r="94" ht="15.75" customHeight="1">
      <c r="A94" s="5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</row>
    <row r="95" ht="15.75" customHeight="1">
      <c r="A95" s="5" t="s">
        <v>68</v>
      </c>
      <c r="B95" s="49">
        <v>1500000.0</v>
      </c>
      <c r="C95" s="49">
        <v>1550000.0</v>
      </c>
      <c r="D95" s="49">
        <v>1560000.0</v>
      </c>
      <c r="E95" s="49">
        <v>1580000.0</v>
      </c>
      <c r="F95" s="49">
        <v>2000000.0</v>
      </c>
      <c r="G95" s="49">
        <v>2250000.0</v>
      </c>
      <c r="H95" s="49">
        <v>2250000.0</v>
      </c>
      <c r="I95" s="49">
        <v>2250000.0</v>
      </c>
      <c r="J95" s="49">
        <v>2250000.0</v>
      </c>
      <c r="K95" s="49">
        <f t="shared" ref="K95:P95" si="18">J95+K96</f>
        <v>2550000</v>
      </c>
      <c r="L95" s="49">
        <f t="shared" si="18"/>
        <v>2850000</v>
      </c>
      <c r="M95" s="49">
        <f t="shared" si="18"/>
        <v>3150000</v>
      </c>
      <c r="N95" s="49">
        <f t="shared" si="18"/>
        <v>3450000</v>
      </c>
      <c r="O95" s="49">
        <f t="shared" si="18"/>
        <v>3750000</v>
      </c>
      <c r="P95" s="49">
        <f t="shared" si="18"/>
        <v>4050000</v>
      </c>
    </row>
    <row r="96" ht="15.75" customHeight="1">
      <c r="A96" s="5" t="s">
        <v>69</v>
      </c>
      <c r="B96" s="70"/>
      <c r="C96" s="49">
        <f t="shared" ref="C96:J96" si="19">C95-B95</f>
        <v>50000</v>
      </c>
      <c r="D96" s="49">
        <f t="shared" si="19"/>
        <v>10000</v>
      </c>
      <c r="E96" s="49">
        <f t="shared" si="19"/>
        <v>20000</v>
      </c>
      <c r="F96" s="49">
        <f t="shared" si="19"/>
        <v>420000</v>
      </c>
      <c r="G96" s="49">
        <f t="shared" si="19"/>
        <v>250000</v>
      </c>
      <c r="H96" s="49">
        <f t="shared" si="19"/>
        <v>0</v>
      </c>
      <c r="I96" s="49">
        <f t="shared" si="19"/>
        <v>0</v>
      </c>
      <c r="J96" s="49">
        <f t="shared" si="19"/>
        <v>0</v>
      </c>
      <c r="K96" s="71">
        <v>300000.0</v>
      </c>
      <c r="L96" s="71">
        <f t="shared" ref="L96:P96" si="20">K96</f>
        <v>300000</v>
      </c>
      <c r="M96" s="71">
        <f t="shared" si="20"/>
        <v>300000</v>
      </c>
      <c r="N96" s="71">
        <f t="shared" si="20"/>
        <v>300000</v>
      </c>
      <c r="O96" s="71">
        <f t="shared" si="20"/>
        <v>300000</v>
      </c>
      <c r="P96" s="71">
        <f t="shared" si="20"/>
        <v>300000</v>
      </c>
    </row>
    <row r="97" ht="15.75" customHeight="1">
      <c r="A97" s="5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</row>
    <row r="98" ht="15.75" customHeight="1">
      <c r="A98" s="5" t="s">
        <v>70</v>
      </c>
      <c r="B98" s="49">
        <v>1305351.0</v>
      </c>
      <c r="C98" s="49">
        <v>1444541.0</v>
      </c>
      <c r="D98" s="49">
        <v>1653500.0</v>
      </c>
      <c r="E98" s="49">
        <v>1753700.0</v>
      </c>
      <c r="F98" s="49">
        <v>1461126.0</v>
      </c>
      <c r="G98" s="49">
        <v>1361722.0</v>
      </c>
      <c r="H98" s="49">
        <v>1414277.0</v>
      </c>
      <c r="I98" s="49">
        <v>1706831.0</v>
      </c>
      <c r="J98" s="49">
        <v>1852256.0</v>
      </c>
      <c r="K98" s="70"/>
      <c r="L98" s="70"/>
      <c r="M98" s="70"/>
      <c r="N98" s="70"/>
      <c r="O98" s="70"/>
      <c r="P98" s="70"/>
    </row>
    <row r="99" ht="15.75" customHeight="1">
      <c r="A99" s="5" t="s">
        <v>71</v>
      </c>
      <c r="B99" s="49">
        <v>123897.0</v>
      </c>
      <c r="C99" s="49">
        <v>124062.0</v>
      </c>
      <c r="D99" s="49">
        <v>1653500.0</v>
      </c>
      <c r="E99" s="49">
        <v>108749.0</v>
      </c>
      <c r="F99" s="49">
        <v>102171.0</v>
      </c>
      <c r="G99" s="49">
        <v>96139.0</v>
      </c>
      <c r="H99" s="49">
        <v>238376.0</v>
      </c>
      <c r="I99" s="49">
        <v>259333.0</v>
      </c>
      <c r="J99" s="49">
        <v>283067.0</v>
      </c>
      <c r="K99" s="70"/>
      <c r="L99" s="70"/>
      <c r="M99" s="70"/>
      <c r="N99" s="70"/>
      <c r="O99" s="70"/>
      <c r="P99" s="70"/>
    </row>
    <row r="100" ht="15.75" customHeight="1">
      <c r="A100" s="5" t="s">
        <v>49</v>
      </c>
      <c r="B100" s="72">
        <f t="shared" ref="B100:C100" si="21">SUM(B98:B99)</f>
        <v>1429248</v>
      </c>
      <c r="C100" s="72">
        <f t="shared" si="21"/>
        <v>1568603</v>
      </c>
      <c r="D100" s="49">
        <v>1653500.0</v>
      </c>
      <c r="E100" s="72">
        <f t="shared" ref="E100:J100" si="22">SUM(E98:E99)</f>
        <v>1862449</v>
      </c>
      <c r="F100" s="72">
        <f t="shared" si="22"/>
        <v>1563297</v>
      </c>
      <c r="G100" s="72">
        <f t="shared" si="22"/>
        <v>1457861</v>
      </c>
      <c r="H100" s="72">
        <f t="shared" si="22"/>
        <v>1652653</v>
      </c>
      <c r="I100" s="72">
        <f t="shared" si="22"/>
        <v>1966164</v>
      </c>
      <c r="J100" s="72">
        <f t="shared" si="22"/>
        <v>2135323</v>
      </c>
      <c r="K100" s="70">
        <f t="shared" ref="K100:P100" si="23">K111*K118</f>
        <v>2388726.764</v>
      </c>
      <c r="L100" s="70">
        <f t="shared" si="23"/>
        <v>2537202.039</v>
      </c>
      <c r="M100" s="70">
        <f t="shared" si="23"/>
        <v>2695883.226</v>
      </c>
      <c r="N100" s="70">
        <f t="shared" si="23"/>
        <v>2865482.868</v>
      </c>
      <c r="O100" s="70">
        <f t="shared" si="23"/>
        <v>3046763.362</v>
      </c>
      <c r="P100" s="70">
        <f t="shared" si="23"/>
        <v>3240540.458</v>
      </c>
    </row>
    <row r="101" ht="15.75" customHeight="1">
      <c r="A101" s="5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</row>
    <row r="102" ht="15.75" customHeight="1">
      <c r="A102" s="5" t="s">
        <v>72</v>
      </c>
      <c r="B102" s="67">
        <f t="shared" ref="B102:P102" si="24">B100/B95</f>
        <v>0.952832</v>
      </c>
      <c r="C102" s="67">
        <f t="shared" si="24"/>
        <v>1.012001935</v>
      </c>
      <c r="D102" s="67">
        <f t="shared" si="24"/>
        <v>1.059935897</v>
      </c>
      <c r="E102" s="67">
        <f t="shared" si="24"/>
        <v>1.17876519</v>
      </c>
      <c r="F102" s="67">
        <f t="shared" si="24"/>
        <v>0.7816485</v>
      </c>
      <c r="G102" s="67">
        <f t="shared" si="24"/>
        <v>0.6479382222</v>
      </c>
      <c r="H102" s="67">
        <f t="shared" si="24"/>
        <v>0.7345124444</v>
      </c>
      <c r="I102" s="67">
        <f t="shared" si="24"/>
        <v>0.8738506667</v>
      </c>
      <c r="J102" s="67">
        <f t="shared" si="24"/>
        <v>0.9490324444</v>
      </c>
      <c r="K102" s="67">
        <f t="shared" si="24"/>
        <v>0.9367555938</v>
      </c>
      <c r="L102" s="67">
        <f t="shared" si="24"/>
        <v>0.8902463294</v>
      </c>
      <c r="M102" s="67">
        <f t="shared" si="24"/>
        <v>0.8558359449</v>
      </c>
      <c r="N102" s="67">
        <f t="shared" si="24"/>
        <v>0.8305747443</v>
      </c>
      <c r="O102" s="67">
        <f t="shared" si="24"/>
        <v>0.8124702299</v>
      </c>
      <c r="P102" s="67">
        <f t="shared" si="24"/>
        <v>0.8001334464</v>
      </c>
    </row>
    <row r="103" ht="15.75" customHeight="1">
      <c r="A103" s="5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</row>
    <row r="104" ht="15.75" customHeight="1">
      <c r="A104" s="17" t="s">
        <v>73</v>
      </c>
      <c r="B104" s="70"/>
      <c r="C104" s="67">
        <f t="shared" ref="C104:J104" si="25">C98/B98-1</f>
        <v>0.106630324</v>
      </c>
      <c r="D104" s="67">
        <f t="shared" si="25"/>
        <v>0.1446542535</v>
      </c>
      <c r="E104" s="67">
        <f t="shared" si="25"/>
        <v>0.06059872997</v>
      </c>
      <c r="F104" s="67">
        <f t="shared" si="25"/>
        <v>-0.1668324115</v>
      </c>
      <c r="G104" s="67">
        <f t="shared" si="25"/>
        <v>-0.06803246263</v>
      </c>
      <c r="H104" s="67">
        <f t="shared" si="25"/>
        <v>0.03859451489</v>
      </c>
      <c r="I104" s="67">
        <f t="shared" si="25"/>
        <v>0.2068576382</v>
      </c>
      <c r="J104" s="67">
        <f t="shared" si="25"/>
        <v>0.08520175694</v>
      </c>
      <c r="K104" s="70"/>
      <c r="L104" s="70"/>
      <c r="M104" s="70"/>
      <c r="N104" s="70"/>
      <c r="O104" s="70"/>
      <c r="P104" s="70"/>
    </row>
    <row r="105" ht="15.75" customHeight="1">
      <c r="A105" s="5" t="s">
        <v>74</v>
      </c>
      <c r="B105" s="70"/>
      <c r="C105" s="67">
        <f t="shared" ref="C105:J105" si="26">C99/B99-1</f>
        <v>0.001331751374</v>
      </c>
      <c r="D105" s="67">
        <f t="shared" si="26"/>
        <v>12.32801341</v>
      </c>
      <c r="E105" s="67">
        <f t="shared" si="26"/>
        <v>-0.9342310251</v>
      </c>
      <c r="F105" s="67">
        <f t="shared" si="26"/>
        <v>-0.06048791253</v>
      </c>
      <c r="G105" s="67">
        <f t="shared" si="26"/>
        <v>-0.05903827896</v>
      </c>
      <c r="H105" s="67">
        <f t="shared" si="26"/>
        <v>1.479493234</v>
      </c>
      <c r="I105" s="67">
        <f t="shared" si="26"/>
        <v>0.08791572977</v>
      </c>
      <c r="J105" s="67">
        <f t="shared" si="26"/>
        <v>0.09151939784</v>
      </c>
      <c r="K105" s="70"/>
      <c r="L105" s="70"/>
      <c r="M105" s="70"/>
      <c r="N105" s="70"/>
      <c r="O105" s="70"/>
      <c r="P105" s="70"/>
    </row>
    <row r="106" ht="15.75" customHeight="1">
      <c r="A106" s="5" t="s">
        <v>75</v>
      </c>
      <c r="B106" s="70"/>
      <c r="C106" s="73">
        <f t="shared" ref="C106:J106" si="27">C100/B100-1</f>
        <v>0.0975023229</v>
      </c>
      <c r="D106" s="73">
        <f t="shared" si="27"/>
        <v>0.05412268114</v>
      </c>
      <c r="E106" s="73">
        <f t="shared" si="27"/>
        <v>0.1263677049</v>
      </c>
      <c r="F106" s="73">
        <f t="shared" si="27"/>
        <v>-0.1606229218</v>
      </c>
      <c r="G106" s="73">
        <f t="shared" si="27"/>
        <v>-0.06744463784</v>
      </c>
      <c r="H106" s="73">
        <f t="shared" si="27"/>
        <v>0.1336149331</v>
      </c>
      <c r="I106" s="73">
        <f t="shared" si="27"/>
        <v>0.1897016494</v>
      </c>
      <c r="J106" s="73">
        <f t="shared" si="27"/>
        <v>0.08603504082</v>
      </c>
      <c r="K106" s="70"/>
      <c r="L106" s="70"/>
      <c r="M106" s="70"/>
      <c r="N106" s="70"/>
      <c r="O106" s="70"/>
      <c r="P106" s="70"/>
    </row>
    <row r="107" ht="15.75" customHeight="1">
      <c r="A107" s="5"/>
    </row>
    <row r="108" ht="15.75" customHeight="1">
      <c r="A108" s="17" t="s">
        <v>76</v>
      </c>
    </row>
    <row r="109" ht="15.75" customHeight="1">
      <c r="A109" s="5" t="s">
        <v>77</v>
      </c>
      <c r="B109" s="22">
        <v>2789208.0</v>
      </c>
      <c r="C109" s="22">
        <v>3047582.0</v>
      </c>
      <c r="D109" s="22">
        <v>3288581.0</v>
      </c>
      <c r="E109" s="22">
        <v>3377389.0</v>
      </c>
      <c r="F109" s="22">
        <v>2773519.0</v>
      </c>
      <c r="G109" s="22">
        <v>2711457.0</v>
      </c>
      <c r="H109" s="22">
        <v>3069523.0</v>
      </c>
      <c r="I109" s="22">
        <v>3890114.0</v>
      </c>
      <c r="J109" s="22">
        <v>4218746.0</v>
      </c>
      <c r="K109" s="44">
        <f t="shared" ref="K109:P109" si="28">J109*(1+K112)</f>
        <v>4514058.22</v>
      </c>
      <c r="L109" s="44">
        <f t="shared" si="28"/>
        <v>4830042.295</v>
      </c>
      <c r="M109" s="44">
        <f t="shared" si="28"/>
        <v>5168145.256</v>
      </c>
      <c r="N109" s="44">
        <f t="shared" si="28"/>
        <v>5529915.424</v>
      </c>
      <c r="O109" s="44">
        <f t="shared" si="28"/>
        <v>5917009.504</v>
      </c>
      <c r="P109" s="44">
        <f t="shared" si="28"/>
        <v>6331200.169</v>
      </c>
    </row>
    <row r="110" ht="15.75" customHeight="1">
      <c r="A110" s="5" t="s">
        <v>71</v>
      </c>
      <c r="B110" s="22">
        <v>653053.0</v>
      </c>
      <c r="C110" s="22">
        <v>758727.0</v>
      </c>
      <c r="D110" s="22">
        <v>748366.0</v>
      </c>
      <c r="E110" s="22">
        <v>676192.0</v>
      </c>
      <c r="F110" s="22">
        <v>662118.0</v>
      </c>
      <c r="G110" s="22">
        <v>404397.0</v>
      </c>
      <c r="H110" s="22">
        <v>577875.0</v>
      </c>
      <c r="I110" s="22">
        <v>662891.0</v>
      </c>
      <c r="J110" s="22">
        <v>672105.0</v>
      </c>
      <c r="K110" s="44">
        <f t="shared" ref="K110:P110" si="29">J110*(1+K113)</f>
        <v>678826.05</v>
      </c>
      <c r="L110" s="44">
        <f t="shared" si="29"/>
        <v>685614.3105</v>
      </c>
      <c r="M110" s="44">
        <f t="shared" si="29"/>
        <v>692470.4536</v>
      </c>
      <c r="N110" s="44">
        <f t="shared" si="29"/>
        <v>699395.1581</v>
      </c>
      <c r="O110" s="44">
        <f t="shared" si="29"/>
        <v>706389.1097</v>
      </c>
      <c r="P110" s="44">
        <f t="shared" si="29"/>
        <v>713453.0008</v>
      </c>
    </row>
    <row r="111" ht="15.75" customHeight="1">
      <c r="A111" s="5" t="s">
        <v>49</v>
      </c>
      <c r="B111" s="27">
        <f t="shared" ref="B111:P111" si="30">SUM(B109:B110)</f>
        <v>3442261</v>
      </c>
      <c r="C111" s="27">
        <f t="shared" si="30"/>
        <v>3806309</v>
      </c>
      <c r="D111" s="27">
        <f t="shared" si="30"/>
        <v>4036947</v>
      </c>
      <c r="E111" s="27">
        <f t="shared" si="30"/>
        <v>4053581</v>
      </c>
      <c r="F111" s="27">
        <f t="shared" si="30"/>
        <v>3435637</v>
      </c>
      <c r="G111" s="27">
        <f t="shared" si="30"/>
        <v>3115854</v>
      </c>
      <c r="H111" s="27">
        <f t="shared" si="30"/>
        <v>3647398</v>
      </c>
      <c r="I111" s="27">
        <f t="shared" si="30"/>
        <v>4553005</v>
      </c>
      <c r="J111" s="27">
        <f t="shared" si="30"/>
        <v>4890851</v>
      </c>
      <c r="K111" s="34">
        <f t="shared" si="30"/>
        <v>5192884.27</v>
      </c>
      <c r="L111" s="34">
        <f t="shared" si="30"/>
        <v>5515656.606</v>
      </c>
      <c r="M111" s="34">
        <f t="shared" si="30"/>
        <v>5860615.71</v>
      </c>
      <c r="N111" s="34">
        <f t="shared" si="30"/>
        <v>6229310.582</v>
      </c>
      <c r="O111" s="34">
        <f t="shared" si="30"/>
        <v>6623398.613</v>
      </c>
      <c r="P111" s="34">
        <f t="shared" si="30"/>
        <v>7044653.17</v>
      </c>
    </row>
    <row r="112" ht="15.75" customHeight="1">
      <c r="A112" s="5" t="s">
        <v>78</v>
      </c>
      <c r="C112" s="67">
        <f t="shared" ref="C112:J112" si="31">C109/B109-1</f>
        <v>0.09263346441</v>
      </c>
      <c r="D112" s="67">
        <f t="shared" si="31"/>
        <v>0.07907875818</v>
      </c>
      <c r="E112" s="67">
        <f t="shared" si="31"/>
        <v>0.0270049605</v>
      </c>
      <c r="F112" s="67">
        <f t="shared" si="31"/>
        <v>-0.178797882</v>
      </c>
      <c r="G112" s="67">
        <f t="shared" si="31"/>
        <v>-0.02237662695</v>
      </c>
      <c r="H112" s="67">
        <f t="shared" si="31"/>
        <v>0.1320566765</v>
      </c>
      <c r="I112" s="67">
        <f t="shared" si="31"/>
        <v>0.2673350224</v>
      </c>
      <c r="J112" s="67">
        <f t="shared" si="31"/>
        <v>0.08447875821</v>
      </c>
      <c r="K112" s="58">
        <v>0.07</v>
      </c>
      <c r="L112" s="59">
        <f t="shared" ref="L112:P112" si="32">K112</f>
        <v>0.07</v>
      </c>
      <c r="M112" s="59">
        <f t="shared" si="32"/>
        <v>0.07</v>
      </c>
      <c r="N112" s="59">
        <f t="shared" si="32"/>
        <v>0.07</v>
      </c>
      <c r="O112" s="59">
        <f t="shared" si="32"/>
        <v>0.07</v>
      </c>
      <c r="P112" s="59">
        <f t="shared" si="32"/>
        <v>0.07</v>
      </c>
    </row>
    <row r="113" ht="15.75" customHeight="1">
      <c r="A113" s="5" t="s">
        <v>79</v>
      </c>
      <c r="C113" s="67">
        <f t="shared" ref="C113:J113" si="33">C110/B110-1</f>
        <v>0.1618153504</v>
      </c>
      <c r="D113" s="67">
        <f t="shared" si="33"/>
        <v>-0.01365576815</v>
      </c>
      <c r="E113" s="67">
        <f t="shared" si="33"/>
        <v>-0.09644211522</v>
      </c>
      <c r="F113" s="67">
        <f t="shared" si="33"/>
        <v>-0.02081361507</v>
      </c>
      <c r="G113" s="67">
        <f t="shared" si="33"/>
        <v>-0.3892372659</v>
      </c>
      <c r="H113" s="67">
        <f t="shared" si="33"/>
        <v>0.4289794435</v>
      </c>
      <c r="I113" s="67">
        <f t="shared" si="33"/>
        <v>0.1471183214</v>
      </c>
      <c r="J113" s="67">
        <f t="shared" si="33"/>
        <v>0.01389972107</v>
      </c>
      <c r="K113" s="37">
        <v>0.01</v>
      </c>
      <c r="L113" s="38">
        <f t="shared" ref="L113:P113" si="34">K113</f>
        <v>0.01</v>
      </c>
      <c r="M113" s="38">
        <f t="shared" si="34"/>
        <v>0.01</v>
      </c>
      <c r="N113" s="38">
        <f t="shared" si="34"/>
        <v>0.01</v>
      </c>
      <c r="O113" s="38">
        <f t="shared" si="34"/>
        <v>0.01</v>
      </c>
      <c r="P113" s="38">
        <f t="shared" si="34"/>
        <v>0.01</v>
      </c>
    </row>
    <row r="114" ht="15.75" customHeight="1">
      <c r="A114" s="5"/>
    </row>
    <row r="115" ht="15.75" customHeight="1">
      <c r="A115" s="17" t="s">
        <v>80</v>
      </c>
    </row>
    <row r="116" ht="15.75" customHeight="1">
      <c r="A116" s="5" t="s">
        <v>70</v>
      </c>
      <c r="B116" s="35">
        <f t="shared" ref="B116:I116" si="35">B98/B109</f>
        <v>0.4680005937</v>
      </c>
      <c r="C116" s="35">
        <f t="shared" si="35"/>
        <v>0.4739957776</v>
      </c>
      <c r="D116" s="35">
        <f t="shared" si="35"/>
        <v>0.502800448</v>
      </c>
      <c r="E116" s="35">
        <f t="shared" si="35"/>
        <v>0.5192472647</v>
      </c>
      <c r="F116" s="35">
        <f t="shared" si="35"/>
        <v>0.5268130487</v>
      </c>
      <c r="G116" s="35">
        <f t="shared" si="35"/>
        <v>0.5022104352</v>
      </c>
      <c r="H116" s="35">
        <f t="shared" si="35"/>
        <v>0.4607481358</v>
      </c>
      <c r="I116" s="35">
        <f t="shared" si="35"/>
        <v>0.4387611777</v>
      </c>
    </row>
    <row r="117" ht="15.75" customHeight="1">
      <c r="A117" s="5" t="s">
        <v>71</v>
      </c>
      <c r="B117" s="35">
        <f t="shared" ref="B117:I117" si="36">B99/B110</f>
        <v>0.1897196705</v>
      </c>
      <c r="C117" s="35">
        <f t="shared" si="36"/>
        <v>0.1635133586</v>
      </c>
      <c r="D117" s="35">
        <f t="shared" si="36"/>
        <v>2.209480388</v>
      </c>
      <c r="E117" s="35">
        <f t="shared" si="36"/>
        <v>0.1608256235</v>
      </c>
      <c r="F117" s="35">
        <f t="shared" si="36"/>
        <v>0.1543093527</v>
      </c>
      <c r="G117" s="35">
        <f t="shared" si="36"/>
        <v>0.2377342067</v>
      </c>
      <c r="H117" s="35">
        <f t="shared" si="36"/>
        <v>0.4125044343</v>
      </c>
      <c r="I117" s="35">
        <f t="shared" si="36"/>
        <v>0.391215147</v>
      </c>
    </row>
    <row r="118" ht="15.75" customHeight="1">
      <c r="A118" s="5" t="s">
        <v>81</v>
      </c>
      <c r="B118" s="35">
        <f t="shared" ref="B118:I118" si="37">B100/B111</f>
        <v>0.4152061683</v>
      </c>
      <c r="C118" s="35">
        <f t="shared" si="37"/>
        <v>0.4121060587</v>
      </c>
      <c r="D118" s="35">
        <f t="shared" si="37"/>
        <v>0.4095917038</v>
      </c>
      <c r="E118" s="35">
        <f t="shared" si="37"/>
        <v>0.4594576993</v>
      </c>
      <c r="F118" s="35">
        <f t="shared" si="37"/>
        <v>0.4550239155</v>
      </c>
      <c r="G118" s="35">
        <f t="shared" si="37"/>
        <v>0.4678848881</v>
      </c>
      <c r="H118" s="35">
        <f t="shared" si="37"/>
        <v>0.4531046516</v>
      </c>
      <c r="I118" s="35">
        <f t="shared" si="37"/>
        <v>0.4318387526</v>
      </c>
      <c r="J118" s="26">
        <v>0.46</v>
      </c>
      <c r="K118" s="26">
        <v>0.46</v>
      </c>
      <c r="L118" s="26">
        <v>0.46</v>
      </c>
      <c r="M118" s="26">
        <v>0.46</v>
      </c>
      <c r="N118" s="26">
        <v>0.46</v>
      </c>
      <c r="O118" s="26">
        <v>0.46</v>
      </c>
      <c r="P118" s="26">
        <v>0.46</v>
      </c>
    </row>
    <row r="119" ht="15.75" customHeight="1">
      <c r="A119" s="5"/>
    </row>
    <row r="120" ht="15.75" customHeight="1">
      <c r="A120" s="5" t="s">
        <v>82</v>
      </c>
      <c r="B120" s="25">
        <f t="shared" ref="B120:J120" si="38">(B3/B100)*10^6</f>
        <v>399241.4193</v>
      </c>
      <c r="C120" s="25">
        <f t="shared" si="38"/>
        <v>434048.6407</v>
      </c>
      <c r="D120" s="25">
        <f t="shared" si="38"/>
        <v>482669.489</v>
      </c>
      <c r="E120" s="25">
        <f t="shared" si="38"/>
        <v>462125.4059</v>
      </c>
      <c r="F120" s="25">
        <f t="shared" si="38"/>
        <v>483977.1329</v>
      </c>
      <c r="G120" s="25">
        <f t="shared" si="38"/>
        <v>482707.1991</v>
      </c>
      <c r="H120" s="25">
        <f t="shared" si="38"/>
        <v>534472.7538</v>
      </c>
      <c r="I120" s="25">
        <f t="shared" si="38"/>
        <v>602238.1653</v>
      </c>
      <c r="J120" s="25">
        <f t="shared" si="38"/>
        <v>664340.711</v>
      </c>
      <c r="K120" s="25">
        <f t="shared" ref="K120:P120" si="39">J120*(1+K121)</f>
        <v>730774.7821</v>
      </c>
      <c r="L120" s="25">
        <f t="shared" si="39"/>
        <v>803852.2603</v>
      </c>
      <c r="M120" s="25">
        <f t="shared" si="39"/>
        <v>884237.4863</v>
      </c>
      <c r="N120" s="25">
        <f t="shared" si="39"/>
        <v>972661.235</v>
      </c>
      <c r="O120" s="25">
        <f t="shared" si="39"/>
        <v>1069927.358</v>
      </c>
      <c r="P120" s="25">
        <f t="shared" si="39"/>
        <v>1176920.094</v>
      </c>
    </row>
    <row r="121" ht="15.75" customHeight="1">
      <c r="A121" s="5" t="s">
        <v>83</v>
      </c>
      <c r="C121" s="39">
        <f t="shared" ref="C121:J121" si="40">C120/B120-1</f>
        <v>0.08718339278</v>
      </c>
      <c r="D121" s="39">
        <f t="shared" si="40"/>
        <v>0.1120170499</v>
      </c>
      <c r="E121" s="39">
        <f t="shared" si="40"/>
        <v>-0.04256345923</v>
      </c>
      <c r="F121" s="39">
        <f t="shared" si="40"/>
        <v>0.04728527542</v>
      </c>
      <c r="G121" s="39">
        <f t="shared" si="40"/>
        <v>-0.002623954209</v>
      </c>
      <c r="H121" s="39">
        <f t="shared" si="40"/>
        <v>0.1072400718</v>
      </c>
      <c r="I121" s="39">
        <f t="shared" si="40"/>
        <v>0.1267892722</v>
      </c>
      <c r="J121" s="39">
        <f t="shared" si="40"/>
        <v>0.1031195784</v>
      </c>
      <c r="K121" s="40">
        <v>0.1</v>
      </c>
      <c r="L121" s="40">
        <v>0.1</v>
      </c>
      <c r="M121" s="40">
        <v>0.1</v>
      </c>
      <c r="N121" s="40">
        <v>0.1</v>
      </c>
      <c r="O121" s="40">
        <v>0.1</v>
      </c>
      <c r="P121" s="40">
        <v>0.1</v>
      </c>
    </row>
    <row r="122" ht="15.75" customHeight="1">
      <c r="A122" s="5"/>
    </row>
    <row r="123" ht="15.75" customHeight="1">
      <c r="A123" s="17" t="s">
        <v>84</v>
      </c>
    </row>
    <row r="124" ht="15.75" customHeight="1">
      <c r="A124" s="5"/>
    </row>
    <row r="125" ht="15.75" customHeight="1">
      <c r="A125" s="1" t="s">
        <v>5</v>
      </c>
      <c r="B125" s="35">
        <f t="shared" ref="B125:J125" si="41">B9/B$3</f>
        <v>0.6344154991</v>
      </c>
      <c r="C125" s="35">
        <f t="shared" si="41"/>
        <v>0.6260982595</v>
      </c>
      <c r="D125" s="35">
        <f t="shared" si="41"/>
        <v>0.5631316612</v>
      </c>
      <c r="E125" s="35">
        <f t="shared" si="41"/>
        <v>0.5231379657</v>
      </c>
      <c r="F125" s="35">
        <f t="shared" si="41"/>
        <v>0.4577689664</v>
      </c>
      <c r="G125" s="35">
        <f t="shared" si="41"/>
        <v>0.4731484113</v>
      </c>
      <c r="H125" s="35">
        <f t="shared" si="41"/>
        <v>0.4499002602</v>
      </c>
      <c r="I125" s="35">
        <f t="shared" si="41"/>
        <v>0.6194769187</v>
      </c>
      <c r="J125" s="35">
        <f t="shared" si="41"/>
        <v>0.5562970628</v>
      </c>
      <c r="K125" s="39">
        <f t="shared" ref="K125:P125" si="42">$B9/K3</f>
        <v>0.2073800337</v>
      </c>
      <c r="L125" s="39">
        <f t="shared" si="42"/>
        <v>0.1774948185</v>
      </c>
      <c r="M125" s="39">
        <f t="shared" si="42"/>
        <v>0.1518612497</v>
      </c>
      <c r="N125" s="39">
        <f t="shared" si="42"/>
        <v>0.1298845651</v>
      </c>
      <c r="O125" s="39">
        <f t="shared" si="42"/>
        <v>0.1110513778</v>
      </c>
      <c r="P125" s="39">
        <f t="shared" si="42"/>
        <v>0.09491886633</v>
      </c>
    </row>
    <row r="126" ht="15.75" customHeight="1">
      <c r="A126" s="1" t="s">
        <v>6</v>
      </c>
      <c r="B126" s="35">
        <f t="shared" ref="B126:J126" si="43">B10/B$3</f>
        <v>0.05558038257</v>
      </c>
      <c r="C126" s="35">
        <f t="shared" si="43"/>
        <v>0.06599985312</v>
      </c>
      <c r="D126" s="35">
        <f t="shared" si="43"/>
        <v>0.1253248364</v>
      </c>
      <c r="E126" s="35">
        <f t="shared" si="43"/>
        <v>0.1663895618</v>
      </c>
      <c r="F126" s="35">
        <f t="shared" si="43"/>
        <v>0.2480465239</v>
      </c>
      <c r="G126" s="35">
        <f t="shared" si="43"/>
        <v>0.2451841642</v>
      </c>
      <c r="H126" s="35">
        <f t="shared" si="43"/>
        <v>0.2988515767</v>
      </c>
      <c r="I126" s="35">
        <f t="shared" si="43"/>
        <v>0.1073786905</v>
      </c>
      <c r="J126" s="35">
        <f t="shared" si="43"/>
        <v>0.1494746162</v>
      </c>
      <c r="K126" s="40">
        <v>0.08</v>
      </c>
      <c r="L126" s="40">
        <v>0.08</v>
      </c>
      <c r="M126" s="40">
        <v>0.08</v>
      </c>
      <c r="N126" s="40">
        <v>0.08</v>
      </c>
      <c r="O126" s="40">
        <v>0.08</v>
      </c>
      <c r="P126" s="40">
        <v>0.08</v>
      </c>
    </row>
    <row r="127" ht="15.75" customHeight="1">
      <c r="A127" s="1" t="s">
        <v>8</v>
      </c>
      <c r="B127" s="35">
        <f t="shared" ref="B127:J127" si="44">B11/B$3</f>
        <v>0.0001104071922</v>
      </c>
      <c r="C127" s="35">
        <f t="shared" si="44"/>
        <v>-0.005570977455</v>
      </c>
      <c r="D127" s="35">
        <f t="shared" si="44"/>
        <v>0.0005112179768</v>
      </c>
      <c r="E127" s="35">
        <f t="shared" si="44"/>
        <v>0.002458506887</v>
      </c>
      <c r="F127" s="35">
        <f t="shared" si="44"/>
        <v>-0.003154903516</v>
      </c>
      <c r="G127" s="35">
        <f t="shared" si="44"/>
        <v>0.003887909964</v>
      </c>
      <c r="H127" s="35">
        <f t="shared" si="44"/>
        <v>-0.001054004424</v>
      </c>
      <c r="I127" s="35">
        <f t="shared" si="44"/>
        <v>-0.004902461703</v>
      </c>
      <c r="J127" s="35">
        <f t="shared" si="44"/>
        <v>-0.002668862286</v>
      </c>
      <c r="K127" s="74">
        <f>J127</f>
        <v>-0.002668862286</v>
      </c>
      <c r="L127" s="40">
        <v>-0.003</v>
      </c>
      <c r="M127" s="40">
        <v>-0.003</v>
      </c>
      <c r="N127" s="40">
        <v>-0.003</v>
      </c>
      <c r="O127" s="40">
        <v>-0.003</v>
      </c>
      <c r="P127" s="40">
        <v>-0.003</v>
      </c>
    </row>
    <row r="128" ht="15.75" customHeight="1">
      <c r="A128" s="1" t="s">
        <v>10</v>
      </c>
      <c r="B128" s="35">
        <f t="shared" ref="B128:J128" si="45">B12/B$3</f>
        <v>0.03610490436</v>
      </c>
      <c r="C128" s="35">
        <f t="shared" si="45"/>
        <v>0.03466696042</v>
      </c>
      <c r="D128" s="35">
        <f t="shared" si="45"/>
        <v>0.03587797929</v>
      </c>
      <c r="E128" s="35">
        <f t="shared" si="45"/>
        <v>0.03816727374</v>
      </c>
      <c r="F128" s="35">
        <f t="shared" si="45"/>
        <v>0.04515199577</v>
      </c>
      <c r="G128" s="35">
        <f t="shared" si="45"/>
        <v>0.04876371284</v>
      </c>
      <c r="H128" s="35">
        <f t="shared" si="45"/>
        <v>0.04586674033</v>
      </c>
      <c r="I128" s="35">
        <f t="shared" si="45"/>
        <v>0.04483155547</v>
      </c>
      <c r="J128" s="35">
        <f t="shared" si="45"/>
        <v>0.04442182405</v>
      </c>
      <c r="K128" s="40">
        <v>0.04</v>
      </c>
      <c r="L128" s="40">
        <v>0.04</v>
      </c>
      <c r="M128" s="40">
        <v>0.04</v>
      </c>
      <c r="N128" s="40">
        <v>0.04</v>
      </c>
      <c r="O128" s="40">
        <v>0.04</v>
      </c>
      <c r="P128" s="40">
        <v>0.04</v>
      </c>
    </row>
    <row r="129" ht="15.75" customHeight="1">
      <c r="A129" s="1" t="s">
        <v>12</v>
      </c>
      <c r="B129" s="35">
        <f t="shared" ref="B129:J129" si="46">B13/B$3</f>
        <v>0.1422097211</v>
      </c>
      <c r="C129" s="35">
        <f t="shared" si="46"/>
        <v>0.1281927003</v>
      </c>
      <c r="D129" s="35">
        <f t="shared" si="46"/>
        <v>0.1252433924</v>
      </c>
      <c r="E129" s="35">
        <f t="shared" si="46"/>
        <v>0.1434229712</v>
      </c>
      <c r="F129" s="35">
        <f t="shared" si="46"/>
        <v>0.1571451229</v>
      </c>
      <c r="G129" s="35">
        <f t="shared" si="46"/>
        <v>0.1540030126</v>
      </c>
      <c r="H129" s="35">
        <f t="shared" si="46"/>
        <v>0.1434702671</v>
      </c>
      <c r="I129" s="35">
        <f t="shared" si="46"/>
        <v>0.123951629</v>
      </c>
      <c r="J129" s="35">
        <f t="shared" si="46"/>
        <v>0.1237157951</v>
      </c>
      <c r="K129" s="74">
        <v>0.124</v>
      </c>
      <c r="L129" s="74">
        <v>0.124</v>
      </c>
      <c r="M129" s="74">
        <v>0.124</v>
      </c>
      <c r="N129" s="74">
        <v>0.124</v>
      </c>
      <c r="O129" s="74">
        <v>0.124</v>
      </c>
      <c r="P129" s="74">
        <v>0.124</v>
      </c>
    </row>
    <row r="130" ht="15.75" customHeight="1">
      <c r="A130" s="1" t="s">
        <v>85</v>
      </c>
      <c r="B130" s="35">
        <f t="shared" ref="B130:J130" si="47">B14/B$3</f>
        <v>-0.001055002059</v>
      </c>
      <c r="C130" s="35">
        <f t="shared" si="47"/>
        <v>-0.001521627378</v>
      </c>
      <c r="D130" s="35">
        <f t="shared" si="47"/>
        <v>-0.00124170837</v>
      </c>
      <c r="E130" s="35">
        <f t="shared" si="47"/>
        <v>-0.001418637481</v>
      </c>
      <c r="F130" s="35">
        <f t="shared" si="47"/>
        <v>-0.001608511763</v>
      </c>
      <c r="G130" s="35">
        <f t="shared" si="47"/>
        <v>-0.001034502359</v>
      </c>
      <c r="H130" s="35">
        <f t="shared" si="47"/>
        <v>-0.001635914493</v>
      </c>
      <c r="I130" s="35">
        <f t="shared" si="47"/>
        <v>-0.001321680028</v>
      </c>
      <c r="J130" s="35">
        <f t="shared" si="47"/>
        <v>-0.001837750655</v>
      </c>
      <c r="K130" s="40">
        <v>-0.002</v>
      </c>
      <c r="L130" s="40">
        <v>-0.002</v>
      </c>
      <c r="M130" s="40">
        <v>-0.002</v>
      </c>
      <c r="N130" s="40">
        <v>-0.002</v>
      </c>
      <c r="O130" s="40">
        <v>-0.002</v>
      </c>
      <c r="P130" s="40">
        <v>-0.002</v>
      </c>
    </row>
    <row r="131" ht="15.75" customHeight="1">
      <c r="A131" s="5"/>
    </row>
    <row r="132" ht="15.75" customHeight="1">
      <c r="A132" s="5"/>
    </row>
    <row r="133" ht="15.75" customHeight="1">
      <c r="A133" s="18" t="s">
        <v>86</v>
      </c>
    </row>
    <row r="134" ht="15.75" customHeight="1">
      <c r="A134" s="5"/>
    </row>
    <row r="135" ht="15.75" customHeight="1">
      <c r="A135" s="1" t="s">
        <v>5</v>
      </c>
    </row>
    <row r="136" ht="15.75" customHeight="1">
      <c r="A136" s="1" t="s">
        <v>6</v>
      </c>
    </row>
    <row r="137" ht="15.75" customHeight="1">
      <c r="A137" s="1" t="s">
        <v>8</v>
      </c>
    </row>
    <row r="138" ht="15.75" customHeight="1">
      <c r="A138" s="1" t="s">
        <v>10</v>
      </c>
    </row>
    <row r="139" ht="15.75" customHeight="1">
      <c r="A139" s="1" t="s">
        <v>12</v>
      </c>
    </row>
    <row r="140" ht="15.75" customHeight="1">
      <c r="A140" s="1" t="s">
        <v>85</v>
      </c>
    </row>
    <row r="141" ht="15.75" customHeight="1">
      <c r="A141" s="5"/>
    </row>
    <row r="142" ht="15.75" customHeight="1">
      <c r="A142" s="1" t="s">
        <v>83</v>
      </c>
    </row>
    <row r="143" ht="15.75" customHeight="1">
      <c r="A143" s="1" t="s">
        <v>5</v>
      </c>
    </row>
    <row r="144" ht="15.75" customHeight="1">
      <c r="A144" s="1" t="s">
        <v>6</v>
      </c>
    </row>
    <row r="145" ht="15.75" customHeight="1">
      <c r="A145" s="1" t="s">
        <v>8</v>
      </c>
    </row>
    <row r="146" ht="15.75" customHeight="1">
      <c r="A146" s="1" t="s">
        <v>10</v>
      </c>
    </row>
    <row r="147" ht="15.75" customHeight="1">
      <c r="A147" s="1" t="s">
        <v>12</v>
      </c>
    </row>
    <row r="148" ht="15.75" customHeight="1">
      <c r="A148" s="1" t="s">
        <v>85</v>
      </c>
    </row>
    <row r="149" ht="15.75" customHeight="1">
      <c r="A149" s="5"/>
    </row>
    <row r="150" ht="15.75" customHeight="1">
      <c r="A150" s="5"/>
    </row>
    <row r="151" ht="15.75" customHeight="1">
      <c r="A151" s="5"/>
    </row>
    <row r="152" ht="15.75" customHeight="1">
      <c r="A152" s="18" t="s">
        <v>87</v>
      </c>
    </row>
    <row r="153" ht="15.75" customHeight="1">
      <c r="A153" s="5"/>
    </row>
    <row r="154" ht="15.75" customHeight="1">
      <c r="A154" s="5" t="s">
        <v>60</v>
      </c>
    </row>
    <row r="155" ht="15.75" customHeight="1">
      <c r="A155" s="16" t="s">
        <v>61</v>
      </c>
    </row>
    <row r="156" ht="15.75" customHeight="1">
      <c r="A156" s="16" t="s">
        <v>62</v>
      </c>
    </row>
    <row r="157" ht="15.75" customHeight="1">
      <c r="A157" s="16" t="s">
        <v>64</v>
      </c>
    </row>
    <row r="158" ht="15.75" customHeight="1">
      <c r="A158" s="16" t="s">
        <v>65</v>
      </c>
    </row>
    <row r="159" ht="15.75" customHeight="1">
      <c r="A159" s="16" t="s">
        <v>66</v>
      </c>
    </row>
    <row r="160" ht="15.75" customHeight="1">
      <c r="A160" s="1" t="s">
        <v>57</v>
      </c>
    </row>
    <row r="161" ht="15.75" customHeight="1">
      <c r="A161" s="5"/>
    </row>
    <row r="162" ht="15.75" customHeight="1">
      <c r="A162" s="5" t="s">
        <v>42</v>
      </c>
    </row>
    <row r="163" ht="15.75" customHeight="1">
      <c r="A163" s="1" t="s">
        <v>43</v>
      </c>
    </row>
    <row r="164" ht="15.75" customHeight="1">
      <c r="A164" s="1" t="s">
        <v>44</v>
      </c>
    </row>
    <row r="165" ht="15.75" customHeight="1">
      <c r="A165" s="1" t="s">
        <v>45</v>
      </c>
    </row>
    <row r="166" ht="15.75" customHeight="1">
      <c r="A166" s="1" t="s">
        <v>46</v>
      </c>
    </row>
    <row r="167" ht="15.75" customHeight="1">
      <c r="A167" s="1" t="s">
        <v>47</v>
      </c>
    </row>
    <row r="168" ht="15.75" customHeight="1">
      <c r="A168" s="1" t="s">
        <v>48</v>
      </c>
    </row>
    <row r="169" ht="15.75" customHeight="1">
      <c r="A169" s="5"/>
    </row>
    <row r="170" ht="15.75" customHeight="1">
      <c r="A170" s="1" t="s">
        <v>88</v>
      </c>
    </row>
    <row r="171" ht="15.75" customHeight="1">
      <c r="A171" s="5"/>
    </row>
    <row r="172" ht="15.75" customHeight="1">
      <c r="A172" s="18" t="s">
        <v>89</v>
      </c>
    </row>
    <row r="173" ht="15.75" customHeight="1">
      <c r="A173" s="5" t="s">
        <v>60</v>
      </c>
    </row>
    <row r="174" ht="15.75" customHeight="1">
      <c r="A174" s="16" t="s">
        <v>61</v>
      </c>
    </row>
    <row r="175" ht="15.75" customHeight="1">
      <c r="A175" s="16" t="s">
        <v>62</v>
      </c>
    </row>
    <row r="176" ht="15.75" customHeight="1">
      <c r="A176" s="16" t="s">
        <v>64</v>
      </c>
    </row>
    <row r="177" ht="15.75" customHeight="1">
      <c r="A177" s="16" t="s">
        <v>65</v>
      </c>
    </row>
    <row r="178" ht="15.75" customHeight="1">
      <c r="A178" s="16" t="s">
        <v>66</v>
      </c>
    </row>
    <row r="179" ht="15.75" customHeight="1">
      <c r="A179" s="1" t="s">
        <v>57</v>
      </c>
    </row>
    <row r="180" ht="15.75" customHeight="1">
      <c r="A180" s="5"/>
    </row>
    <row r="181" ht="15.75" customHeight="1">
      <c r="A181" s="5" t="s">
        <v>42</v>
      </c>
    </row>
    <row r="182" ht="15.75" customHeight="1">
      <c r="A182" s="1" t="s">
        <v>43</v>
      </c>
    </row>
    <row r="183" ht="15.75" customHeight="1">
      <c r="A183" s="1" t="s">
        <v>44</v>
      </c>
    </row>
    <row r="184" ht="15.75" customHeight="1">
      <c r="A184" s="1" t="s">
        <v>45</v>
      </c>
    </row>
    <row r="185" ht="15.75" customHeight="1">
      <c r="A185" s="1" t="s">
        <v>46</v>
      </c>
    </row>
    <row r="186" ht="15.75" customHeight="1">
      <c r="A186" s="1" t="s">
        <v>47</v>
      </c>
    </row>
    <row r="187" ht="15.75" customHeight="1">
      <c r="A187" s="1" t="s">
        <v>48</v>
      </c>
    </row>
    <row r="188" ht="15.75" customHeight="1">
      <c r="A188" s="5"/>
    </row>
    <row r="189" ht="15.75" customHeight="1">
      <c r="A189" s="1" t="s">
        <v>90</v>
      </c>
    </row>
    <row r="190" ht="15.75" customHeight="1">
      <c r="A190" s="1" t="s">
        <v>91</v>
      </c>
    </row>
    <row r="191" ht="15.75" customHeight="1">
      <c r="A191" s="5"/>
    </row>
    <row r="192" ht="15.75" customHeight="1">
      <c r="A192" s="5"/>
    </row>
    <row r="193" ht="15.75" customHeight="1">
      <c r="A193" s="5"/>
    </row>
    <row r="194" ht="15.75" customHeight="1">
      <c r="A194" s="18" t="s">
        <v>92</v>
      </c>
    </row>
    <row r="195" ht="15.75" customHeight="1">
      <c r="A195" s="5" t="s">
        <v>93</v>
      </c>
    </row>
    <row r="196" ht="15.75" customHeight="1">
      <c r="A196" s="5" t="s">
        <v>94</v>
      </c>
    </row>
    <row r="197" ht="15.75" customHeight="1">
      <c r="A197" s="5" t="s">
        <v>49</v>
      </c>
    </row>
    <row r="198" ht="15.75" customHeight="1">
      <c r="A198" s="5"/>
    </row>
    <row r="199" ht="15.75" customHeight="1">
      <c r="A199" s="5" t="s">
        <v>95</v>
      </c>
    </row>
    <row r="200" ht="15.75" customHeight="1">
      <c r="A200" s="5"/>
    </row>
    <row r="201" ht="15.75" customHeight="1">
      <c r="A201" s="5" t="s">
        <v>96</v>
      </c>
    </row>
    <row r="202" ht="15.75" customHeight="1">
      <c r="A202" s="5" t="s">
        <v>97</v>
      </c>
    </row>
    <row r="203" ht="15.75" customHeight="1">
      <c r="A203" s="5" t="s">
        <v>98</v>
      </c>
    </row>
    <row r="204" ht="15.75" customHeight="1">
      <c r="A204" s="5"/>
    </row>
    <row r="205" ht="15.75" customHeight="1">
      <c r="A205" s="5" t="s">
        <v>99</v>
      </c>
    </row>
    <row r="206" ht="15.75" customHeight="1">
      <c r="A206" s="5" t="s">
        <v>100</v>
      </c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>
      <c r="A403" s="1"/>
    </row>
    <row r="404" ht="15.75" customHeight="1">
      <c r="A404" s="1"/>
    </row>
    <row r="405" ht="15.75" customHeight="1">
      <c r="A405" s="1"/>
    </row>
    <row r="406" ht="15.75" customHeight="1">
      <c r="A406" s="1"/>
    </row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80" t="s">
        <v>142</v>
      </c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86">
        <v>75660.0</v>
      </c>
      <c r="C5" s="86">
        <v>70372.0</v>
      </c>
      <c r="D5" s="86">
        <v>88330.0</v>
      </c>
      <c r="E5" s="86">
        <v>117571.0</v>
      </c>
      <c r="F5" s="86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88">
        <v>7355.0</v>
      </c>
      <c r="C6" s="88">
        <v>5411.0</v>
      </c>
      <c r="D6" s="88">
        <v>5752.0</v>
      </c>
      <c r="E6" s="88">
        <v>11029.0</v>
      </c>
      <c r="F6" s="88">
        <v>18626.0</v>
      </c>
      <c r="G6" s="87">
        <f t="shared" si="2"/>
        <v>0.2042242937</v>
      </c>
    </row>
    <row r="7" ht="15.75" customHeight="1">
      <c r="A7" s="85" t="s">
        <v>19</v>
      </c>
      <c r="B7" s="89">
        <v>134.0</v>
      </c>
      <c r="C7" s="89">
        <v>102.0</v>
      </c>
      <c r="D7" s="89">
        <v>127.0</v>
      </c>
      <c r="E7" s="90">
        <v>187.0</v>
      </c>
      <c r="F7" s="89">
        <v>194.0</v>
      </c>
      <c r="G7" s="87">
        <f t="shared" si="2"/>
        <v>0.07681075935</v>
      </c>
    </row>
    <row r="8" ht="15.75" customHeight="1">
      <c r="A8" s="85" t="s">
        <v>146</v>
      </c>
      <c r="B8" s="88">
        <v>5678.0</v>
      </c>
      <c r="C8" s="88">
        <v>4389.0</v>
      </c>
      <c r="D8" s="88">
        <v>3880.0</v>
      </c>
      <c r="E8" s="88">
        <v>8211.0</v>
      </c>
      <c r="F8" s="88">
        <v>13488.0</v>
      </c>
      <c r="G8" s="87">
        <f t="shared" si="2"/>
        <v>0.1889139801</v>
      </c>
    </row>
    <row r="9" ht="15.75" customHeight="1">
      <c r="A9" s="85" t="s">
        <v>147</v>
      </c>
      <c r="B9" s="91">
        <v>0.0</v>
      </c>
      <c r="C9" s="91">
        <v>0.0</v>
      </c>
      <c r="D9" s="91">
        <v>0.0</v>
      </c>
      <c r="E9" s="91">
        <v>0.0</v>
      </c>
      <c r="F9" s="91">
        <v>0.0</v>
      </c>
      <c r="G9" s="87" t="str">
        <f t="shared" si="2"/>
        <v>#DIV/0!</v>
      </c>
    </row>
    <row r="10" ht="15.75" customHeight="1">
      <c r="A10" s="85" t="s">
        <v>148</v>
      </c>
      <c r="B10" s="91">
        <v>0.0</v>
      </c>
      <c r="C10" s="91">
        <v>0.0</v>
      </c>
      <c r="D10" s="91">
        <v>0.0</v>
      </c>
      <c r="E10" s="91">
        <v>0.0</v>
      </c>
      <c r="F10" s="91">
        <v>0.0</v>
      </c>
      <c r="G10" s="87" t="str">
        <f t="shared" si="2"/>
        <v>#DIV/0!</v>
      </c>
    </row>
    <row r="11" ht="15.75" customHeight="1">
      <c r="A11" s="85" t="s">
        <v>149</v>
      </c>
      <c r="B11" s="88">
        <v>3496.0</v>
      </c>
      <c r="C11" s="88">
        <v>8856.0</v>
      </c>
      <c r="D11" s="88">
        <v>1840.0</v>
      </c>
      <c r="E11" s="88">
        <v>9251.0</v>
      </c>
      <c r="F11" s="88">
        <v>16801.0</v>
      </c>
      <c r="G11" s="87">
        <f t="shared" si="2"/>
        <v>0.3688401701</v>
      </c>
    </row>
    <row r="12" ht="15.75" customHeight="1">
      <c r="A12" s="85"/>
      <c r="B12" s="92"/>
      <c r="C12" s="92"/>
      <c r="D12" s="92"/>
      <c r="E12" s="92"/>
      <c r="F12" s="92"/>
      <c r="G12" s="84"/>
      <c r="J12" s="93"/>
    </row>
    <row r="13" ht="15.75" customHeight="1">
      <c r="A13" s="85" t="s">
        <v>150</v>
      </c>
      <c r="B13" s="94">
        <v>49413.0</v>
      </c>
      <c r="C13" s="94">
        <v>52501.0</v>
      </c>
      <c r="D13" s="94">
        <v>55333.0</v>
      </c>
      <c r="E13" s="94">
        <v>61791.0</v>
      </c>
      <c r="F13" s="94">
        <v>85636.0</v>
      </c>
      <c r="G13" s="87">
        <f t="shared" ref="G13:G15" si="3">(F13/B13)^(1/5)-1</f>
        <v>0.1162540056</v>
      </c>
    </row>
    <row r="14" ht="15.75" customHeight="1">
      <c r="A14" s="85" t="s">
        <v>151</v>
      </c>
      <c r="B14" s="88">
        <v>2890.0</v>
      </c>
      <c r="C14" s="88">
        <v>2662.0</v>
      </c>
      <c r="D14" s="88">
        <v>2157.0</v>
      </c>
      <c r="E14" s="88">
        <v>2739.0</v>
      </c>
      <c r="F14" s="88">
        <v>3716.0</v>
      </c>
      <c r="G14" s="87">
        <f t="shared" si="3"/>
        <v>0.05156366773</v>
      </c>
    </row>
    <row r="15" ht="15.75" customHeight="1">
      <c r="A15" s="85" t="s">
        <v>152</v>
      </c>
      <c r="B15" s="88">
        <v>15744.0</v>
      </c>
      <c r="C15" s="88">
        <v>14989.0</v>
      </c>
      <c r="D15" s="88">
        <v>13747.0</v>
      </c>
      <c r="E15" s="88">
        <v>27941.0</v>
      </c>
      <c r="F15" s="88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98">
        <f t="shared" ref="B18:F18" si="4">B6/B5</f>
        <v>0.09721120804</v>
      </c>
      <c r="C18" s="98">
        <f t="shared" si="4"/>
        <v>0.07689137725</v>
      </c>
      <c r="D18" s="98">
        <f t="shared" si="4"/>
        <v>0.06511943847</v>
      </c>
      <c r="E18" s="98">
        <f t="shared" si="4"/>
        <v>0.09380714632</v>
      </c>
      <c r="F18" s="98">
        <f t="shared" si="4"/>
        <v>0.1313003144</v>
      </c>
      <c r="G18" s="95"/>
    </row>
    <row r="19" ht="15.75" customHeight="1">
      <c r="A19" s="85" t="s">
        <v>154</v>
      </c>
      <c r="B19" s="98">
        <f t="shared" ref="B19:F19" si="5">B8/B5</f>
        <v>0.07504625958</v>
      </c>
      <c r="C19" s="98">
        <f t="shared" si="5"/>
        <v>0.06236855568</v>
      </c>
      <c r="D19" s="98">
        <f t="shared" si="5"/>
        <v>0.04392618589</v>
      </c>
      <c r="E19" s="98">
        <f t="shared" si="5"/>
        <v>0.06983865069</v>
      </c>
      <c r="F19" s="98">
        <f t="shared" si="5"/>
        <v>0.09508099649</v>
      </c>
      <c r="G19" s="95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14.48818898</v>
      </c>
      <c r="E20" s="98">
        <f t="shared" si="6"/>
        <v>49.47058824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58.97860963</v>
      </c>
      <c r="F21" s="98">
        <f t="shared" si="7"/>
        <v>96.01030928</v>
      </c>
      <c r="G21" s="95"/>
    </row>
    <row r="22" ht="15.75" customHeight="1">
      <c r="A22" s="85" t="s">
        <v>157</v>
      </c>
      <c r="B22" s="98">
        <f t="shared" ref="B22:F22" si="8">B14/B13</f>
        <v>0.05848663307</v>
      </c>
      <c r="C22" s="98">
        <f t="shared" si="8"/>
        <v>0.05070379612</v>
      </c>
      <c r="D22" s="98">
        <f t="shared" si="8"/>
        <v>0.03898216254</v>
      </c>
      <c r="E22" s="98">
        <f t="shared" si="8"/>
        <v>0.04432684372</v>
      </c>
      <c r="F22" s="98">
        <f t="shared" si="8"/>
        <v>0.04339296558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>
        <f t="shared" ref="B24:F24" si="9">B8/B13</f>
        <v>0.114909032</v>
      </c>
      <c r="C24" s="98">
        <f t="shared" si="9"/>
        <v>0.08359840765</v>
      </c>
      <c r="D24" s="98">
        <f t="shared" si="9"/>
        <v>0.07012090434</v>
      </c>
      <c r="E24" s="98">
        <f t="shared" si="9"/>
        <v>0.1328834296</v>
      </c>
      <c r="F24" s="98">
        <f t="shared" si="9"/>
        <v>0.1575038535</v>
      </c>
      <c r="G24" s="95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0.100052183</v>
      </c>
      <c r="E25" s="98">
        <f t="shared" si="10"/>
        <v>0.1709127538</v>
      </c>
      <c r="F25" s="98">
        <f t="shared" si="10"/>
        <v>0.2084564419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>
        <f t="shared" ref="B30:F30" si="11">B19</f>
        <v>0.07504625958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0.06983865069</v>
      </c>
      <c r="F30" s="98">
        <f t="shared" si="11"/>
        <v>0.09508099649</v>
      </c>
      <c r="G30" s="95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4.207830786</v>
      </c>
      <c r="F31" s="98">
        <f t="shared" si="12"/>
        <v>5.090902566</v>
      </c>
      <c r="G31" s="95"/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0.2484412557</v>
      </c>
      <c r="E32" s="98">
        <f t="shared" si="13"/>
        <v>0.4521855934</v>
      </c>
      <c r="F32" s="98">
        <f t="shared" si="13"/>
        <v>0.3253888552</v>
      </c>
      <c r="G32" s="95"/>
    </row>
    <row r="33" ht="15.75" customHeight="1">
      <c r="A33" s="85" t="s">
        <v>164</v>
      </c>
      <c r="B33" s="98">
        <f t="shared" ref="B33:F33" si="14">B30*B31*B32</f>
        <v>0.114909032</v>
      </c>
      <c r="C33" s="98">
        <f t="shared" si="14"/>
        <v>0.08359840765</v>
      </c>
      <c r="D33" s="98">
        <f t="shared" si="14"/>
        <v>0.07012090434</v>
      </c>
      <c r="E33" s="98">
        <f t="shared" si="14"/>
        <v>0.1328834296</v>
      </c>
      <c r="F33" s="98">
        <f t="shared" si="14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102"/>
      <c r="C35" s="95"/>
      <c r="D35" s="95"/>
      <c r="E35" s="95"/>
      <c r="F35" s="95"/>
      <c r="G35" s="95"/>
    </row>
    <row r="36" ht="15.75" customHeight="1">
      <c r="A36" s="85" t="s">
        <v>166</v>
      </c>
      <c r="B36" s="94"/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16036.07176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94"/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104"/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141858</v>
      </c>
      <c r="C41" s="95"/>
      <c r="D41" s="77" t="s">
        <v>171</v>
      </c>
      <c r="E41" s="106"/>
      <c r="F41" s="106"/>
      <c r="G41" s="107"/>
    </row>
    <row r="42" ht="15.75" customHeight="1">
      <c r="A42" s="85" t="s">
        <v>172</v>
      </c>
      <c r="B42" s="108"/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0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0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 t="str">
        <f>(B44/B36)-1</f>
        <v>#DIV/0!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29" t="s">
        <v>176</v>
      </c>
      <c r="B1" s="2">
        <v>2016.0</v>
      </c>
      <c r="C1" s="2">
        <f t="shared" ref="C1:V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  <c r="Q1" s="111">
        <f t="shared" si="1"/>
        <v>2031</v>
      </c>
      <c r="R1" s="111">
        <f t="shared" si="1"/>
        <v>2032</v>
      </c>
      <c r="S1" s="111">
        <f t="shared" si="1"/>
        <v>2033</v>
      </c>
      <c r="T1" s="111">
        <f t="shared" si="1"/>
        <v>2034</v>
      </c>
      <c r="U1" s="111">
        <f t="shared" si="1"/>
        <v>2035</v>
      </c>
      <c r="V1" s="111">
        <f t="shared" si="1"/>
        <v>2036</v>
      </c>
      <c r="W1" s="112" t="s">
        <v>108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  <c r="K3" s="19">
        <f t="shared" ref="K3:P3" si="2">(K100*K120)/10^6</f>
        <v>1745621.281</v>
      </c>
      <c r="L3" s="19">
        <f t="shared" si="2"/>
        <v>2039535.594</v>
      </c>
      <c r="M3" s="19">
        <f t="shared" si="2"/>
        <v>2383801.008</v>
      </c>
      <c r="N3" s="19">
        <f t="shared" si="2"/>
        <v>2787144.105</v>
      </c>
      <c r="O3" s="19">
        <f t="shared" si="2"/>
        <v>3259815.476</v>
      </c>
      <c r="P3" s="19">
        <f t="shared" si="2"/>
        <v>3813857.181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  <c r="K4" s="20">
        <v>20000.0</v>
      </c>
      <c r="L4" s="21">
        <f t="shared" ref="L4:P4" si="3">K4</f>
        <v>20000</v>
      </c>
      <c r="M4" s="21">
        <f t="shared" si="3"/>
        <v>20000</v>
      </c>
      <c r="N4" s="21">
        <f t="shared" si="3"/>
        <v>20000</v>
      </c>
      <c r="O4" s="21">
        <f t="shared" si="3"/>
        <v>20000</v>
      </c>
      <c r="P4" s="21">
        <f t="shared" si="3"/>
        <v>20000</v>
      </c>
    </row>
    <row r="5" ht="15.75" customHeight="1">
      <c r="A5" s="7"/>
    </row>
    <row r="6" ht="15.75" customHeight="1">
      <c r="A6" s="8" t="s">
        <v>3</v>
      </c>
      <c r="B6" s="9">
        <f t="shared" ref="B6:P6" si="4">SUM(B3:B4)</f>
        <v>586120</v>
      </c>
      <c r="C6" s="9">
        <f t="shared" si="4"/>
        <v>703746</v>
      </c>
      <c r="D6" s="9">
        <f t="shared" si="4"/>
        <v>818552</v>
      </c>
      <c r="E6" s="9">
        <f t="shared" si="4"/>
        <v>886301</v>
      </c>
      <c r="F6" s="9">
        <f t="shared" si="4"/>
        <v>789944</v>
      </c>
      <c r="G6" s="9">
        <f t="shared" si="4"/>
        <v>733083</v>
      </c>
      <c r="H6" s="9">
        <f t="shared" si="4"/>
        <v>900745</v>
      </c>
      <c r="I6" s="9">
        <f t="shared" si="4"/>
        <v>1206746</v>
      </c>
      <c r="J6" s="9">
        <f t="shared" si="4"/>
        <v>1459517</v>
      </c>
      <c r="K6" s="9">
        <f t="shared" si="4"/>
        <v>1765621.281</v>
      </c>
      <c r="L6" s="9">
        <f t="shared" si="4"/>
        <v>2059535.594</v>
      </c>
      <c r="M6" s="9">
        <f t="shared" si="4"/>
        <v>2403801.008</v>
      </c>
      <c r="N6" s="9">
        <f t="shared" si="4"/>
        <v>2807144.105</v>
      </c>
      <c r="O6" s="9">
        <f t="shared" si="4"/>
        <v>3279815.476</v>
      </c>
      <c r="P6" s="9">
        <f t="shared" si="4"/>
        <v>3833857.181</v>
      </c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  <c r="K9" s="22">
        <f t="shared" ref="K9:P9" si="5">K$3*K125</f>
        <v>1047372.768</v>
      </c>
      <c r="L9" s="22">
        <f t="shared" si="5"/>
        <v>1223721.356</v>
      </c>
      <c r="M9" s="22">
        <f t="shared" si="5"/>
        <v>1430280.605</v>
      </c>
      <c r="N9" s="22">
        <f t="shared" si="5"/>
        <v>1672286.463</v>
      </c>
      <c r="O9" s="22">
        <f t="shared" si="5"/>
        <v>1955889.286</v>
      </c>
      <c r="P9" s="22">
        <f t="shared" si="5"/>
        <v>2288314.309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  <c r="K10" s="22">
        <f t="shared" ref="K10:P10" si="6">K$3*K126</f>
        <v>139649.7024</v>
      </c>
      <c r="L10" s="22">
        <f t="shared" si="6"/>
        <v>163162.8475</v>
      </c>
      <c r="M10" s="22">
        <f t="shared" si="6"/>
        <v>190704.0806</v>
      </c>
      <c r="N10" s="22">
        <f t="shared" si="6"/>
        <v>222971.5284</v>
      </c>
      <c r="O10" s="22">
        <f t="shared" si="6"/>
        <v>260785.2381</v>
      </c>
      <c r="P10" s="22">
        <f t="shared" si="6"/>
        <v>305108.5745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  <c r="K11" s="22">
        <f t="shared" ref="K11:P11" si="7">K$3*K127</f>
        <v>-4658.822802</v>
      </c>
      <c r="L11" s="22">
        <f t="shared" si="7"/>
        <v>-5443.239628</v>
      </c>
      <c r="M11" s="22">
        <f t="shared" si="7"/>
        <v>-6362.036607</v>
      </c>
      <c r="N11" s="22">
        <f t="shared" si="7"/>
        <v>-7438.503788</v>
      </c>
      <c r="O11" s="22">
        <f t="shared" si="7"/>
        <v>-8699.998584</v>
      </c>
      <c r="P11" s="22">
        <f t="shared" si="7"/>
        <v>-10178.6596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  <c r="K12" s="22">
        <f t="shared" ref="K12:P12" si="8">K$3*K128</f>
        <v>69824.85122</v>
      </c>
      <c r="L12" s="22">
        <f t="shared" si="8"/>
        <v>81581.42375</v>
      </c>
      <c r="M12" s="22">
        <f t="shared" si="8"/>
        <v>95352.0403</v>
      </c>
      <c r="N12" s="22">
        <f t="shared" si="8"/>
        <v>111485.7642</v>
      </c>
      <c r="O12" s="22">
        <f t="shared" si="8"/>
        <v>130392.619</v>
      </c>
      <c r="P12" s="22">
        <f t="shared" si="8"/>
        <v>152554.2873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  <c r="K13" s="22">
        <f t="shared" ref="K13:P13" si="9">K$3*K129</f>
        <v>215960.9246</v>
      </c>
      <c r="L13" s="22">
        <f t="shared" si="9"/>
        <v>252322.7675</v>
      </c>
      <c r="M13" s="22">
        <f t="shared" si="9"/>
        <v>294913.8369</v>
      </c>
      <c r="N13" s="22">
        <f t="shared" si="9"/>
        <v>344813.7489</v>
      </c>
      <c r="O13" s="22">
        <f t="shared" si="9"/>
        <v>403290.6634</v>
      </c>
      <c r="P13" s="22">
        <f t="shared" si="9"/>
        <v>471834.3735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  <c r="K14" s="22">
        <f t="shared" ref="K14:P14" si="10">K$3*K130</f>
        <v>-3208.016652</v>
      </c>
      <c r="L14" s="22">
        <f t="shared" si="10"/>
        <v>-3748.157874</v>
      </c>
      <c r="M14" s="22">
        <f t="shared" si="10"/>
        <v>-4380.831864</v>
      </c>
      <c r="N14" s="22">
        <f t="shared" si="10"/>
        <v>-5122.075905</v>
      </c>
      <c r="O14" s="22">
        <f t="shared" si="10"/>
        <v>-5990.728027</v>
      </c>
      <c r="P14" s="22">
        <f t="shared" si="10"/>
        <v>-7008.918534</v>
      </c>
    </row>
    <row r="15" ht="15.75" customHeight="1">
      <c r="A15" s="7"/>
    </row>
    <row r="16" ht="15.75" customHeight="1">
      <c r="A16" s="45" t="s">
        <v>109</v>
      </c>
      <c r="B16" s="13">
        <f t="shared" ref="B16:P16" si="11">SUM(B9:B14)</f>
        <v>494932</v>
      </c>
      <c r="C16" s="13">
        <f t="shared" si="11"/>
        <v>577269</v>
      </c>
      <c r="D16" s="13">
        <f t="shared" si="11"/>
        <v>677460</v>
      </c>
      <c r="E16" s="13">
        <f t="shared" si="11"/>
        <v>750653</v>
      </c>
      <c r="F16" s="13">
        <f t="shared" si="11"/>
        <v>683474</v>
      </c>
      <c r="G16" s="13">
        <f t="shared" si="11"/>
        <v>650204</v>
      </c>
      <c r="H16" s="13">
        <f t="shared" si="11"/>
        <v>826236</v>
      </c>
      <c r="I16" s="13">
        <f t="shared" si="11"/>
        <v>1053155</v>
      </c>
      <c r="J16" s="13">
        <f t="shared" si="11"/>
        <v>1233319</v>
      </c>
      <c r="K16" s="13">
        <f t="shared" si="11"/>
        <v>1464941.407</v>
      </c>
      <c r="L16" s="13">
        <f t="shared" si="11"/>
        <v>1711596.997</v>
      </c>
      <c r="M16" s="13">
        <f t="shared" si="11"/>
        <v>2000507.694</v>
      </c>
      <c r="N16" s="13">
        <f t="shared" si="11"/>
        <v>2338996.925</v>
      </c>
      <c r="O16" s="13">
        <f t="shared" si="11"/>
        <v>2735667.079</v>
      </c>
      <c r="P16" s="13">
        <f t="shared" si="11"/>
        <v>3200623.966</v>
      </c>
    </row>
    <row r="17" ht="15.75" customHeight="1">
      <c r="A17" s="7"/>
    </row>
    <row r="18" ht="15.75" customHeight="1">
      <c r="A18" s="113" t="s">
        <v>177</v>
      </c>
      <c r="B18" s="23">
        <f t="shared" ref="B18:P18" si="12">B6-B16</f>
        <v>91188</v>
      </c>
      <c r="C18" s="23">
        <f t="shared" si="12"/>
        <v>126477</v>
      </c>
      <c r="D18" s="23">
        <f t="shared" si="12"/>
        <v>141092</v>
      </c>
      <c r="E18" s="23">
        <f t="shared" si="12"/>
        <v>135648</v>
      </c>
      <c r="F18" s="23">
        <f t="shared" si="12"/>
        <v>106470</v>
      </c>
      <c r="G18" s="23">
        <f t="shared" si="12"/>
        <v>82879</v>
      </c>
      <c r="H18" s="23">
        <f t="shared" si="12"/>
        <v>74509</v>
      </c>
      <c r="I18" s="23">
        <f t="shared" si="12"/>
        <v>153591</v>
      </c>
      <c r="J18" s="23">
        <f t="shared" si="12"/>
        <v>226198</v>
      </c>
      <c r="K18" s="23">
        <f t="shared" si="12"/>
        <v>300679.8734</v>
      </c>
      <c r="L18" s="23">
        <f t="shared" si="12"/>
        <v>347938.5962</v>
      </c>
      <c r="M18" s="23">
        <f t="shared" si="12"/>
        <v>403293.3137</v>
      </c>
      <c r="N18" s="23">
        <f t="shared" si="12"/>
        <v>468147.1802</v>
      </c>
      <c r="O18" s="23">
        <f t="shared" si="12"/>
        <v>544148.3965</v>
      </c>
      <c r="P18" s="23">
        <f t="shared" si="12"/>
        <v>633233.2155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  <c r="K20" s="6">
        <f t="shared" ref="K20:P20" si="13">K203</f>
        <v>61200</v>
      </c>
      <c r="L20" s="6">
        <f t="shared" si="13"/>
        <v>68400</v>
      </c>
      <c r="M20" s="6">
        <f t="shared" si="13"/>
        <v>75600</v>
      </c>
      <c r="N20" s="6">
        <f t="shared" si="13"/>
        <v>82800</v>
      </c>
      <c r="O20" s="6">
        <f t="shared" si="13"/>
        <v>90000</v>
      </c>
      <c r="P20" s="6">
        <f t="shared" si="13"/>
        <v>97200</v>
      </c>
    </row>
    <row r="21" ht="15.75" customHeight="1">
      <c r="A21" s="7"/>
    </row>
    <row r="22" ht="15.75" customHeight="1">
      <c r="A22" s="113" t="s">
        <v>178</v>
      </c>
      <c r="B22" s="23">
        <f t="shared" ref="B22:P22" si="14">B18-B20</f>
        <v>62518</v>
      </c>
      <c r="C22" s="23">
        <f t="shared" si="14"/>
        <v>100438</v>
      </c>
      <c r="D22" s="23">
        <f t="shared" si="14"/>
        <v>113494</v>
      </c>
      <c r="E22" s="23">
        <f t="shared" si="14"/>
        <v>105440</v>
      </c>
      <c r="F22" s="23">
        <f t="shared" si="14"/>
        <v>71186</v>
      </c>
      <c r="G22" s="23">
        <f t="shared" si="14"/>
        <v>52538</v>
      </c>
      <c r="H22" s="23">
        <f t="shared" si="14"/>
        <v>46619</v>
      </c>
      <c r="I22" s="23">
        <f t="shared" si="14"/>
        <v>105131</v>
      </c>
      <c r="J22" s="23">
        <f t="shared" si="14"/>
        <v>173640</v>
      </c>
      <c r="K22" s="23">
        <f t="shared" si="14"/>
        <v>239479.8734</v>
      </c>
      <c r="L22" s="23">
        <f t="shared" si="14"/>
        <v>279538.5962</v>
      </c>
      <c r="M22" s="23">
        <f t="shared" si="14"/>
        <v>327693.3137</v>
      </c>
      <c r="N22" s="23">
        <f t="shared" si="14"/>
        <v>385347.1802</v>
      </c>
      <c r="O22" s="23">
        <f t="shared" si="14"/>
        <v>454148.3965</v>
      </c>
      <c r="P22" s="23">
        <f t="shared" si="14"/>
        <v>536033.2155</v>
      </c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  <c r="K24" s="20">
        <f t="shared" ref="K24:P24" si="15">J24</f>
        <v>1936</v>
      </c>
      <c r="L24" s="21">
        <f t="shared" si="15"/>
        <v>1936</v>
      </c>
      <c r="M24" s="21">
        <f t="shared" si="15"/>
        <v>1936</v>
      </c>
      <c r="N24" s="21">
        <f t="shared" si="15"/>
        <v>1936</v>
      </c>
      <c r="O24" s="21">
        <f t="shared" si="15"/>
        <v>1936</v>
      </c>
      <c r="P24" s="21">
        <f t="shared" si="15"/>
        <v>1936</v>
      </c>
    </row>
    <row r="25" ht="15.75" customHeight="1">
      <c r="A25" s="7"/>
    </row>
    <row r="26" ht="15.75" customHeight="1">
      <c r="A26" s="7" t="s">
        <v>23</v>
      </c>
      <c r="B26" s="6">
        <f t="shared" ref="B26:P26" si="16">B22-B24</f>
        <v>61581</v>
      </c>
      <c r="C26" s="6">
        <f t="shared" si="16"/>
        <v>99544</v>
      </c>
      <c r="D26" s="6">
        <f t="shared" si="16"/>
        <v>110036</v>
      </c>
      <c r="E26" s="6">
        <f t="shared" si="16"/>
        <v>104681</v>
      </c>
      <c r="F26" s="6">
        <f t="shared" si="16"/>
        <v>69844</v>
      </c>
      <c r="G26" s="6">
        <f t="shared" si="16"/>
        <v>51520</v>
      </c>
      <c r="H26" s="6">
        <f t="shared" si="16"/>
        <v>45353</v>
      </c>
      <c r="I26" s="6">
        <f t="shared" si="16"/>
        <v>102608</v>
      </c>
      <c r="J26" s="6">
        <f t="shared" si="16"/>
        <v>171704</v>
      </c>
      <c r="K26" s="6">
        <f t="shared" si="16"/>
        <v>237543.8734</v>
      </c>
      <c r="L26" s="6">
        <f t="shared" si="16"/>
        <v>277602.5962</v>
      </c>
      <c r="M26" s="6">
        <f t="shared" si="16"/>
        <v>325757.3137</v>
      </c>
      <c r="N26" s="6">
        <f t="shared" si="16"/>
        <v>383411.1802</v>
      </c>
      <c r="O26" s="6">
        <f t="shared" si="16"/>
        <v>452212.3965</v>
      </c>
      <c r="P26" s="6">
        <f t="shared" si="16"/>
        <v>534097.2155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  <c r="K27" s="20">
        <f t="shared" ref="K27:P27" si="17">J27</f>
        <v>2669</v>
      </c>
      <c r="L27" s="21">
        <f t="shared" si="17"/>
        <v>2669</v>
      </c>
      <c r="M27" s="21">
        <f t="shared" si="17"/>
        <v>2669</v>
      </c>
      <c r="N27" s="21">
        <f t="shared" si="17"/>
        <v>2669</v>
      </c>
      <c r="O27" s="21">
        <f t="shared" si="17"/>
        <v>2669</v>
      </c>
      <c r="P27" s="21">
        <f t="shared" si="17"/>
        <v>2669</v>
      </c>
    </row>
    <row r="28" ht="15.75" customHeight="1">
      <c r="A28" s="113" t="s">
        <v>179</v>
      </c>
      <c r="B28" s="23">
        <f t="shared" ref="B28:P28" si="18">SUM(B26:B27)</f>
        <v>66296</v>
      </c>
      <c r="C28" s="23">
        <f t="shared" si="18"/>
        <v>101272</v>
      </c>
      <c r="D28" s="23">
        <f t="shared" si="18"/>
        <v>111669</v>
      </c>
      <c r="E28" s="23">
        <f t="shared" si="18"/>
        <v>102651</v>
      </c>
      <c r="F28" s="23">
        <f t="shared" si="18"/>
        <v>65427</v>
      </c>
      <c r="G28" s="23">
        <f t="shared" si="18"/>
        <v>56656</v>
      </c>
      <c r="H28" s="23">
        <f t="shared" si="18"/>
        <v>48482</v>
      </c>
      <c r="I28" s="23">
        <f t="shared" si="18"/>
        <v>103194</v>
      </c>
      <c r="J28" s="23">
        <f t="shared" si="18"/>
        <v>174373</v>
      </c>
      <c r="K28" s="23">
        <f t="shared" si="18"/>
        <v>240212.8734</v>
      </c>
      <c r="L28" s="23">
        <f t="shared" si="18"/>
        <v>280271.5962</v>
      </c>
      <c r="M28" s="23">
        <f t="shared" si="18"/>
        <v>328426.3137</v>
      </c>
      <c r="N28" s="23">
        <f t="shared" si="18"/>
        <v>386080.1802</v>
      </c>
      <c r="O28" s="23">
        <f t="shared" si="18"/>
        <v>454881.3965</v>
      </c>
      <c r="P28" s="23">
        <f t="shared" si="18"/>
        <v>536766.2155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  <c r="K30" s="19">
        <f t="shared" ref="K30:P30" si="19">K28*K31</f>
        <v>72063.86202</v>
      </c>
      <c r="L30" s="19">
        <f t="shared" si="19"/>
        <v>84081.47885</v>
      </c>
      <c r="M30" s="19">
        <f t="shared" si="19"/>
        <v>98527.8941</v>
      </c>
      <c r="N30" s="19">
        <f t="shared" si="19"/>
        <v>115824.054</v>
      </c>
      <c r="O30" s="19">
        <f t="shared" si="19"/>
        <v>136464.4189</v>
      </c>
      <c r="P30" s="19">
        <f t="shared" si="19"/>
        <v>161029.8646</v>
      </c>
    </row>
    <row r="31" ht="15.75" customHeight="1">
      <c r="A31" s="7"/>
      <c r="B31" s="57"/>
      <c r="C31" s="57"/>
      <c r="D31" s="57"/>
      <c r="E31" s="57"/>
      <c r="F31" s="57"/>
      <c r="G31" s="57"/>
      <c r="H31" s="57"/>
      <c r="I31" s="57"/>
      <c r="J31" s="57"/>
      <c r="K31" s="37">
        <v>0.3</v>
      </c>
      <c r="L31" s="38">
        <f t="shared" ref="L31:P31" si="20">K31</f>
        <v>0.3</v>
      </c>
      <c r="M31" s="38">
        <f t="shared" si="20"/>
        <v>0.3</v>
      </c>
      <c r="N31" s="38">
        <f t="shared" si="20"/>
        <v>0.3</v>
      </c>
      <c r="O31" s="38">
        <f t="shared" si="20"/>
        <v>0.3</v>
      </c>
      <c r="P31" s="38">
        <f t="shared" si="20"/>
        <v>0.3</v>
      </c>
    </row>
    <row r="32" ht="15.75" customHeight="1">
      <c r="A32" s="7" t="s">
        <v>27</v>
      </c>
      <c r="B32" s="6">
        <f t="shared" ref="B32:P32" si="21">B28-B30</f>
        <v>46309</v>
      </c>
      <c r="C32" s="6">
        <f t="shared" si="21"/>
        <v>75110</v>
      </c>
      <c r="D32" s="6">
        <f t="shared" si="21"/>
        <v>78807</v>
      </c>
      <c r="E32" s="6">
        <f t="shared" si="21"/>
        <v>72919</v>
      </c>
      <c r="F32" s="6">
        <f t="shared" si="21"/>
        <v>51175</v>
      </c>
      <c r="G32" s="6">
        <f t="shared" si="21"/>
        <v>47337</v>
      </c>
      <c r="H32" s="6">
        <f t="shared" si="21"/>
        <v>40305</v>
      </c>
      <c r="I32" s="6">
        <f t="shared" si="21"/>
        <v>81449</v>
      </c>
      <c r="J32" s="6">
        <f t="shared" si="21"/>
        <v>135010</v>
      </c>
      <c r="K32" s="6">
        <f t="shared" si="21"/>
        <v>168149.0114</v>
      </c>
      <c r="L32" s="6">
        <f t="shared" si="21"/>
        <v>196190.1173</v>
      </c>
      <c r="M32" s="6">
        <f t="shared" si="21"/>
        <v>229898.4196</v>
      </c>
      <c r="N32" s="6">
        <f t="shared" si="21"/>
        <v>270256.1261</v>
      </c>
      <c r="O32" s="6">
        <f t="shared" si="21"/>
        <v>318416.9775</v>
      </c>
      <c r="P32" s="6">
        <f t="shared" si="21"/>
        <v>375736.3508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  <c r="K33" s="20">
        <f t="shared" ref="K33:P33" si="22">J33</f>
        <v>2541</v>
      </c>
      <c r="L33" s="21">
        <f t="shared" si="22"/>
        <v>2541</v>
      </c>
      <c r="M33" s="21">
        <f t="shared" si="22"/>
        <v>2541</v>
      </c>
      <c r="N33" s="21">
        <f t="shared" si="22"/>
        <v>2541</v>
      </c>
      <c r="O33" s="21">
        <f t="shared" si="22"/>
        <v>2541</v>
      </c>
      <c r="P33" s="21">
        <f t="shared" si="22"/>
        <v>2541</v>
      </c>
    </row>
    <row r="34" ht="15.75" customHeight="1">
      <c r="A34" s="1"/>
    </row>
    <row r="35" ht="15.75" customHeight="1">
      <c r="A35" s="1"/>
    </row>
    <row r="36" ht="15.75" customHeight="1">
      <c r="A36" s="45" t="s">
        <v>180</v>
      </c>
      <c r="B36" s="9">
        <f t="shared" ref="B36:D36" si="23">B32+B33</f>
        <v>46988</v>
      </c>
      <c r="C36" s="9">
        <f t="shared" si="23"/>
        <v>77326</v>
      </c>
      <c r="D36" s="9">
        <f t="shared" si="23"/>
        <v>82118</v>
      </c>
      <c r="E36" s="9">
        <f>E32+F33</f>
        <v>74103</v>
      </c>
      <c r="F36" s="9">
        <f t="shared" ref="F36:P36" si="24">F32+F33</f>
        <v>52359</v>
      </c>
      <c r="G36" s="9">
        <f t="shared" si="24"/>
        <v>49027</v>
      </c>
      <c r="H36" s="9">
        <f t="shared" si="24"/>
        <v>41924</v>
      </c>
      <c r="I36" s="9">
        <f t="shared" si="24"/>
        <v>83223</v>
      </c>
      <c r="J36" s="9">
        <f t="shared" si="24"/>
        <v>137551</v>
      </c>
      <c r="K36" s="9">
        <f t="shared" si="24"/>
        <v>170690.0114</v>
      </c>
      <c r="L36" s="9">
        <f t="shared" si="24"/>
        <v>198731.1173</v>
      </c>
      <c r="M36" s="9">
        <f t="shared" si="24"/>
        <v>232439.4196</v>
      </c>
      <c r="N36" s="9">
        <f t="shared" si="24"/>
        <v>272797.1261</v>
      </c>
      <c r="O36" s="9">
        <f t="shared" si="24"/>
        <v>320957.9775</v>
      </c>
      <c r="P36" s="9">
        <f t="shared" si="24"/>
        <v>378277.3508</v>
      </c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ht="15.75" customHeight="1">
      <c r="A40" s="7"/>
    </row>
    <row r="41" ht="15.75" customHeight="1">
      <c r="A41" s="4" t="s">
        <v>31</v>
      </c>
      <c r="B41" s="27">
        <f t="shared" ref="B41:P41" si="25">SUM(B42:B47)</f>
        <v>306304</v>
      </c>
      <c r="C41" s="27">
        <f t="shared" si="25"/>
        <v>370905</v>
      </c>
      <c r="D41" s="27">
        <f t="shared" si="25"/>
        <v>425755</v>
      </c>
      <c r="E41" s="27">
        <f t="shared" si="25"/>
        <v>471097</v>
      </c>
      <c r="F41" s="27">
        <f t="shared" si="25"/>
        <v>494322</v>
      </c>
      <c r="G41" s="27">
        <f t="shared" si="25"/>
        <v>525006</v>
      </c>
      <c r="H41" s="27">
        <f t="shared" si="25"/>
        <v>553335</v>
      </c>
      <c r="I41" s="27">
        <f t="shared" si="25"/>
        <v>746002</v>
      </c>
      <c r="J41" s="27">
        <f t="shared" si="25"/>
        <v>856360</v>
      </c>
      <c r="K41" s="27">
        <f t="shared" si="25"/>
        <v>1027050.011</v>
      </c>
      <c r="L41" s="27">
        <f t="shared" si="25"/>
        <v>1225781.129</v>
      </c>
      <c r="M41" s="27">
        <f t="shared" si="25"/>
        <v>1458220.548</v>
      </c>
      <c r="N41" s="27">
        <f t="shared" si="25"/>
        <v>1731017.674</v>
      </c>
      <c r="O41" s="27">
        <f t="shared" si="25"/>
        <v>2051975.652</v>
      </c>
      <c r="P41" s="27">
        <f t="shared" si="25"/>
        <v>2430253.003</v>
      </c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ht="15.75" customHeight="1">
      <c r="A42" s="1" t="s">
        <v>32</v>
      </c>
      <c r="B42" s="22">
        <v>1510.0</v>
      </c>
      <c r="C42" s="22">
        <v>1510.0</v>
      </c>
      <c r="D42" s="22">
        <v>1510.0</v>
      </c>
      <c r="E42" s="22">
        <v>1510.0</v>
      </c>
      <c r="F42" s="22">
        <v>1510.0</v>
      </c>
      <c r="G42" s="22">
        <v>1510.0</v>
      </c>
      <c r="H42" s="22">
        <v>1510.0</v>
      </c>
      <c r="I42" s="22">
        <v>1572.0</v>
      </c>
      <c r="J42" s="22">
        <v>1572.0</v>
      </c>
      <c r="K42" s="21">
        <f t="shared" ref="K42:P42" si="26">J42</f>
        <v>1572</v>
      </c>
      <c r="L42" s="21">
        <f t="shared" si="26"/>
        <v>1572</v>
      </c>
      <c r="M42" s="21">
        <f t="shared" si="26"/>
        <v>1572</v>
      </c>
      <c r="N42" s="21">
        <f t="shared" si="26"/>
        <v>1572</v>
      </c>
      <c r="O42" s="21">
        <f t="shared" si="26"/>
        <v>1572</v>
      </c>
      <c r="P42" s="21">
        <f t="shared" si="26"/>
        <v>1572</v>
      </c>
    </row>
    <row r="43" ht="15.75" customHeight="1">
      <c r="A43" s="1" t="s">
        <v>33</v>
      </c>
      <c r="B43" s="22">
        <v>304650.0</v>
      </c>
      <c r="C43" s="22">
        <v>369241.0</v>
      </c>
      <c r="D43" s="22">
        <v>424084.0</v>
      </c>
      <c r="E43" s="22">
        <v>469411.0</v>
      </c>
      <c r="F43" s="22">
        <v>492620.0</v>
      </c>
      <c r="G43" s="22">
        <v>523496.0</v>
      </c>
      <c r="H43" s="22">
        <v>551825.0</v>
      </c>
      <c r="I43" s="22">
        <v>744430.0</v>
      </c>
      <c r="J43" s="22">
        <v>854788.0</v>
      </c>
      <c r="K43" s="19">
        <f t="shared" ref="K43:P43" si="27">J43+K36</f>
        <v>1025478.011</v>
      </c>
      <c r="L43" s="19">
        <f t="shared" si="27"/>
        <v>1224209.129</v>
      </c>
      <c r="M43" s="19">
        <f t="shared" si="27"/>
        <v>1456648.548</v>
      </c>
      <c r="N43" s="19">
        <f t="shared" si="27"/>
        <v>1729445.674</v>
      </c>
      <c r="O43" s="19">
        <f t="shared" si="27"/>
        <v>2050403.652</v>
      </c>
      <c r="P43" s="19">
        <f t="shared" si="27"/>
        <v>2428681.003</v>
      </c>
    </row>
    <row r="44" ht="15.75" customHeight="1">
      <c r="A44" s="1" t="s">
        <v>34</v>
      </c>
      <c r="B44" s="22">
        <v>0.0</v>
      </c>
      <c r="C44" s="22">
        <v>0.0</v>
      </c>
      <c r="D44" s="22">
        <v>0.0</v>
      </c>
      <c r="E44" s="22">
        <v>0.0</v>
      </c>
      <c r="F44" s="22">
        <v>0.0</v>
      </c>
      <c r="G44" s="22">
        <v>0.0</v>
      </c>
      <c r="H44" s="22">
        <v>0.0</v>
      </c>
      <c r="I44" s="22">
        <v>0.0</v>
      </c>
      <c r="J44" s="22">
        <v>0.0</v>
      </c>
      <c r="K44" s="21">
        <f t="shared" ref="K44:P44" si="28">J44</f>
        <v>0</v>
      </c>
      <c r="L44" s="21">
        <f t="shared" si="28"/>
        <v>0</v>
      </c>
      <c r="M44" s="21">
        <f t="shared" si="28"/>
        <v>0</v>
      </c>
      <c r="N44" s="21">
        <f t="shared" si="28"/>
        <v>0</v>
      </c>
      <c r="O44" s="21">
        <f t="shared" si="28"/>
        <v>0</v>
      </c>
      <c r="P44" s="21">
        <f t="shared" si="28"/>
        <v>0</v>
      </c>
    </row>
    <row r="45" ht="15.75" customHeight="1">
      <c r="A45" s="7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ht="15.75" customHeight="1">
      <c r="A46" s="7" t="s">
        <v>35</v>
      </c>
      <c r="B46" s="22">
        <v>144.0</v>
      </c>
      <c r="C46" s="22">
        <v>154.0</v>
      </c>
      <c r="D46" s="22">
        <v>161.0</v>
      </c>
      <c r="E46" s="22">
        <v>176.0</v>
      </c>
      <c r="F46" s="22">
        <v>192.0</v>
      </c>
      <c r="G46" s="22">
        <v>0.0</v>
      </c>
      <c r="H46" s="22">
        <v>0.0</v>
      </c>
      <c r="I46" s="22">
        <v>0.0</v>
      </c>
      <c r="J46" s="22">
        <v>0.0</v>
      </c>
      <c r="K46" s="21">
        <f t="shared" ref="K46:P46" si="29">J46</f>
        <v>0</v>
      </c>
      <c r="L46" s="21">
        <f t="shared" si="29"/>
        <v>0</v>
      </c>
      <c r="M46" s="21">
        <f t="shared" si="29"/>
        <v>0</v>
      </c>
      <c r="N46" s="21">
        <f t="shared" si="29"/>
        <v>0</v>
      </c>
      <c r="O46" s="21">
        <f t="shared" si="29"/>
        <v>0</v>
      </c>
      <c r="P46" s="21">
        <f t="shared" si="29"/>
        <v>0</v>
      </c>
    </row>
    <row r="47" ht="15.75" customHeight="1">
      <c r="A47" s="7" t="s">
        <v>36</v>
      </c>
      <c r="B47" s="22">
        <v>0.0</v>
      </c>
      <c r="C47" s="22">
        <v>0.0</v>
      </c>
      <c r="D47" s="22">
        <v>0.0</v>
      </c>
      <c r="E47" s="22">
        <v>0.0</v>
      </c>
      <c r="F47" s="22">
        <v>0.0</v>
      </c>
      <c r="G47" s="22">
        <v>0.0</v>
      </c>
      <c r="H47" s="22">
        <v>0.0</v>
      </c>
      <c r="I47" s="22">
        <v>0.0</v>
      </c>
      <c r="J47" s="22">
        <v>0.0</v>
      </c>
      <c r="K47" s="21">
        <f t="shared" ref="K47:P47" si="30">J47</f>
        <v>0</v>
      </c>
      <c r="L47" s="21">
        <f t="shared" si="30"/>
        <v>0</v>
      </c>
      <c r="M47" s="21">
        <f t="shared" si="30"/>
        <v>0</v>
      </c>
      <c r="N47" s="21">
        <f t="shared" si="30"/>
        <v>0</v>
      </c>
      <c r="O47" s="21">
        <f t="shared" si="30"/>
        <v>0</v>
      </c>
      <c r="P47" s="21">
        <f t="shared" si="30"/>
        <v>0</v>
      </c>
    </row>
    <row r="48" ht="15.75" customHeight="1">
      <c r="A48" s="7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</row>
    <row r="49" ht="15.75" customHeight="1">
      <c r="A49" s="4" t="s">
        <v>37</v>
      </c>
      <c r="B49" s="27">
        <f t="shared" ref="B49:P49" si="31">SUM(B50:B54)</f>
        <v>10510</v>
      </c>
      <c r="C49" s="27">
        <f t="shared" si="31"/>
        <v>16332</v>
      </c>
      <c r="D49" s="27">
        <f t="shared" si="31"/>
        <v>22244</v>
      </c>
      <c r="E49" s="27">
        <f t="shared" si="31"/>
        <v>26985</v>
      </c>
      <c r="F49" s="27">
        <f t="shared" si="31"/>
        <v>28901</v>
      </c>
      <c r="G49" s="27">
        <f t="shared" si="31"/>
        <v>26616</v>
      </c>
      <c r="H49" s="27">
        <f t="shared" si="31"/>
        <v>22985</v>
      </c>
      <c r="I49" s="27">
        <f t="shared" si="31"/>
        <v>30185</v>
      </c>
      <c r="J49" s="27">
        <f t="shared" si="31"/>
        <v>37630</v>
      </c>
      <c r="K49" s="27">
        <f t="shared" si="31"/>
        <v>37630</v>
      </c>
      <c r="L49" s="27">
        <f t="shared" si="31"/>
        <v>37630</v>
      </c>
      <c r="M49" s="27">
        <f t="shared" si="31"/>
        <v>37630</v>
      </c>
      <c r="N49" s="27">
        <f t="shared" si="31"/>
        <v>37630</v>
      </c>
      <c r="O49" s="27">
        <f t="shared" si="31"/>
        <v>37630</v>
      </c>
      <c r="P49" s="27">
        <f t="shared" si="31"/>
        <v>37630</v>
      </c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ht="15.75" customHeight="1">
      <c r="A50" s="1" t="s">
        <v>38</v>
      </c>
      <c r="B50" s="22">
        <v>0.0</v>
      </c>
      <c r="C50" s="22">
        <v>0.0</v>
      </c>
      <c r="D50" s="22">
        <v>100.0</v>
      </c>
      <c r="E50" s="22">
        <v>80.0</v>
      </c>
      <c r="F50" s="22">
        <v>652.0</v>
      </c>
      <c r="G50" s="22">
        <v>420.0</v>
      </c>
      <c r="H50" s="22">
        <v>329.0</v>
      </c>
      <c r="I50" s="22">
        <v>250.0</v>
      </c>
      <c r="J50" s="22">
        <v>677.0</v>
      </c>
      <c r="K50" s="21">
        <f t="shared" ref="K50:P50" si="32">J50</f>
        <v>677</v>
      </c>
      <c r="L50" s="21">
        <f t="shared" si="32"/>
        <v>677</v>
      </c>
      <c r="M50" s="21">
        <f t="shared" si="32"/>
        <v>677</v>
      </c>
      <c r="N50" s="21">
        <f t="shared" si="32"/>
        <v>677</v>
      </c>
      <c r="O50" s="21">
        <f t="shared" si="32"/>
        <v>677</v>
      </c>
      <c r="P50" s="21">
        <f t="shared" si="32"/>
        <v>677</v>
      </c>
    </row>
    <row r="51" ht="15.75" customHeight="1">
      <c r="A51" s="1" t="s">
        <v>39</v>
      </c>
      <c r="B51" s="22">
        <v>8075.0</v>
      </c>
      <c r="C51" s="22">
        <v>11055.0</v>
      </c>
      <c r="D51" s="22">
        <v>15859.0</v>
      </c>
      <c r="E51" s="22">
        <v>20371.0</v>
      </c>
      <c r="F51" s="22">
        <v>21158.0</v>
      </c>
      <c r="G51" s="22">
        <v>21295.0</v>
      </c>
      <c r="H51" s="22">
        <v>21812.0</v>
      </c>
      <c r="I51" s="22">
        <v>25850.0</v>
      </c>
      <c r="J51" s="22">
        <v>31617.0</v>
      </c>
      <c r="K51" s="21">
        <f t="shared" ref="K51:P51" si="33">J51</f>
        <v>31617</v>
      </c>
      <c r="L51" s="21">
        <f t="shared" si="33"/>
        <v>31617</v>
      </c>
      <c r="M51" s="21">
        <f t="shared" si="33"/>
        <v>31617</v>
      </c>
      <c r="N51" s="21">
        <f t="shared" si="33"/>
        <v>31617</v>
      </c>
      <c r="O51" s="21">
        <f t="shared" si="33"/>
        <v>31617</v>
      </c>
      <c r="P51" s="21">
        <f t="shared" si="33"/>
        <v>31617</v>
      </c>
    </row>
    <row r="52" ht="15.75" customHeight="1">
      <c r="A52" s="1" t="s">
        <v>40</v>
      </c>
      <c r="B52" s="22">
        <v>148.0</v>
      </c>
      <c r="C52" s="22">
        <v>219.0</v>
      </c>
      <c r="D52" s="22">
        <v>265.0</v>
      </c>
      <c r="E52" s="22">
        <v>395.0</v>
      </c>
      <c r="F52" s="22">
        <v>516.0</v>
      </c>
      <c r="G52" s="22">
        <v>447.0</v>
      </c>
      <c r="H52" s="22">
        <v>844.0</v>
      </c>
      <c r="I52" s="22">
        <v>875.0</v>
      </c>
      <c r="J52" s="22">
        <v>1448.0</v>
      </c>
      <c r="K52" s="21">
        <f t="shared" ref="K52:P52" si="34">J52</f>
        <v>1448</v>
      </c>
      <c r="L52" s="21">
        <f t="shared" si="34"/>
        <v>1448</v>
      </c>
      <c r="M52" s="21">
        <f t="shared" si="34"/>
        <v>1448</v>
      </c>
      <c r="N52" s="21">
        <f t="shared" si="34"/>
        <v>1448</v>
      </c>
      <c r="O52" s="21">
        <f t="shared" si="34"/>
        <v>1448</v>
      </c>
      <c r="P52" s="21">
        <f t="shared" si="34"/>
        <v>1448</v>
      </c>
    </row>
    <row r="53" ht="15.75" customHeight="1">
      <c r="A53" s="1" t="s">
        <v>41</v>
      </c>
      <c r="B53" s="22">
        <v>2287.0</v>
      </c>
      <c r="C53" s="22">
        <v>5058.0</v>
      </c>
      <c r="D53" s="22">
        <v>6020.0</v>
      </c>
      <c r="E53" s="22">
        <v>6139.0</v>
      </c>
      <c r="F53" s="22">
        <v>6575.0</v>
      </c>
      <c r="G53" s="22">
        <v>4454.0</v>
      </c>
      <c r="H53" s="22">
        <v>0.0</v>
      </c>
      <c r="I53" s="22">
        <v>3210.0</v>
      </c>
      <c r="J53" s="22">
        <v>3888.0</v>
      </c>
      <c r="K53" s="21">
        <f t="shared" ref="K53:P53" si="35">J53</f>
        <v>3888</v>
      </c>
      <c r="L53" s="21">
        <f t="shared" si="35"/>
        <v>3888</v>
      </c>
      <c r="M53" s="21">
        <f t="shared" si="35"/>
        <v>3888</v>
      </c>
      <c r="N53" s="21">
        <f t="shared" si="35"/>
        <v>3888</v>
      </c>
      <c r="O53" s="21">
        <f t="shared" si="35"/>
        <v>3888</v>
      </c>
      <c r="P53" s="21">
        <f t="shared" si="35"/>
        <v>3888</v>
      </c>
    </row>
    <row r="54" ht="15.75" customHeight="1">
      <c r="A54" s="7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</row>
    <row r="55" ht="15.75" customHeight="1">
      <c r="A55" s="18" t="s">
        <v>42</v>
      </c>
      <c r="B55" s="27">
        <f t="shared" ref="B55:P55" si="36">SUM(B56:B62)</f>
        <v>110441</v>
      </c>
      <c r="C55" s="27">
        <f t="shared" si="36"/>
        <v>132368</v>
      </c>
      <c r="D55" s="27">
        <f t="shared" si="36"/>
        <v>154485</v>
      </c>
      <c r="E55" s="27">
        <f t="shared" si="36"/>
        <v>141605</v>
      </c>
      <c r="F55" s="27">
        <f t="shared" si="36"/>
        <v>113054</v>
      </c>
      <c r="G55" s="27">
        <f t="shared" si="36"/>
        <v>162139</v>
      </c>
      <c r="H55" s="27">
        <f t="shared" si="36"/>
        <v>170235</v>
      </c>
      <c r="I55" s="27">
        <f t="shared" si="36"/>
        <v>227667</v>
      </c>
      <c r="J55" s="27">
        <f t="shared" si="36"/>
        <v>259518</v>
      </c>
      <c r="K55" s="27">
        <f t="shared" si="36"/>
        <v>333413.6646</v>
      </c>
      <c r="L55" s="27">
        <f t="shared" si="36"/>
        <v>389551.2984</v>
      </c>
      <c r="M55" s="27">
        <f t="shared" si="36"/>
        <v>455305.9924</v>
      </c>
      <c r="N55" s="27">
        <f t="shared" si="36"/>
        <v>532344.524</v>
      </c>
      <c r="O55" s="27">
        <f t="shared" si="36"/>
        <v>622624.7559</v>
      </c>
      <c r="P55" s="27">
        <f t="shared" si="36"/>
        <v>728446.7217</v>
      </c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ht="15.75" customHeight="1">
      <c r="A56" s="1" t="s">
        <v>43</v>
      </c>
      <c r="B56" s="22">
        <v>7956.0</v>
      </c>
      <c r="C56" s="22">
        <v>8036.0</v>
      </c>
      <c r="D56" s="22">
        <v>8541.0</v>
      </c>
      <c r="E56" s="22">
        <v>6729.0</v>
      </c>
      <c r="F56" s="22">
        <v>6962.0</v>
      </c>
      <c r="G56" s="22">
        <v>8547.0</v>
      </c>
      <c r="H56" s="22">
        <v>11113.0</v>
      </c>
      <c r="I56" s="22">
        <v>11584.0</v>
      </c>
      <c r="J56" s="22">
        <v>12030.0</v>
      </c>
      <c r="K56" s="19">
        <f t="shared" ref="K56:P56" si="37">K163</f>
        <v>17456.21281</v>
      </c>
      <c r="L56" s="19">
        <f t="shared" si="37"/>
        <v>20395.35594</v>
      </c>
      <c r="M56" s="19">
        <f t="shared" si="37"/>
        <v>23838.01008</v>
      </c>
      <c r="N56" s="19">
        <f t="shared" si="37"/>
        <v>27871.44105</v>
      </c>
      <c r="O56" s="19">
        <f t="shared" si="37"/>
        <v>32598.15476</v>
      </c>
      <c r="P56" s="19">
        <f t="shared" si="37"/>
        <v>38138.57181</v>
      </c>
    </row>
    <row r="57" ht="15.75" customHeight="1">
      <c r="A57" s="1" t="s">
        <v>44</v>
      </c>
      <c r="B57" s="22">
        <v>774.0</v>
      </c>
      <c r="C57" s="22">
        <v>4838.0</v>
      </c>
      <c r="D57" s="22">
        <v>1108.0</v>
      </c>
      <c r="E57" s="22">
        <v>1496.0</v>
      </c>
      <c r="F57" s="22">
        <v>1063.0</v>
      </c>
      <c r="G57" s="22">
        <v>4962.0</v>
      </c>
      <c r="H57" s="22">
        <v>3819.0</v>
      </c>
      <c r="I57" s="22">
        <v>12226.0</v>
      </c>
      <c r="J57" s="22">
        <v>509.0</v>
      </c>
      <c r="K57" s="19">
        <f t="shared" ref="K57:P57" si="38">K164</f>
        <v>1745.621281</v>
      </c>
      <c r="L57" s="19">
        <f t="shared" si="38"/>
        <v>2039.535594</v>
      </c>
      <c r="M57" s="19">
        <f t="shared" si="38"/>
        <v>2383.801008</v>
      </c>
      <c r="N57" s="19">
        <f t="shared" si="38"/>
        <v>2787.144105</v>
      </c>
      <c r="O57" s="19">
        <f t="shared" si="38"/>
        <v>3259.815476</v>
      </c>
      <c r="P57" s="19">
        <f t="shared" si="38"/>
        <v>3813.857181</v>
      </c>
    </row>
    <row r="58" ht="15.75" customHeight="1">
      <c r="A58" s="29" t="s">
        <v>110</v>
      </c>
      <c r="B58" s="22">
        <v>74089.0</v>
      </c>
      <c r="C58" s="22">
        <v>83692.0</v>
      </c>
      <c r="D58" s="22">
        <v>104993.0</v>
      </c>
      <c r="E58" s="22">
        <v>96377.0</v>
      </c>
      <c r="F58" s="22">
        <v>75091.0</v>
      </c>
      <c r="G58" s="22">
        <v>101681.0</v>
      </c>
      <c r="H58" s="22">
        <v>97732.0</v>
      </c>
      <c r="I58" s="22">
        <v>1947.0</v>
      </c>
      <c r="J58" s="22">
        <v>2070.0</v>
      </c>
      <c r="K58" s="19">
        <f t="shared" ref="K58:P58" si="39">K165</f>
        <v>209474.5537</v>
      </c>
      <c r="L58" s="19">
        <f t="shared" si="39"/>
        <v>244744.2712</v>
      </c>
      <c r="M58" s="19">
        <f t="shared" si="39"/>
        <v>286056.1209</v>
      </c>
      <c r="N58" s="19">
        <f t="shared" si="39"/>
        <v>334457.2926</v>
      </c>
      <c r="O58" s="19">
        <f t="shared" si="39"/>
        <v>391177.8571</v>
      </c>
      <c r="P58" s="19">
        <f t="shared" si="39"/>
        <v>457662.8618</v>
      </c>
    </row>
    <row r="59" ht="15.75" customHeight="1">
      <c r="A59" s="1" t="s">
        <v>45</v>
      </c>
      <c r="B59" s="22">
        <v>0.0</v>
      </c>
      <c r="C59" s="22">
        <v>0.0</v>
      </c>
      <c r="D59" s="22">
        <v>0.0</v>
      </c>
      <c r="E59" s="22">
        <v>0.0</v>
      </c>
      <c r="F59" s="22">
        <v>0.0</v>
      </c>
      <c r="G59" s="22">
        <v>0.0</v>
      </c>
      <c r="H59" s="22">
        <v>0.0</v>
      </c>
      <c r="I59" s="22">
        <v>134808.0</v>
      </c>
      <c r="J59" s="22">
        <v>167814.0</v>
      </c>
      <c r="K59" s="114"/>
      <c r="L59" s="114"/>
      <c r="M59" s="114"/>
      <c r="N59" s="114"/>
      <c r="O59" s="114"/>
      <c r="P59" s="114"/>
    </row>
    <row r="60" ht="15.75" customHeight="1">
      <c r="A60" s="1" t="s">
        <v>46</v>
      </c>
      <c r="B60" s="22">
        <v>11650.0</v>
      </c>
      <c r="C60" s="22">
        <v>18278.0</v>
      </c>
      <c r="D60" s="22">
        <v>20896.0</v>
      </c>
      <c r="E60" s="22">
        <v>16329.0</v>
      </c>
      <c r="F60" s="22">
        <v>14091.0</v>
      </c>
      <c r="G60" s="22">
        <v>26801.0</v>
      </c>
      <c r="H60" s="22">
        <v>28686.0</v>
      </c>
      <c r="I60" s="22">
        <v>33372.0</v>
      </c>
      <c r="J60" s="22">
        <v>41739.0</v>
      </c>
      <c r="K60" s="19">
        <f t="shared" ref="K60:P60" si="40">K166</f>
        <v>52368.63842</v>
      </c>
      <c r="L60" s="19">
        <f t="shared" si="40"/>
        <v>61186.06781</v>
      </c>
      <c r="M60" s="19">
        <f t="shared" si="40"/>
        <v>71514.03023</v>
      </c>
      <c r="N60" s="19">
        <f t="shared" si="40"/>
        <v>83614.32315</v>
      </c>
      <c r="O60" s="19">
        <f t="shared" si="40"/>
        <v>97794.46428</v>
      </c>
      <c r="P60" s="19">
        <f t="shared" si="40"/>
        <v>114415.7154</v>
      </c>
    </row>
    <row r="61" ht="15.75" customHeight="1">
      <c r="A61" s="1" t="s">
        <v>47</v>
      </c>
      <c r="B61" s="22">
        <v>3994.0</v>
      </c>
      <c r="C61" s="22">
        <v>4496.0</v>
      </c>
      <c r="D61" s="22">
        <v>5609.0</v>
      </c>
      <c r="E61" s="22">
        <v>6254.0</v>
      </c>
      <c r="F61" s="22">
        <v>6807.0</v>
      </c>
      <c r="G61" s="22">
        <v>7428.0</v>
      </c>
      <c r="H61" s="22">
        <v>8613.0</v>
      </c>
      <c r="I61" s="22">
        <v>10830.0</v>
      </c>
      <c r="J61" s="22">
        <v>13119.0</v>
      </c>
      <c r="K61" s="19">
        <f t="shared" ref="K61:P61" si="41">K167</f>
        <v>17456.21281</v>
      </c>
      <c r="L61" s="19">
        <f t="shared" si="41"/>
        <v>20395.35594</v>
      </c>
      <c r="M61" s="19">
        <f t="shared" si="41"/>
        <v>23838.01008</v>
      </c>
      <c r="N61" s="19">
        <f t="shared" si="41"/>
        <v>27871.44105</v>
      </c>
      <c r="O61" s="19">
        <f t="shared" si="41"/>
        <v>32598.15476</v>
      </c>
      <c r="P61" s="19">
        <f t="shared" si="41"/>
        <v>38138.57181</v>
      </c>
    </row>
    <row r="62" ht="15.75" customHeight="1">
      <c r="A62" s="1" t="s">
        <v>48</v>
      </c>
      <c r="B62" s="22">
        <v>11978.0</v>
      </c>
      <c r="C62" s="22">
        <v>13028.0</v>
      </c>
      <c r="D62" s="22">
        <v>13338.0</v>
      </c>
      <c r="E62" s="22">
        <v>14420.0</v>
      </c>
      <c r="F62" s="22">
        <v>9040.0</v>
      </c>
      <c r="G62" s="22">
        <v>12720.0</v>
      </c>
      <c r="H62" s="22">
        <v>20272.0</v>
      </c>
      <c r="I62" s="22">
        <v>22900.0</v>
      </c>
      <c r="J62" s="22">
        <v>22237.0</v>
      </c>
      <c r="K62" s="19">
        <f t="shared" ref="K62:P62" si="42">K168</f>
        <v>34912.42561</v>
      </c>
      <c r="L62" s="19">
        <f t="shared" si="42"/>
        <v>40790.71187</v>
      </c>
      <c r="M62" s="19">
        <f t="shared" si="42"/>
        <v>47676.02015</v>
      </c>
      <c r="N62" s="19">
        <f t="shared" si="42"/>
        <v>55742.8821</v>
      </c>
      <c r="O62" s="19">
        <f t="shared" si="42"/>
        <v>65196.30952</v>
      </c>
      <c r="P62" s="19">
        <f t="shared" si="42"/>
        <v>76277.14363</v>
      </c>
    </row>
    <row r="63" ht="15.75" customHeight="1">
      <c r="A63" s="8" t="s">
        <v>49</v>
      </c>
      <c r="B63" s="30">
        <f t="shared" ref="B63:P63" si="43">sum(B41,B49,B55)</f>
        <v>427255</v>
      </c>
      <c r="C63" s="30">
        <f t="shared" si="43"/>
        <v>519605</v>
      </c>
      <c r="D63" s="30">
        <f t="shared" si="43"/>
        <v>602484</v>
      </c>
      <c r="E63" s="30">
        <f t="shared" si="43"/>
        <v>639687</v>
      </c>
      <c r="F63" s="30">
        <f t="shared" si="43"/>
        <v>636277</v>
      </c>
      <c r="G63" s="30">
        <f t="shared" si="43"/>
        <v>713761</v>
      </c>
      <c r="H63" s="30">
        <f t="shared" si="43"/>
        <v>746555</v>
      </c>
      <c r="I63" s="30">
        <f t="shared" si="43"/>
        <v>1003854</v>
      </c>
      <c r="J63" s="30">
        <f t="shared" si="43"/>
        <v>1153508</v>
      </c>
      <c r="K63" s="30">
        <f t="shared" si="43"/>
        <v>1398093.676</v>
      </c>
      <c r="L63" s="30">
        <f t="shared" si="43"/>
        <v>1652962.427</v>
      </c>
      <c r="M63" s="30">
        <f t="shared" si="43"/>
        <v>1951156.541</v>
      </c>
      <c r="N63" s="30">
        <f t="shared" si="43"/>
        <v>2300992.198</v>
      </c>
      <c r="O63" s="30">
        <f t="shared" si="43"/>
        <v>2712230.408</v>
      </c>
      <c r="P63" s="30">
        <f t="shared" si="43"/>
        <v>3196329.724</v>
      </c>
    </row>
    <row r="64" ht="15.75" customHeight="1">
      <c r="A64" s="7"/>
    </row>
    <row r="65" ht="15.75" customHeight="1">
      <c r="A65" s="7"/>
    </row>
    <row r="66" ht="15.75" customHeight="1">
      <c r="A66" s="4" t="s">
        <v>50</v>
      </c>
    </row>
    <row r="67" ht="15.75" customHeight="1">
      <c r="A67" s="7"/>
    </row>
    <row r="68" ht="15.75" customHeight="1">
      <c r="A68" s="18" t="s">
        <v>51</v>
      </c>
      <c r="B68" s="27">
        <f t="shared" ref="B68:P68" si="44">SUM(B69:B80)</f>
        <v>347744</v>
      </c>
      <c r="C68" s="27">
        <f t="shared" si="44"/>
        <v>431625</v>
      </c>
      <c r="D68" s="27">
        <f t="shared" si="44"/>
        <v>523184</v>
      </c>
      <c r="E68" s="27">
        <f t="shared" si="44"/>
        <v>515960</v>
      </c>
      <c r="F68" s="27">
        <f t="shared" si="44"/>
        <v>551871</v>
      </c>
      <c r="G68" s="27">
        <f t="shared" si="44"/>
        <v>532791</v>
      </c>
      <c r="H68" s="27">
        <f t="shared" si="44"/>
        <v>578621</v>
      </c>
      <c r="I68" s="27">
        <f t="shared" si="44"/>
        <v>847162</v>
      </c>
      <c r="J68" s="27">
        <f t="shared" si="44"/>
        <v>927170</v>
      </c>
      <c r="K68" s="27">
        <f t="shared" si="44"/>
        <v>966528</v>
      </c>
      <c r="L68" s="27">
        <f t="shared" si="44"/>
        <v>1007328</v>
      </c>
      <c r="M68" s="27">
        <f t="shared" si="44"/>
        <v>1048128</v>
      </c>
      <c r="N68" s="27">
        <f t="shared" si="44"/>
        <v>1088928</v>
      </c>
      <c r="O68" s="27">
        <f t="shared" si="44"/>
        <v>1129728</v>
      </c>
      <c r="P68" s="27">
        <f t="shared" si="44"/>
        <v>1170528</v>
      </c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ht="15.75" customHeight="1">
      <c r="A69" s="28" t="s">
        <v>101</v>
      </c>
      <c r="B69" s="22">
        <v>121827.0</v>
      </c>
      <c r="C69" s="22">
        <v>129377.0</v>
      </c>
      <c r="D69" s="22">
        <v>130771.0</v>
      </c>
      <c r="E69" s="22">
        <v>149862.0</v>
      </c>
      <c r="F69" s="22">
        <v>147905.0</v>
      </c>
      <c r="G69" s="22">
        <v>141785.0</v>
      </c>
      <c r="H69" s="22">
        <v>128261.0</v>
      </c>
      <c r="I69" s="22">
        <v>268028.0</v>
      </c>
      <c r="J69" s="22">
        <v>267982.0</v>
      </c>
      <c r="K69" s="19">
        <f t="shared" ref="K69:P69" si="45">SUM(J69:J73,K201)-K203</f>
        <v>395354</v>
      </c>
      <c r="L69" s="19">
        <f t="shared" si="45"/>
        <v>436154</v>
      </c>
      <c r="M69" s="19">
        <f t="shared" si="45"/>
        <v>476954</v>
      </c>
      <c r="N69" s="19">
        <f t="shared" si="45"/>
        <v>517754</v>
      </c>
      <c r="O69" s="19">
        <f t="shared" si="45"/>
        <v>558554</v>
      </c>
      <c r="P69" s="19">
        <f t="shared" si="45"/>
        <v>599354</v>
      </c>
    </row>
    <row r="70" ht="15.75" customHeight="1">
      <c r="A70" s="16" t="s">
        <v>53</v>
      </c>
      <c r="B70" s="22">
        <v>3469.0</v>
      </c>
      <c r="C70" s="22">
        <v>3730.0</v>
      </c>
      <c r="D70" s="22">
        <v>3117.0</v>
      </c>
      <c r="E70" s="22">
        <v>4511.0</v>
      </c>
      <c r="F70" s="22">
        <v>4067.0</v>
      </c>
      <c r="G70" s="22">
        <v>2242.0</v>
      </c>
      <c r="H70" s="22">
        <v>3499.0</v>
      </c>
      <c r="I70" s="22">
        <v>5479.0</v>
      </c>
      <c r="J70" s="22">
        <v>4537.0</v>
      </c>
      <c r="K70" s="115"/>
      <c r="L70" s="115"/>
      <c r="M70" s="115"/>
      <c r="N70" s="115"/>
      <c r="O70" s="115"/>
      <c r="P70" s="115"/>
    </row>
    <row r="71" ht="15.75" customHeight="1">
      <c r="A71" s="16" t="s">
        <v>54</v>
      </c>
      <c r="B71" s="22">
        <v>10069.0</v>
      </c>
      <c r="C71" s="22">
        <v>12523.0</v>
      </c>
      <c r="D71" s="22">
        <v>21321.0</v>
      </c>
      <c r="E71" s="22">
        <v>16069.0</v>
      </c>
      <c r="F71" s="22">
        <v>13443.0</v>
      </c>
      <c r="G71" s="22">
        <v>11993.0</v>
      </c>
      <c r="H71" s="22">
        <v>26462.0</v>
      </c>
      <c r="I71" s="22">
        <v>40541.0</v>
      </c>
      <c r="J71" s="22">
        <v>75043.0</v>
      </c>
      <c r="K71" s="115"/>
      <c r="L71" s="115"/>
      <c r="M71" s="115"/>
      <c r="N71" s="115"/>
      <c r="O71" s="115"/>
      <c r="P71" s="115"/>
    </row>
    <row r="72" ht="15.75" customHeight="1">
      <c r="A72" s="16" t="s">
        <v>55</v>
      </c>
      <c r="B72" s="22">
        <v>0.0</v>
      </c>
      <c r="C72" s="22">
        <v>0.0</v>
      </c>
      <c r="D72" s="22">
        <v>0.0</v>
      </c>
      <c r="E72" s="22">
        <v>0.0</v>
      </c>
      <c r="F72" s="22">
        <v>0.0</v>
      </c>
      <c r="G72" s="22">
        <v>2975.0</v>
      </c>
      <c r="H72" s="22">
        <v>2903.0</v>
      </c>
      <c r="I72" s="15">
        <v>889.0</v>
      </c>
      <c r="J72" s="22">
        <v>2305.0</v>
      </c>
      <c r="K72" s="115"/>
      <c r="L72" s="115"/>
      <c r="M72" s="115"/>
      <c r="N72" s="115"/>
      <c r="O72" s="115"/>
      <c r="P72" s="115"/>
    </row>
    <row r="73" ht="15.75" customHeight="1">
      <c r="A73" s="29" t="s">
        <v>102</v>
      </c>
      <c r="B73" s="22">
        <v>0.0</v>
      </c>
      <c r="C73" s="22">
        <v>0.0</v>
      </c>
      <c r="D73" s="22">
        <v>0.0</v>
      </c>
      <c r="E73" s="22">
        <v>0.0</v>
      </c>
      <c r="F73" s="22">
        <v>6181.0</v>
      </c>
      <c r="G73" s="22">
        <v>5860.0</v>
      </c>
      <c r="H73" s="22">
        <v>5712.0</v>
      </c>
      <c r="I73" s="22">
        <v>5907.0</v>
      </c>
      <c r="J73" s="22">
        <v>6129.0</v>
      </c>
      <c r="K73" s="115"/>
      <c r="L73" s="115"/>
      <c r="M73" s="115"/>
      <c r="N73" s="115"/>
      <c r="O73" s="115"/>
      <c r="P73" s="115"/>
    </row>
    <row r="74" ht="15.75" customHeight="1">
      <c r="A74" s="1" t="s">
        <v>56</v>
      </c>
      <c r="B74" s="22">
        <v>195345.0</v>
      </c>
      <c r="C74" s="22">
        <v>269718.0</v>
      </c>
      <c r="D74" s="22">
        <v>349058.0</v>
      </c>
      <c r="E74" s="22">
        <v>324581.0</v>
      </c>
      <c r="F74" s="22">
        <v>362692.0</v>
      </c>
      <c r="G74" s="22">
        <v>345291.0</v>
      </c>
      <c r="H74" s="22">
        <v>379348.0</v>
      </c>
      <c r="I74" s="22">
        <v>491843.0</v>
      </c>
      <c r="J74" s="22">
        <v>533838.0</v>
      </c>
      <c r="K74" s="21">
        <f t="shared" ref="K74:P74" si="46">J74</f>
        <v>533838</v>
      </c>
      <c r="L74" s="21">
        <f t="shared" si="46"/>
        <v>533838</v>
      </c>
      <c r="M74" s="21">
        <f t="shared" si="46"/>
        <v>533838</v>
      </c>
      <c r="N74" s="21">
        <f t="shared" si="46"/>
        <v>533838</v>
      </c>
      <c r="O74" s="21">
        <f t="shared" si="46"/>
        <v>533838</v>
      </c>
      <c r="P74" s="21">
        <f t="shared" si="46"/>
        <v>533838</v>
      </c>
    </row>
    <row r="75" ht="15.75" customHeight="1">
      <c r="A75" s="1" t="s">
        <v>57</v>
      </c>
      <c r="B75" s="22">
        <v>234.0</v>
      </c>
      <c r="C75" s="22">
        <v>241.0</v>
      </c>
      <c r="D75" s="22">
        <v>328.0</v>
      </c>
      <c r="E75" s="22">
        <v>344.0</v>
      </c>
      <c r="F75" s="22">
        <v>365.0</v>
      </c>
      <c r="G75" s="22">
        <v>369.0</v>
      </c>
      <c r="H75" s="22">
        <v>375.0</v>
      </c>
      <c r="I75" s="22">
        <v>2398.0</v>
      </c>
      <c r="J75" s="22">
        <v>2981.0</v>
      </c>
      <c r="K75" s="21">
        <f t="shared" ref="K75:P75" si="47">J75</f>
        <v>2981</v>
      </c>
      <c r="L75" s="21">
        <f t="shared" si="47"/>
        <v>2981</v>
      </c>
      <c r="M75" s="21">
        <f t="shared" si="47"/>
        <v>2981</v>
      </c>
      <c r="N75" s="21">
        <f t="shared" si="47"/>
        <v>2981</v>
      </c>
      <c r="O75" s="21">
        <f t="shared" si="47"/>
        <v>2981</v>
      </c>
      <c r="P75" s="21">
        <f t="shared" si="47"/>
        <v>2981</v>
      </c>
    </row>
    <row r="76" ht="15.75" customHeight="1">
      <c r="A76" s="1" t="s">
        <v>58</v>
      </c>
      <c r="B76" s="22">
        <v>4.0</v>
      </c>
      <c r="C76" s="22">
        <v>3.0</v>
      </c>
      <c r="D76" s="22">
        <v>2.0</v>
      </c>
      <c r="E76" s="22">
        <v>2.0</v>
      </c>
      <c r="F76" s="22">
        <v>2.0</v>
      </c>
      <c r="G76" s="22">
        <v>2.0</v>
      </c>
      <c r="H76" s="22">
        <v>5446.0</v>
      </c>
      <c r="I76" s="22">
        <v>2.0</v>
      </c>
      <c r="J76" s="22">
        <v>1.0</v>
      </c>
      <c r="K76" s="21">
        <f t="shared" ref="K76:P76" si="48">J76</f>
        <v>1</v>
      </c>
      <c r="L76" s="21">
        <f t="shared" si="48"/>
        <v>1</v>
      </c>
      <c r="M76" s="21">
        <f t="shared" si="48"/>
        <v>1</v>
      </c>
      <c r="N76" s="21">
        <f t="shared" si="48"/>
        <v>1</v>
      </c>
      <c r="O76" s="21">
        <f t="shared" si="48"/>
        <v>1</v>
      </c>
      <c r="P76" s="21">
        <f t="shared" si="48"/>
        <v>1</v>
      </c>
    </row>
    <row r="77" ht="15.75" customHeight="1">
      <c r="A77" s="1" t="s">
        <v>59</v>
      </c>
      <c r="B77" s="22">
        <v>16796.0</v>
      </c>
      <c r="C77" s="22">
        <v>16033.0</v>
      </c>
      <c r="D77" s="22">
        <v>18587.0</v>
      </c>
      <c r="E77" s="22">
        <v>20591.0</v>
      </c>
      <c r="F77" s="22">
        <v>17216.0</v>
      </c>
      <c r="G77" s="22">
        <v>16867.0</v>
      </c>
      <c r="H77" s="22">
        <v>1411.0</v>
      </c>
      <c r="I77" s="22">
        <v>23226.0</v>
      </c>
      <c r="J77" s="22">
        <v>28049.0</v>
      </c>
      <c r="K77" s="21">
        <f t="shared" ref="K77:P77" si="49">J77</f>
        <v>28049</v>
      </c>
      <c r="L77" s="21">
        <f t="shared" si="49"/>
        <v>28049</v>
      </c>
      <c r="M77" s="21">
        <f t="shared" si="49"/>
        <v>28049</v>
      </c>
      <c r="N77" s="21">
        <f t="shared" si="49"/>
        <v>28049</v>
      </c>
      <c r="O77" s="21">
        <f t="shared" si="49"/>
        <v>28049</v>
      </c>
      <c r="P77" s="21">
        <f t="shared" si="49"/>
        <v>28049</v>
      </c>
    </row>
    <row r="78" ht="15.75" customHeight="1">
      <c r="A78" s="29" t="s">
        <v>103</v>
      </c>
      <c r="B78" s="22">
        <v>0.0</v>
      </c>
      <c r="C78" s="22">
        <v>0.0</v>
      </c>
      <c r="D78" s="22">
        <v>0.0</v>
      </c>
      <c r="E78" s="22">
        <v>0.0</v>
      </c>
      <c r="F78" s="22">
        <v>0.0</v>
      </c>
      <c r="G78" s="22">
        <v>0.0</v>
      </c>
      <c r="H78" s="22">
        <v>0.0</v>
      </c>
      <c r="I78" s="22">
        <v>6055.0</v>
      </c>
      <c r="J78" s="22">
        <v>5838.0</v>
      </c>
      <c r="K78" s="21">
        <f t="shared" ref="K78:P78" si="50">J78</f>
        <v>5838</v>
      </c>
      <c r="L78" s="21">
        <f t="shared" si="50"/>
        <v>5838</v>
      </c>
      <c r="M78" s="21">
        <f t="shared" si="50"/>
        <v>5838</v>
      </c>
      <c r="N78" s="21">
        <f t="shared" si="50"/>
        <v>5838</v>
      </c>
      <c r="O78" s="21">
        <f t="shared" si="50"/>
        <v>5838</v>
      </c>
      <c r="P78" s="21">
        <f t="shared" si="50"/>
        <v>5838</v>
      </c>
    </row>
    <row r="79" ht="15.75" customHeight="1">
      <c r="A79" s="29" t="s">
        <v>104</v>
      </c>
      <c r="B79" s="22">
        <v>0.0</v>
      </c>
      <c r="C79" s="22">
        <v>0.0</v>
      </c>
      <c r="D79" s="22">
        <v>0.0</v>
      </c>
      <c r="E79" s="22">
        <v>0.0</v>
      </c>
      <c r="F79" s="22">
        <v>0.0</v>
      </c>
      <c r="G79" s="22">
        <v>5407.0</v>
      </c>
      <c r="H79" s="22">
        <v>25204.0</v>
      </c>
      <c r="I79" s="22">
        <v>2794.0</v>
      </c>
      <c r="J79" s="22">
        <v>467.0</v>
      </c>
      <c r="K79" s="21">
        <f t="shared" ref="K79:P79" si="51">J79</f>
        <v>467</v>
      </c>
      <c r="L79" s="21">
        <f t="shared" si="51"/>
        <v>467</v>
      </c>
      <c r="M79" s="21">
        <f t="shared" si="51"/>
        <v>467</v>
      </c>
      <c r="N79" s="21">
        <f t="shared" si="51"/>
        <v>467</v>
      </c>
      <c r="O79" s="21">
        <f t="shared" si="51"/>
        <v>467</v>
      </c>
      <c r="P79" s="21">
        <f t="shared" si="51"/>
        <v>467</v>
      </c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ht="15.75" customHeight="1">
      <c r="A80" s="18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ht="15.75" customHeight="1">
      <c r="A81" s="18" t="s">
        <v>60</v>
      </c>
      <c r="B81" s="27">
        <f t="shared" ref="B81:P81" si="52">SUM(B82:B91)</f>
        <v>79511</v>
      </c>
      <c r="C81" s="27">
        <f t="shared" si="52"/>
        <v>87980</v>
      </c>
      <c r="D81" s="27">
        <f t="shared" si="52"/>
        <v>79300</v>
      </c>
      <c r="E81" s="27">
        <f t="shared" si="52"/>
        <v>123727</v>
      </c>
      <c r="F81" s="27">
        <f t="shared" si="52"/>
        <v>84406</v>
      </c>
      <c r="G81" s="27">
        <f t="shared" si="52"/>
        <v>180970</v>
      </c>
      <c r="H81" s="27">
        <f t="shared" si="52"/>
        <v>167934</v>
      </c>
      <c r="I81" s="27">
        <f t="shared" si="52"/>
        <v>156692</v>
      </c>
      <c r="J81" s="27">
        <f t="shared" si="52"/>
        <v>226338</v>
      </c>
      <c r="K81" s="27">
        <f t="shared" si="52"/>
        <v>431565.676</v>
      </c>
      <c r="L81" s="27">
        <f t="shared" si="52"/>
        <v>645634.4271</v>
      </c>
      <c r="M81" s="27">
        <f t="shared" si="52"/>
        <v>903028.5407</v>
      </c>
      <c r="N81" s="27">
        <f t="shared" si="52"/>
        <v>1212064.198</v>
      </c>
      <c r="O81" s="27">
        <f t="shared" si="52"/>
        <v>1582502.408</v>
      </c>
      <c r="P81" s="27">
        <f t="shared" si="52"/>
        <v>2025801.724</v>
      </c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ht="15.75" customHeight="1">
      <c r="A82" s="1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</row>
    <row r="83" ht="15.75" customHeight="1">
      <c r="A83" s="16" t="s">
        <v>61</v>
      </c>
      <c r="B83" s="22">
        <v>31326.0</v>
      </c>
      <c r="C83" s="22">
        <v>32637.0</v>
      </c>
      <c r="D83" s="22">
        <v>31602.0</v>
      </c>
      <c r="E83" s="22">
        <v>33226.0</v>
      </c>
      <c r="F83" s="22">
        <v>32139.0</v>
      </c>
      <c r="G83" s="22">
        <v>30490.0</v>
      </c>
      <c r="H83" s="22">
        <v>35323.0</v>
      </c>
      <c r="I83" s="22">
        <v>54435.0</v>
      </c>
      <c r="J83" s="22">
        <v>53181.0</v>
      </c>
      <c r="K83" s="19">
        <f t="shared" ref="K83:P83" si="53">K155</f>
        <v>69824.85122</v>
      </c>
      <c r="L83" s="19">
        <f t="shared" si="53"/>
        <v>81581.42375</v>
      </c>
      <c r="M83" s="19">
        <f t="shared" si="53"/>
        <v>95352.0403</v>
      </c>
      <c r="N83" s="19">
        <f t="shared" si="53"/>
        <v>111485.7642</v>
      </c>
      <c r="O83" s="19">
        <f t="shared" si="53"/>
        <v>130392.619</v>
      </c>
      <c r="P83" s="19">
        <f t="shared" si="53"/>
        <v>152554.2873</v>
      </c>
    </row>
    <row r="84" ht="15.75" customHeight="1">
      <c r="A84" s="16" t="s">
        <v>62</v>
      </c>
      <c r="B84" s="22">
        <v>13234.0</v>
      </c>
      <c r="C84" s="22">
        <v>12026.0</v>
      </c>
      <c r="D84" s="22">
        <v>14654.0</v>
      </c>
      <c r="E84" s="22">
        <v>23128.0</v>
      </c>
      <c r="F84" s="22">
        <v>21298.0</v>
      </c>
      <c r="G84" s="22">
        <v>12799.0</v>
      </c>
      <c r="H84" s="22">
        <v>20345.0</v>
      </c>
      <c r="I84" s="22">
        <v>32848.0</v>
      </c>
      <c r="J84" s="22">
        <v>45968.0</v>
      </c>
      <c r="K84" s="19">
        <f t="shared" ref="K84:P84" si="54">K156</f>
        <v>52368.63842</v>
      </c>
      <c r="L84" s="19">
        <f t="shared" si="54"/>
        <v>61186.06781</v>
      </c>
      <c r="M84" s="19">
        <f t="shared" si="54"/>
        <v>71514.03023</v>
      </c>
      <c r="N84" s="19">
        <f t="shared" si="54"/>
        <v>83614.32315</v>
      </c>
      <c r="O84" s="19">
        <f t="shared" si="54"/>
        <v>97794.46428</v>
      </c>
      <c r="P84" s="19">
        <f t="shared" si="54"/>
        <v>114415.7154</v>
      </c>
    </row>
    <row r="85" ht="15.75" customHeight="1">
      <c r="A85" s="16" t="s">
        <v>63</v>
      </c>
      <c r="B85" s="22">
        <v>507.0</v>
      </c>
      <c r="C85" s="22">
        <v>235.0</v>
      </c>
      <c r="D85" s="22">
        <v>740.0</v>
      </c>
      <c r="E85" s="22">
        <v>1878.0</v>
      </c>
      <c r="F85" s="22">
        <v>290.0</v>
      </c>
      <c r="G85" s="22">
        <v>30471.0</v>
      </c>
      <c r="H85" s="22">
        <v>30422.0</v>
      </c>
      <c r="I85" s="22">
        <v>27485.0</v>
      </c>
      <c r="J85" s="22">
        <v>28274.0</v>
      </c>
      <c r="K85" s="22">
        <f t="shared" ref="K85:P85" si="55">K215</f>
        <v>221688.7359</v>
      </c>
      <c r="L85" s="22">
        <f t="shared" si="55"/>
        <v>400420.0187</v>
      </c>
      <c r="M85" s="22">
        <f t="shared" si="55"/>
        <v>616422.9254</v>
      </c>
      <c r="N85" s="22">
        <f t="shared" si="55"/>
        <v>876964.436</v>
      </c>
      <c r="O85" s="22">
        <f t="shared" si="55"/>
        <v>1190573.125</v>
      </c>
      <c r="P85" s="22">
        <f t="shared" si="55"/>
        <v>1567259.723</v>
      </c>
    </row>
    <row r="86" ht="15.75" customHeight="1">
      <c r="A86" s="16" t="s">
        <v>64</v>
      </c>
      <c r="B86" s="22">
        <v>31.0</v>
      </c>
      <c r="C86" s="22">
        <v>25.0</v>
      </c>
      <c r="D86" s="22">
        <v>30.0</v>
      </c>
      <c r="E86" s="22">
        <v>161.0</v>
      </c>
      <c r="F86" s="22">
        <v>170.0</v>
      </c>
      <c r="G86" s="22">
        <v>230.0</v>
      </c>
      <c r="H86" s="22">
        <v>305.0</v>
      </c>
      <c r="I86" s="22">
        <v>297.0</v>
      </c>
      <c r="J86" s="22">
        <v>327.0</v>
      </c>
      <c r="K86" s="19">
        <f t="shared" ref="K86:P86" si="56">K157</f>
        <v>402.3864385</v>
      </c>
      <c r="L86" s="19">
        <f t="shared" si="56"/>
        <v>470.1371786</v>
      </c>
      <c r="M86" s="19">
        <f t="shared" si="56"/>
        <v>549.4944455</v>
      </c>
      <c r="N86" s="19">
        <f t="shared" si="56"/>
        <v>642.4698201</v>
      </c>
      <c r="O86" s="19">
        <f t="shared" si="56"/>
        <v>751.4261852</v>
      </c>
      <c r="P86" s="19">
        <f t="shared" si="56"/>
        <v>879.1393789</v>
      </c>
    </row>
    <row r="87" ht="15.75" customHeight="1">
      <c r="A87" s="16" t="s">
        <v>65</v>
      </c>
      <c r="B87" s="22">
        <v>16611.0</v>
      </c>
      <c r="C87" s="22">
        <v>15408.0</v>
      </c>
      <c r="D87" s="22">
        <v>13140.0</v>
      </c>
      <c r="E87" s="22">
        <v>5638.0</v>
      </c>
      <c r="F87" s="22">
        <v>7974.0</v>
      </c>
      <c r="G87" s="22">
        <v>9581.0</v>
      </c>
      <c r="H87" s="22">
        <v>14608.0</v>
      </c>
      <c r="I87" s="22">
        <v>15602.0</v>
      </c>
      <c r="J87" s="22">
        <v>25077.0</v>
      </c>
      <c r="K87" s="19">
        <f t="shared" ref="K87:P87" si="57">K158</f>
        <v>34912.42561</v>
      </c>
      <c r="L87" s="19">
        <f t="shared" si="57"/>
        <v>40790.71187</v>
      </c>
      <c r="M87" s="19">
        <f t="shared" si="57"/>
        <v>47676.02015</v>
      </c>
      <c r="N87" s="19">
        <f t="shared" si="57"/>
        <v>55742.8821</v>
      </c>
      <c r="O87" s="19">
        <f t="shared" si="57"/>
        <v>65196.30952</v>
      </c>
      <c r="P87" s="19">
        <f t="shared" si="57"/>
        <v>76277.14363</v>
      </c>
    </row>
    <row r="88" ht="15.75" customHeight="1">
      <c r="A88" s="16" t="s">
        <v>66</v>
      </c>
      <c r="B88" s="22">
        <v>4906.0</v>
      </c>
      <c r="C88" s="22">
        <v>4910.0</v>
      </c>
      <c r="D88" s="22">
        <v>4115.0</v>
      </c>
      <c r="E88" s="22">
        <v>4277.0</v>
      </c>
      <c r="F88" s="22">
        <v>5272.0</v>
      </c>
      <c r="G88" s="22">
        <v>0.0</v>
      </c>
      <c r="H88" s="22">
        <v>0.0</v>
      </c>
      <c r="I88" s="22">
        <v>0.0</v>
      </c>
      <c r="J88" s="22">
        <v>0.0</v>
      </c>
      <c r="K88" s="19">
        <f t="shared" ref="K88:P88" si="58">K159</f>
        <v>0</v>
      </c>
      <c r="L88" s="19">
        <f t="shared" si="58"/>
        <v>0</v>
      </c>
      <c r="M88" s="19">
        <f t="shared" si="58"/>
        <v>0</v>
      </c>
      <c r="N88" s="19">
        <f t="shared" si="58"/>
        <v>0</v>
      </c>
      <c r="O88" s="19">
        <f t="shared" si="58"/>
        <v>0</v>
      </c>
      <c r="P88" s="19">
        <f t="shared" si="58"/>
        <v>0</v>
      </c>
    </row>
    <row r="89" ht="15.75" customHeight="1">
      <c r="A89" s="16" t="s">
        <v>67</v>
      </c>
      <c r="B89" s="22">
        <v>11413.0</v>
      </c>
      <c r="C89" s="22">
        <v>21788.0</v>
      </c>
      <c r="D89" s="22">
        <v>12173.0</v>
      </c>
      <c r="E89" s="22">
        <v>50455.0</v>
      </c>
      <c r="F89" s="22">
        <v>12188.0</v>
      </c>
      <c r="G89" s="22">
        <v>84157.0</v>
      </c>
      <c r="H89" s="22">
        <v>41001.0</v>
      </c>
      <c r="I89" s="22">
        <v>0.0</v>
      </c>
      <c r="J89" s="22">
        <v>39122.0</v>
      </c>
      <c r="K89" s="19">
        <f t="shared" ref="K89:P89" si="59">K160</f>
        <v>52368.63842</v>
      </c>
      <c r="L89" s="19">
        <f t="shared" si="59"/>
        <v>61186.06781</v>
      </c>
      <c r="M89" s="19">
        <f t="shared" si="59"/>
        <v>71514.03023</v>
      </c>
      <c r="N89" s="19">
        <f t="shared" si="59"/>
        <v>83614.32315</v>
      </c>
      <c r="O89" s="19">
        <f t="shared" si="59"/>
        <v>97794.46428</v>
      </c>
      <c r="P89" s="19">
        <f t="shared" si="59"/>
        <v>114415.7154</v>
      </c>
    </row>
    <row r="90" ht="15.75" customHeight="1">
      <c r="A90" s="1" t="s">
        <v>57</v>
      </c>
      <c r="B90" s="22">
        <v>1483.0</v>
      </c>
      <c r="C90" s="22">
        <v>951.0</v>
      </c>
      <c r="D90" s="22">
        <v>2846.0</v>
      </c>
      <c r="E90" s="22">
        <v>4964.0</v>
      </c>
      <c r="F90" s="22">
        <v>5075.0</v>
      </c>
      <c r="G90" s="22">
        <v>13242.0</v>
      </c>
      <c r="H90" s="22">
        <v>25930.0</v>
      </c>
      <c r="I90" s="22">
        <v>26025.0</v>
      </c>
      <c r="J90" s="22">
        <v>34186.0</v>
      </c>
      <c r="K90" s="115"/>
      <c r="L90" s="115"/>
      <c r="M90" s="115"/>
      <c r="N90" s="115"/>
      <c r="O90" s="115"/>
      <c r="P90" s="115"/>
    </row>
    <row r="91" ht="15.75" customHeight="1">
      <c r="A91" s="29" t="s">
        <v>105</v>
      </c>
      <c r="B91" s="22">
        <v>0.0</v>
      </c>
      <c r="C91" s="22">
        <v>0.0</v>
      </c>
      <c r="D91" s="22">
        <v>0.0</v>
      </c>
      <c r="E91" s="22">
        <v>0.0</v>
      </c>
      <c r="F91" s="22">
        <v>0.0</v>
      </c>
      <c r="G91" s="22">
        <v>0.0</v>
      </c>
      <c r="H91" s="22">
        <v>0.0</v>
      </c>
      <c r="I91" s="22">
        <v>0.0</v>
      </c>
      <c r="J91" s="22">
        <v>203.0</v>
      </c>
      <c r="K91" s="115"/>
      <c r="L91" s="115"/>
      <c r="M91" s="115"/>
      <c r="N91" s="115"/>
      <c r="O91" s="115"/>
      <c r="P91" s="115"/>
    </row>
    <row r="92" ht="15.75" customHeight="1">
      <c r="A92" s="8" t="s">
        <v>49</v>
      </c>
      <c r="B92" s="30">
        <f t="shared" ref="B92:P92" si="60">SUM(B68,B81)</f>
        <v>427255</v>
      </c>
      <c r="C92" s="30">
        <f t="shared" si="60"/>
        <v>519605</v>
      </c>
      <c r="D92" s="30">
        <f t="shared" si="60"/>
        <v>602484</v>
      </c>
      <c r="E92" s="30">
        <f t="shared" si="60"/>
        <v>639687</v>
      </c>
      <c r="F92" s="30">
        <f t="shared" si="60"/>
        <v>636277</v>
      </c>
      <c r="G92" s="30">
        <f t="shared" si="60"/>
        <v>713761</v>
      </c>
      <c r="H92" s="30">
        <f t="shared" si="60"/>
        <v>746555</v>
      </c>
      <c r="I92" s="30">
        <f t="shared" si="60"/>
        <v>1003854</v>
      </c>
      <c r="J92" s="30">
        <f t="shared" si="60"/>
        <v>1153508</v>
      </c>
      <c r="K92" s="30">
        <f t="shared" si="60"/>
        <v>1398093.676</v>
      </c>
      <c r="L92" s="30">
        <f t="shared" si="60"/>
        <v>1652962.427</v>
      </c>
      <c r="M92" s="30">
        <f t="shared" si="60"/>
        <v>1951156.541</v>
      </c>
      <c r="N92" s="30">
        <f t="shared" si="60"/>
        <v>2300992.198</v>
      </c>
      <c r="O92" s="30">
        <f t="shared" si="60"/>
        <v>2712230.408</v>
      </c>
      <c r="P92" s="30">
        <f t="shared" si="60"/>
        <v>3196329.724</v>
      </c>
    </row>
    <row r="93" ht="15.75" customHeight="1">
      <c r="A93" s="32" t="s">
        <v>106</v>
      </c>
      <c r="B93" s="33">
        <f t="shared" ref="B93:P93" si="61">B63-B92</f>
        <v>0</v>
      </c>
      <c r="C93" s="33">
        <f t="shared" si="61"/>
        <v>0</v>
      </c>
      <c r="D93" s="33">
        <f t="shared" si="61"/>
        <v>0</v>
      </c>
      <c r="E93" s="33">
        <f t="shared" si="61"/>
        <v>0</v>
      </c>
      <c r="F93" s="33">
        <f t="shared" si="61"/>
        <v>0</v>
      </c>
      <c r="G93" s="33">
        <f t="shared" si="61"/>
        <v>0</v>
      </c>
      <c r="H93" s="33">
        <f t="shared" si="61"/>
        <v>0</v>
      </c>
      <c r="I93" s="33">
        <f t="shared" si="61"/>
        <v>0</v>
      </c>
      <c r="J93" s="33">
        <f t="shared" si="61"/>
        <v>0</v>
      </c>
      <c r="K93" s="33">
        <f t="shared" si="61"/>
        <v>0</v>
      </c>
      <c r="L93" s="33">
        <f t="shared" si="61"/>
        <v>0</v>
      </c>
      <c r="M93" s="33">
        <f t="shared" si="61"/>
        <v>0.0000000002328306437</v>
      </c>
      <c r="N93" s="33">
        <f t="shared" si="61"/>
        <v>0</v>
      </c>
      <c r="O93" s="33">
        <f t="shared" si="61"/>
        <v>0.0000000004656612873</v>
      </c>
      <c r="P93" s="33">
        <f t="shared" si="61"/>
        <v>0</v>
      </c>
    </row>
    <row r="94" ht="15.75" customHeight="1">
      <c r="A94" s="5"/>
      <c r="B94" s="22"/>
      <c r="C94" s="22"/>
      <c r="D94" s="22"/>
      <c r="E94" s="22"/>
      <c r="F94" s="22"/>
      <c r="G94" s="22"/>
      <c r="H94" s="22"/>
      <c r="I94" s="22"/>
      <c r="J94" s="22"/>
    </row>
    <row r="95" ht="15.75" customHeight="1">
      <c r="A95" s="5" t="s">
        <v>68</v>
      </c>
      <c r="B95" s="22">
        <v>1500000.0</v>
      </c>
      <c r="C95" s="22">
        <v>1550000.0</v>
      </c>
      <c r="D95" s="22">
        <v>1560000.0</v>
      </c>
      <c r="E95" s="22">
        <v>1580000.0</v>
      </c>
      <c r="F95" s="22">
        <v>2000000.0</v>
      </c>
      <c r="G95" s="22">
        <v>2250000.0</v>
      </c>
      <c r="H95" s="22">
        <v>2250000.0</v>
      </c>
      <c r="I95" s="22">
        <v>2250000.0</v>
      </c>
      <c r="J95" s="22">
        <v>2250000.0</v>
      </c>
      <c r="K95" s="19">
        <f t="shared" ref="K95:P95" si="62">J95+K96</f>
        <v>2550000</v>
      </c>
      <c r="L95" s="19">
        <f t="shared" si="62"/>
        <v>2850000</v>
      </c>
      <c r="M95" s="19">
        <f t="shared" si="62"/>
        <v>3150000</v>
      </c>
      <c r="N95" s="19">
        <f t="shared" si="62"/>
        <v>3450000</v>
      </c>
      <c r="O95" s="19">
        <f t="shared" si="62"/>
        <v>3750000</v>
      </c>
      <c r="P95" s="19">
        <f t="shared" si="62"/>
        <v>4050000</v>
      </c>
    </row>
    <row r="96" ht="15.75" customHeight="1">
      <c r="A96" s="5" t="s">
        <v>69</v>
      </c>
      <c r="C96" s="19">
        <f t="shared" ref="C96:J96" si="63">C95-B95</f>
        <v>50000</v>
      </c>
      <c r="D96" s="19">
        <f t="shared" si="63"/>
        <v>10000</v>
      </c>
      <c r="E96" s="19">
        <f t="shared" si="63"/>
        <v>20000</v>
      </c>
      <c r="F96" s="19">
        <f t="shared" si="63"/>
        <v>420000</v>
      </c>
      <c r="G96" s="19">
        <f t="shared" si="63"/>
        <v>250000</v>
      </c>
      <c r="H96" s="19">
        <f t="shared" si="63"/>
        <v>0</v>
      </c>
      <c r="I96" s="19">
        <f t="shared" si="63"/>
        <v>0</v>
      </c>
      <c r="J96" s="19">
        <f t="shared" si="63"/>
        <v>0</v>
      </c>
      <c r="K96" s="20">
        <v>300000.0</v>
      </c>
      <c r="L96" s="116">
        <f t="shared" ref="L96:P96" si="64">K96</f>
        <v>300000</v>
      </c>
      <c r="M96" s="116">
        <f t="shared" si="64"/>
        <v>300000</v>
      </c>
      <c r="N96" s="116">
        <f t="shared" si="64"/>
        <v>300000</v>
      </c>
      <c r="O96" s="116">
        <f t="shared" si="64"/>
        <v>300000</v>
      </c>
      <c r="P96" s="116">
        <f t="shared" si="64"/>
        <v>300000</v>
      </c>
      <c r="Q96" s="19"/>
    </row>
    <row r="97" ht="15.75" customHeight="1">
      <c r="A97" s="5"/>
    </row>
    <row r="98" ht="15.75" customHeight="1">
      <c r="A98" s="5" t="s">
        <v>70</v>
      </c>
      <c r="B98" s="22">
        <v>1305351.0</v>
      </c>
      <c r="C98" s="22">
        <v>1444541.0</v>
      </c>
      <c r="D98" s="22">
        <v>1653500.0</v>
      </c>
      <c r="E98" s="22">
        <v>1753700.0</v>
      </c>
      <c r="F98" s="22">
        <v>1461126.0</v>
      </c>
      <c r="G98" s="22">
        <v>1361722.0</v>
      </c>
      <c r="H98" s="22">
        <v>1414277.0</v>
      </c>
      <c r="I98" s="22">
        <v>1706831.0</v>
      </c>
      <c r="J98" s="22">
        <v>1852256.0</v>
      </c>
      <c r="K98" s="114"/>
      <c r="L98" s="114"/>
      <c r="M98" s="114"/>
      <c r="N98" s="114"/>
      <c r="O98" s="114"/>
      <c r="P98" s="114"/>
    </row>
    <row r="99" ht="15.75" customHeight="1">
      <c r="A99" s="15" t="s">
        <v>181</v>
      </c>
      <c r="B99" s="22">
        <v>123897.0</v>
      </c>
      <c r="C99" s="22">
        <v>124062.0</v>
      </c>
      <c r="D99" s="22">
        <v>126074.0</v>
      </c>
      <c r="E99" s="22">
        <v>108749.0</v>
      </c>
      <c r="F99" s="22">
        <v>102171.0</v>
      </c>
      <c r="G99" s="22">
        <v>96139.0</v>
      </c>
      <c r="H99" s="22">
        <v>238376.0</v>
      </c>
      <c r="I99" s="22">
        <v>259333.0</v>
      </c>
      <c r="J99" s="22">
        <v>283067.0</v>
      </c>
      <c r="K99" s="114"/>
      <c r="L99" s="114"/>
      <c r="M99" s="114"/>
      <c r="N99" s="114"/>
      <c r="O99" s="114"/>
      <c r="P99" s="114"/>
    </row>
    <row r="100" ht="15.75" customHeight="1">
      <c r="A100" s="17" t="s">
        <v>49</v>
      </c>
      <c r="B100" s="27">
        <f t="shared" ref="B100:J100" si="65">SUM(B98:B99)</f>
        <v>1429248</v>
      </c>
      <c r="C100" s="27">
        <f t="shared" si="65"/>
        <v>1568603</v>
      </c>
      <c r="D100" s="27">
        <f t="shared" si="65"/>
        <v>1779574</v>
      </c>
      <c r="E100" s="27">
        <f t="shared" si="65"/>
        <v>1862449</v>
      </c>
      <c r="F100" s="27">
        <f t="shared" si="65"/>
        <v>1563297</v>
      </c>
      <c r="G100" s="27">
        <f t="shared" si="65"/>
        <v>1457861</v>
      </c>
      <c r="H100" s="27">
        <f t="shared" si="65"/>
        <v>1652653</v>
      </c>
      <c r="I100" s="27">
        <f t="shared" si="65"/>
        <v>1966164</v>
      </c>
      <c r="J100" s="27">
        <f t="shared" si="65"/>
        <v>2135323</v>
      </c>
      <c r="K100" s="52">
        <f t="shared" ref="K100:P100" si="66">K111*K118</f>
        <v>2388726.764</v>
      </c>
      <c r="L100" s="52">
        <f t="shared" si="66"/>
        <v>2537202.039</v>
      </c>
      <c r="M100" s="52">
        <f t="shared" si="66"/>
        <v>2695883.226</v>
      </c>
      <c r="N100" s="52">
        <f t="shared" si="66"/>
        <v>2865482.868</v>
      </c>
      <c r="O100" s="52">
        <f t="shared" si="66"/>
        <v>3046763.362</v>
      </c>
      <c r="P100" s="52">
        <f t="shared" si="66"/>
        <v>3240540.458</v>
      </c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ht="15.75" customHeight="1">
      <c r="A101" s="5"/>
    </row>
    <row r="102" ht="15.75" customHeight="1">
      <c r="A102" s="5" t="s">
        <v>72</v>
      </c>
      <c r="B102" s="35">
        <f t="shared" ref="B102:P102" si="67">B100/B95</f>
        <v>0.952832</v>
      </c>
      <c r="C102" s="35">
        <f t="shared" si="67"/>
        <v>1.012001935</v>
      </c>
      <c r="D102" s="35">
        <f t="shared" si="67"/>
        <v>1.140752564</v>
      </c>
      <c r="E102" s="35">
        <f t="shared" si="67"/>
        <v>1.17876519</v>
      </c>
      <c r="F102" s="35">
        <f t="shared" si="67"/>
        <v>0.7816485</v>
      </c>
      <c r="G102" s="35">
        <f t="shared" si="67"/>
        <v>0.6479382222</v>
      </c>
      <c r="H102" s="35">
        <f t="shared" si="67"/>
        <v>0.7345124444</v>
      </c>
      <c r="I102" s="35">
        <f t="shared" si="67"/>
        <v>0.8738506667</v>
      </c>
      <c r="J102" s="35">
        <f t="shared" si="67"/>
        <v>0.9490324444</v>
      </c>
      <c r="K102" s="35">
        <f t="shared" si="67"/>
        <v>0.9367555938</v>
      </c>
      <c r="L102" s="35">
        <f t="shared" si="67"/>
        <v>0.8902463294</v>
      </c>
      <c r="M102" s="35">
        <f t="shared" si="67"/>
        <v>0.8558359449</v>
      </c>
      <c r="N102" s="35">
        <f t="shared" si="67"/>
        <v>0.8305747443</v>
      </c>
      <c r="O102" s="35">
        <f t="shared" si="67"/>
        <v>0.8124702299</v>
      </c>
      <c r="P102" s="35">
        <f t="shared" si="67"/>
        <v>0.8001334464</v>
      </c>
    </row>
    <row r="103" ht="15.75" customHeight="1">
      <c r="A103" s="5"/>
      <c r="L103" s="117"/>
    </row>
    <row r="104" ht="15.75" customHeight="1">
      <c r="A104" s="5" t="s">
        <v>73</v>
      </c>
      <c r="C104" s="35">
        <f t="shared" ref="C104:J104" si="68">C98/B98-1</f>
        <v>0.106630324</v>
      </c>
      <c r="D104" s="35">
        <f t="shared" si="68"/>
        <v>0.1446542535</v>
      </c>
      <c r="E104" s="35">
        <f t="shared" si="68"/>
        <v>0.06059872997</v>
      </c>
      <c r="F104" s="35">
        <f t="shared" si="68"/>
        <v>-0.1668324115</v>
      </c>
      <c r="G104" s="35">
        <f t="shared" si="68"/>
        <v>-0.06803246263</v>
      </c>
      <c r="H104" s="35">
        <f t="shared" si="68"/>
        <v>0.03859451489</v>
      </c>
      <c r="I104" s="35">
        <f t="shared" si="68"/>
        <v>0.2068576382</v>
      </c>
      <c r="J104" s="35">
        <f t="shared" si="68"/>
        <v>0.08520175694</v>
      </c>
    </row>
    <row r="105" ht="15.75" customHeight="1">
      <c r="A105" s="5" t="s">
        <v>74</v>
      </c>
      <c r="C105" s="35">
        <f t="shared" ref="C105:J105" si="69">C99/B99-1</f>
        <v>0.001331751374</v>
      </c>
      <c r="D105" s="35">
        <f t="shared" si="69"/>
        <v>0.0162176976</v>
      </c>
      <c r="E105" s="35">
        <f t="shared" si="69"/>
        <v>-0.1374192934</v>
      </c>
      <c r="F105" s="35">
        <f t="shared" si="69"/>
        <v>-0.06048791253</v>
      </c>
      <c r="G105" s="35">
        <f t="shared" si="69"/>
        <v>-0.05903827896</v>
      </c>
      <c r="H105" s="35">
        <f t="shared" si="69"/>
        <v>1.479493234</v>
      </c>
      <c r="I105" s="35">
        <f t="shared" si="69"/>
        <v>0.08791572977</v>
      </c>
      <c r="J105" s="35">
        <f t="shared" si="69"/>
        <v>0.09151939784</v>
      </c>
    </row>
    <row r="106" ht="15.75" customHeight="1">
      <c r="A106" s="17" t="s">
        <v>75</v>
      </c>
      <c r="B106" s="34"/>
      <c r="C106" s="36">
        <f t="shared" ref="C106:J106" si="70">C100/B100-1</f>
        <v>0.0975023229</v>
      </c>
      <c r="D106" s="36">
        <f t="shared" si="70"/>
        <v>0.134496109</v>
      </c>
      <c r="E106" s="36">
        <f t="shared" si="70"/>
        <v>0.0465701342</v>
      </c>
      <c r="F106" s="36">
        <f t="shared" si="70"/>
        <v>-0.1606229218</v>
      </c>
      <c r="G106" s="36">
        <f t="shared" si="70"/>
        <v>-0.06744463784</v>
      </c>
      <c r="H106" s="36">
        <f t="shared" si="70"/>
        <v>0.1336149331</v>
      </c>
      <c r="I106" s="36">
        <f t="shared" si="70"/>
        <v>0.1897016494</v>
      </c>
      <c r="J106" s="36">
        <f t="shared" si="70"/>
        <v>0.08603504082</v>
      </c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ht="15.75" customHeight="1">
      <c r="A107" s="5"/>
    </row>
    <row r="108" ht="15.75" customHeight="1">
      <c r="A108" s="17" t="s">
        <v>76</v>
      </c>
    </row>
    <row r="109" ht="15.75" customHeight="1">
      <c r="A109" s="5" t="s">
        <v>77</v>
      </c>
      <c r="B109" s="22">
        <v>2789208.0</v>
      </c>
      <c r="C109" s="22">
        <v>3047582.0</v>
      </c>
      <c r="D109" s="22">
        <v>3288581.0</v>
      </c>
      <c r="E109" s="22">
        <v>3377389.0</v>
      </c>
      <c r="F109" s="22">
        <v>2773519.0</v>
      </c>
      <c r="G109" s="22">
        <v>2711457.0</v>
      </c>
      <c r="H109" s="22">
        <v>3069523.0</v>
      </c>
      <c r="I109" s="22">
        <v>3890114.0</v>
      </c>
      <c r="J109" s="22">
        <v>4218746.0</v>
      </c>
      <c r="K109" s="19">
        <f t="shared" ref="K109:P109" si="71">J109*(1+K112)</f>
        <v>4514058.22</v>
      </c>
      <c r="L109" s="19">
        <f t="shared" si="71"/>
        <v>4830042.295</v>
      </c>
      <c r="M109" s="19">
        <f t="shared" si="71"/>
        <v>5168145.256</v>
      </c>
      <c r="N109" s="19">
        <f t="shared" si="71"/>
        <v>5529915.424</v>
      </c>
      <c r="O109" s="19">
        <f t="shared" si="71"/>
        <v>5917009.504</v>
      </c>
      <c r="P109" s="19">
        <f t="shared" si="71"/>
        <v>6331200.169</v>
      </c>
    </row>
    <row r="110" ht="15.75" customHeight="1">
      <c r="A110" s="5" t="s">
        <v>71</v>
      </c>
      <c r="B110" s="22">
        <v>653053.0</v>
      </c>
      <c r="C110" s="22">
        <v>758727.0</v>
      </c>
      <c r="D110" s="22">
        <v>748366.0</v>
      </c>
      <c r="E110" s="22">
        <v>676192.0</v>
      </c>
      <c r="F110" s="22">
        <v>662118.0</v>
      </c>
      <c r="G110" s="22">
        <v>404397.0</v>
      </c>
      <c r="H110" s="22">
        <v>577875.0</v>
      </c>
      <c r="I110" s="22">
        <v>662891.0</v>
      </c>
      <c r="J110" s="22">
        <v>672105.0</v>
      </c>
      <c r="K110" s="19">
        <f t="shared" ref="K110:P110" si="72">J110*(1+K113)</f>
        <v>678826.05</v>
      </c>
      <c r="L110" s="19">
        <f t="shared" si="72"/>
        <v>685614.3105</v>
      </c>
      <c r="M110" s="19">
        <f t="shared" si="72"/>
        <v>692470.4536</v>
      </c>
      <c r="N110" s="19">
        <f t="shared" si="72"/>
        <v>699395.1581</v>
      </c>
      <c r="O110" s="19">
        <f t="shared" si="72"/>
        <v>706389.1097</v>
      </c>
      <c r="P110" s="19">
        <f t="shared" si="72"/>
        <v>713453.0008</v>
      </c>
    </row>
    <row r="111" ht="15.75" customHeight="1">
      <c r="A111" s="17" t="s">
        <v>49</v>
      </c>
      <c r="B111" s="27">
        <f t="shared" ref="B111:P111" si="73">SUM(B109:B110)</f>
        <v>3442261</v>
      </c>
      <c r="C111" s="27">
        <f t="shared" si="73"/>
        <v>3806309</v>
      </c>
      <c r="D111" s="27">
        <f t="shared" si="73"/>
        <v>4036947</v>
      </c>
      <c r="E111" s="27">
        <f t="shared" si="73"/>
        <v>4053581</v>
      </c>
      <c r="F111" s="27">
        <f t="shared" si="73"/>
        <v>3435637</v>
      </c>
      <c r="G111" s="27">
        <f t="shared" si="73"/>
        <v>3115854</v>
      </c>
      <c r="H111" s="27">
        <f t="shared" si="73"/>
        <v>3647398</v>
      </c>
      <c r="I111" s="27">
        <f t="shared" si="73"/>
        <v>4553005</v>
      </c>
      <c r="J111" s="27">
        <f t="shared" si="73"/>
        <v>4890851</v>
      </c>
      <c r="K111" s="27">
        <f t="shared" si="73"/>
        <v>5192884.27</v>
      </c>
      <c r="L111" s="27">
        <f t="shared" si="73"/>
        <v>5515656.606</v>
      </c>
      <c r="M111" s="27">
        <f t="shared" si="73"/>
        <v>5860615.71</v>
      </c>
      <c r="N111" s="27">
        <f t="shared" si="73"/>
        <v>6229310.582</v>
      </c>
      <c r="O111" s="27">
        <f t="shared" si="73"/>
        <v>6623398.613</v>
      </c>
      <c r="P111" s="27">
        <f t="shared" si="73"/>
        <v>7044653.17</v>
      </c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ht="15.75" customHeight="1">
      <c r="A112" s="5" t="s">
        <v>78</v>
      </c>
      <c r="C112" s="35">
        <f t="shared" ref="C112:J112" si="74">C109/B109-1</f>
        <v>0.09263346441</v>
      </c>
      <c r="D112" s="35">
        <f t="shared" si="74"/>
        <v>0.07907875818</v>
      </c>
      <c r="E112" s="35">
        <f t="shared" si="74"/>
        <v>0.0270049605</v>
      </c>
      <c r="F112" s="35">
        <f t="shared" si="74"/>
        <v>-0.178797882</v>
      </c>
      <c r="G112" s="35">
        <f t="shared" si="74"/>
        <v>-0.02237662695</v>
      </c>
      <c r="H112" s="35">
        <f t="shared" si="74"/>
        <v>0.1320566765</v>
      </c>
      <c r="I112" s="35">
        <f t="shared" si="74"/>
        <v>0.2673350224</v>
      </c>
      <c r="J112" s="35">
        <f t="shared" si="74"/>
        <v>0.08447875821</v>
      </c>
      <c r="K112" s="37">
        <v>0.07</v>
      </c>
      <c r="L112" s="38">
        <f t="shared" ref="L112:P112" si="75">K112</f>
        <v>0.07</v>
      </c>
      <c r="M112" s="38">
        <f t="shared" si="75"/>
        <v>0.07</v>
      </c>
      <c r="N112" s="38">
        <f t="shared" si="75"/>
        <v>0.07</v>
      </c>
      <c r="O112" s="38">
        <f t="shared" si="75"/>
        <v>0.07</v>
      </c>
      <c r="P112" s="38">
        <f t="shared" si="75"/>
        <v>0.07</v>
      </c>
    </row>
    <row r="113" ht="15.75" customHeight="1">
      <c r="A113" s="5" t="s">
        <v>79</v>
      </c>
      <c r="C113" s="35">
        <f t="shared" ref="C113:J113" si="76">C110/B110-1</f>
        <v>0.1618153504</v>
      </c>
      <c r="D113" s="35">
        <f t="shared" si="76"/>
        <v>-0.01365576815</v>
      </c>
      <c r="E113" s="35">
        <f t="shared" si="76"/>
        <v>-0.09644211522</v>
      </c>
      <c r="F113" s="35">
        <f t="shared" si="76"/>
        <v>-0.02081361507</v>
      </c>
      <c r="G113" s="35">
        <f t="shared" si="76"/>
        <v>-0.3892372659</v>
      </c>
      <c r="H113" s="35">
        <f t="shared" si="76"/>
        <v>0.4289794435</v>
      </c>
      <c r="I113" s="35">
        <f t="shared" si="76"/>
        <v>0.1471183214</v>
      </c>
      <c r="J113" s="35">
        <f t="shared" si="76"/>
        <v>0.01389972107</v>
      </c>
      <c r="K113" s="37">
        <v>0.01</v>
      </c>
      <c r="L113" s="38">
        <f t="shared" ref="L113:P113" si="77">K113</f>
        <v>0.01</v>
      </c>
      <c r="M113" s="38">
        <f t="shared" si="77"/>
        <v>0.01</v>
      </c>
      <c r="N113" s="38">
        <f t="shared" si="77"/>
        <v>0.01</v>
      </c>
      <c r="O113" s="38">
        <f t="shared" si="77"/>
        <v>0.01</v>
      </c>
      <c r="P113" s="38">
        <f t="shared" si="77"/>
        <v>0.01</v>
      </c>
    </row>
    <row r="114" ht="15.75" customHeight="1">
      <c r="A114" s="5"/>
    </row>
    <row r="115" ht="15.75" customHeight="1">
      <c r="A115" s="17" t="s">
        <v>80</v>
      </c>
    </row>
    <row r="116" ht="15.75" customHeight="1">
      <c r="A116" s="5" t="s">
        <v>70</v>
      </c>
      <c r="B116" s="35">
        <f t="shared" ref="B116:J116" si="78">B98/B109</f>
        <v>0.4680005937</v>
      </c>
      <c r="C116" s="35">
        <f t="shared" si="78"/>
        <v>0.4739957776</v>
      </c>
      <c r="D116" s="35">
        <f t="shared" si="78"/>
        <v>0.502800448</v>
      </c>
      <c r="E116" s="35">
        <f t="shared" si="78"/>
        <v>0.5192472647</v>
      </c>
      <c r="F116" s="35">
        <f t="shared" si="78"/>
        <v>0.5268130487</v>
      </c>
      <c r="G116" s="35">
        <f t="shared" si="78"/>
        <v>0.5022104352</v>
      </c>
      <c r="H116" s="35">
        <f t="shared" si="78"/>
        <v>0.4607481358</v>
      </c>
      <c r="I116" s="35">
        <f t="shared" si="78"/>
        <v>0.4387611777</v>
      </c>
      <c r="J116" s="35">
        <f t="shared" si="78"/>
        <v>0.4390536904</v>
      </c>
    </row>
    <row r="117" ht="15.75" customHeight="1">
      <c r="A117" s="5" t="s">
        <v>71</v>
      </c>
      <c r="B117" s="35">
        <f t="shared" ref="B117:J117" si="79">B99/B110</f>
        <v>0.1897196705</v>
      </c>
      <c r="C117" s="35">
        <f t="shared" si="79"/>
        <v>0.1635133586</v>
      </c>
      <c r="D117" s="35">
        <f t="shared" si="79"/>
        <v>0.1684656973</v>
      </c>
      <c r="E117" s="35">
        <f t="shared" si="79"/>
        <v>0.1608256235</v>
      </c>
      <c r="F117" s="35">
        <f t="shared" si="79"/>
        <v>0.1543093527</v>
      </c>
      <c r="G117" s="35">
        <f t="shared" si="79"/>
        <v>0.2377342067</v>
      </c>
      <c r="H117" s="35">
        <f t="shared" si="79"/>
        <v>0.4125044343</v>
      </c>
      <c r="I117" s="35">
        <f t="shared" si="79"/>
        <v>0.391215147</v>
      </c>
      <c r="J117" s="35">
        <f t="shared" si="79"/>
        <v>0.4211648478</v>
      </c>
    </row>
    <row r="118" ht="15.75" customHeight="1">
      <c r="A118" s="17" t="s">
        <v>81</v>
      </c>
      <c r="B118" s="36">
        <f t="shared" ref="B118:J118" si="80">B100/B111</f>
        <v>0.4152061683</v>
      </c>
      <c r="C118" s="36">
        <f t="shared" si="80"/>
        <v>0.4121060587</v>
      </c>
      <c r="D118" s="36">
        <f t="shared" si="80"/>
        <v>0.4408217398</v>
      </c>
      <c r="E118" s="36">
        <f t="shared" si="80"/>
        <v>0.4594576993</v>
      </c>
      <c r="F118" s="36">
        <f t="shared" si="80"/>
        <v>0.4550239155</v>
      </c>
      <c r="G118" s="36">
        <f t="shared" si="80"/>
        <v>0.4678848881</v>
      </c>
      <c r="H118" s="36">
        <f t="shared" si="80"/>
        <v>0.4531046516</v>
      </c>
      <c r="I118" s="36">
        <f t="shared" si="80"/>
        <v>0.4318387526</v>
      </c>
      <c r="J118" s="36">
        <f t="shared" si="80"/>
        <v>0.43659539</v>
      </c>
      <c r="K118" s="118">
        <v>0.46</v>
      </c>
      <c r="L118" s="119">
        <f t="shared" ref="L118:P118" si="81">K118</f>
        <v>0.46</v>
      </c>
      <c r="M118" s="119">
        <f t="shared" si="81"/>
        <v>0.46</v>
      </c>
      <c r="N118" s="119">
        <f t="shared" si="81"/>
        <v>0.46</v>
      </c>
      <c r="O118" s="119">
        <f t="shared" si="81"/>
        <v>0.46</v>
      </c>
      <c r="P118" s="119">
        <f t="shared" si="81"/>
        <v>0.46</v>
      </c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ht="15.75" customHeight="1">
      <c r="A119" s="5"/>
    </row>
    <row r="120" ht="15.75" customHeight="1">
      <c r="A120" s="5" t="s">
        <v>82</v>
      </c>
      <c r="B120" s="19">
        <f t="shared" ref="B120:J120" si="82">(B3/B100)*10^6</f>
        <v>399241.4193</v>
      </c>
      <c r="C120" s="19">
        <f t="shared" si="82"/>
        <v>434048.6407</v>
      </c>
      <c r="D120" s="19">
        <f t="shared" si="82"/>
        <v>448474.7473</v>
      </c>
      <c r="E120" s="19">
        <f t="shared" si="82"/>
        <v>462125.4059</v>
      </c>
      <c r="F120" s="19">
        <f t="shared" si="82"/>
        <v>483977.1329</v>
      </c>
      <c r="G120" s="19">
        <f t="shared" si="82"/>
        <v>482707.1991</v>
      </c>
      <c r="H120" s="19">
        <f t="shared" si="82"/>
        <v>534472.7538</v>
      </c>
      <c r="I120" s="19">
        <f t="shared" si="82"/>
        <v>602238.1653</v>
      </c>
      <c r="J120" s="19">
        <f t="shared" si="82"/>
        <v>664340.711</v>
      </c>
      <c r="K120" s="19">
        <f t="shared" ref="K120:P120" si="83">J120*(1+K121)</f>
        <v>730774.7821</v>
      </c>
      <c r="L120" s="19">
        <f t="shared" si="83"/>
        <v>803852.2603</v>
      </c>
      <c r="M120" s="19">
        <f t="shared" si="83"/>
        <v>884237.4863</v>
      </c>
      <c r="N120" s="19">
        <f t="shared" si="83"/>
        <v>972661.235</v>
      </c>
      <c r="O120" s="19">
        <f t="shared" si="83"/>
        <v>1069927.358</v>
      </c>
      <c r="P120" s="19">
        <f t="shared" si="83"/>
        <v>1176920.094</v>
      </c>
    </row>
    <row r="121" ht="15.75" customHeight="1">
      <c r="A121" s="5" t="s">
        <v>83</v>
      </c>
      <c r="C121" s="35">
        <f t="shared" ref="C121:J121" si="84">C120/B120-1</f>
        <v>0.08718339278</v>
      </c>
      <c r="D121" s="35">
        <f t="shared" si="84"/>
        <v>0.03323615199</v>
      </c>
      <c r="E121" s="35">
        <f t="shared" si="84"/>
        <v>0.03043796469</v>
      </c>
      <c r="F121" s="35">
        <f t="shared" si="84"/>
        <v>0.04728527542</v>
      </c>
      <c r="G121" s="35">
        <f t="shared" si="84"/>
        <v>-0.002623954209</v>
      </c>
      <c r="H121" s="35">
        <f t="shared" si="84"/>
        <v>0.1072400718</v>
      </c>
      <c r="I121" s="35">
        <f t="shared" si="84"/>
        <v>0.1267892722</v>
      </c>
      <c r="J121" s="35">
        <f t="shared" si="84"/>
        <v>0.1031195784</v>
      </c>
      <c r="K121" s="37">
        <v>0.1</v>
      </c>
      <c r="L121" s="38">
        <f t="shared" ref="L121:P121" si="85">K121</f>
        <v>0.1</v>
      </c>
      <c r="M121" s="38">
        <f t="shared" si="85"/>
        <v>0.1</v>
      </c>
      <c r="N121" s="38">
        <f t="shared" si="85"/>
        <v>0.1</v>
      </c>
      <c r="O121" s="38">
        <f t="shared" si="85"/>
        <v>0.1</v>
      </c>
      <c r="P121" s="38">
        <f t="shared" si="85"/>
        <v>0.1</v>
      </c>
    </row>
    <row r="122" ht="15.75" customHeight="1">
      <c r="A122" s="5"/>
    </row>
    <row r="123" ht="15.75" customHeight="1">
      <c r="A123" s="17" t="s">
        <v>84</v>
      </c>
    </row>
    <row r="124" ht="15.75" customHeight="1">
      <c r="A124" s="5"/>
    </row>
    <row r="125" ht="15.75" customHeight="1">
      <c r="A125" s="1" t="s">
        <v>5</v>
      </c>
      <c r="B125" s="35">
        <f t="shared" ref="B125:J125" si="86">B9/B$3</f>
        <v>0.6344154991</v>
      </c>
      <c r="C125" s="35">
        <f t="shared" si="86"/>
        <v>0.6260982595</v>
      </c>
      <c r="D125" s="35">
        <f t="shared" si="86"/>
        <v>0.5631316612</v>
      </c>
      <c r="E125" s="35">
        <f t="shared" si="86"/>
        <v>0.5231379657</v>
      </c>
      <c r="F125" s="35">
        <f t="shared" si="86"/>
        <v>0.4577689664</v>
      </c>
      <c r="G125" s="35">
        <f t="shared" si="86"/>
        <v>0.4731484113</v>
      </c>
      <c r="H125" s="35">
        <f t="shared" si="86"/>
        <v>0.4499002602</v>
      </c>
      <c r="I125" s="35">
        <f t="shared" si="86"/>
        <v>0.6194769187</v>
      </c>
      <c r="J125" s="35">
        <f t="shared" si="86"/>
        <v>0.5562970628</v>
      </c>
      <c r="K125" s="37">
        <v>0.6</v>
      </c>
      <c r="L125" s="38">
        <f t="shared" ref="L125:P125" si="87">K125</f>
        <v>0.6</v>
      </c>
      <c r="M125" s="38">
        <f t="shared" si="87"/>
        <v>0.6</v>
      </c>
      <c r="N125" s="38">
        <f t="shared" si="87"/>
        <v>0.6</v>
      </c>
      <c r="O125" s="38">
        <f t="shared" si="87"/>
        <v>0.6</v>
      </c>
      <c r="P125" s="38">
        <f t="shared" si="87"/>
        <v>0.6</v>
      </c>
    </row>
    <row r="126" ht="15.75" customHeight="1">
      <c r="A126" s="1" t="s">
        <v>6</v>
      </c>
      <c r="B126" s="35">
        <f t="shared" ref="B126:J126" si="88">B10/B$3</f>
        <v>0.05558038257</v>
      </c>
      <c r="C126" s="35">
        <f t="shared" si="88"/>
        <v>0.06599985312</v>
      </c>
      <c r="D126" s="35">
        <f t="shared" si="88"/>
        <v>0.1253248364</v>
      </c>
      <c r="E126" s="35">
        <f t="shared" si="88"/>
        <v>0.1663895618</v>
      </c>
      <c r="F126" s="35">
        <f t="shared" si="88"/>
        <v>0.2480465239</v>
      </c>
      <c r="G126" s="35">
        <f t="shared" si="88"/>
        <v>0.2451841642</v>
      </c>
      <c r="H126" s="35">
        <f t="shared" si="88"/>
        <v>0.2988515767</v>
      </c>
      <c r="I126" s="35">
        <f t="shared" si="88"/>
        <v>0.1073786905</v>
      </c>
      <c r="J126" s="35">
        <f t="shared" si="88"/>
        <v>0.1494746162</v>
      </c>
      <c r="K126" s="37">
        <v>0.08</v>
      </c>
      <c r="L126" s="38">
        <f t="shared" ref="L126:P126" si="89">K126</f>
        <v>0.08</v>
      </c>
      <c r="M126" s="38">
        <f t="shared" si="89"/>
        <v>0.08</v>
      </c>
      <c r="N126" s="38">
        <f t="shared" si="89"/>
        <v>0.08</v>
      </c>
      <c r="O126" s="38">
        <f t="shared" si="89"/>
        <v>0.08</v>
      </c>
      <c r="P126" s="38">
        <f t="shared" si="89"/>
        <v>0.08</v>
      </c>
    </row>
    <row r="127" ht="15.75" customHeight="1">
      <c r="A127" s="1" t="s">
        <v>8</v>
      </c>
      <c r="B127" s="35">
        <f t="shared" ref="B127:J127" si="90">B11/B$3</f>
        <v>0.0001104071922</v>
      </c>
      <c r="C127" s="35">
        <f t="shared" si="90"/>
        <v>-0.005570977455</v>
      </c>
      <c r="D127" s="35">
        <f t="shared" si="90"/>
        <v>0.0005112179768</v>
      </c>
      <c r="E127" s="35">
        <f t="shared" si="90"/>
        <v>0.002458506887</v>
      </c>
      <c r="F127" s="35">
        <f t="shared" si="90"/>
        <v>-0.003154903516</v>
      </c>
      <c r="G127" s="35">
        <f t="shared" si="90"/>
        <v>0.003887909964</v>
      </c>
      <c r="H127" s="35">
        <f t="shared" si="90"/>
        <v>-0.001054004424</v>
      </c>
      <c r="I127" s="35">
        <f t="shared" si="90"/>
        <v>-0.004902461703</v>
      </c>
      <c r="J127" s="35">
        <f t="shared" si="90"/>
        <v>-0.002668862286</v>
      </c>
      <c r="K127" s="38">
        <f t="shared" ref="K127:P127" si="91">J127</f>
        <v>-0.002668862286</v>
      </c>
      <c r="L127" s="38">
        <f t="shared" si="91"/>
        <v>-0.002668862286</v>
      </c>
      <c r="M127" s="38">
        <f t="shared" si="91"/>
        <v>-0.002668862286</v>
      </c>
      <c r="N127" s="38">
        <f t="shared" si="91"/>
        <v>-0.002668862286</v>
      </c>
      <c r="O127" s="38">
        <f t="shared" si="91"/>
        <v>-0.002668862286</v>
      </c>
      <c r="P127" s="38">
        <f t="shared" si="91"/>
        <v>-0.002668862286</v>
      </c>
    </row>
    <row r="128" ht="15.75" customHeight="1">
      <c r="A128" s="1" t="s">
        <v>10</v>
      </c>
      <c r="B128" s="35">
        <f t="shared" ref="B128:J128" si="92">B12/B$3</f>
        <v>0.03610490436</v>
      </c>
      <c r="C128" s="35">
        <f t="shared" si="92"/>
        <v>0.03466696042</v>
      </c>
      <c r="D128" s="35">
        <f t="shared" si="92"/>
        <v>0.03587797929</v>
      </c>
      <c r="E128" s="35">
        <f t="shared" si="92"/>
        <v>0.03816727374</v>
      </c>
      <c r="F128" s="35">
        <f t="shared" si="92"/>
        <v>0.04515199577</v>
      </c>
      <c r="G128" s="35">
        <f t="shared" si="92"/>
        <v>0.04876371284</v>
      </c>
      <c r="H128" s="35">
        <f t="shared" si="92"/>
        <v>0.04586674033</v>
      </c>
      <c r="I128" s="35">
        <f t="shared" si="92"/>
        <v>0.04483155547</v>
      </c>
      <c r="J128" s="35">
        <f t="shared" si="92"/>
        <v>0.04442182405</v>
      </c>
      <c r="K128" s="37">
        <v>0.04</v>
      </c>
      <c r="L128" s="38">
        <f t="shared" ref="L128:P128" si="93">K128</f>
        <v>0.04</v>
      </c>
      <c r="M128" s="38">
        <f t="shared" si="93"/>
        <v>0.04</v>
      </c>
      <c r="N128" s="38">
        <f t="shared" si="93"/>
        <v>0.04</v>
      </c>
      <c r="O128" s="38">
        <f t="shared" si="93"/>
        <v>0.04</v>
      </c>
      <c r="P128" s="38">
        <f t="shared" si="93"/>
        <v>0.04</v>
      </c>
    </row>
    <row r="129" ht="15.75" customHeight="1">
      <c r="A129" s="1" t="s">
        <v>12</v>
      </c>
      <c r="B129" s="35">
        <f t="shared" ref="B129:J129" si="94">B13/B$3</f>
        <v>0.1422097211</v>
      </c>
      <c r="C129" s="35">
        <f t="shared" si="94"/>
        <v>0.1281927003</v>
      </c>
      <c r="D129" s="35">
        <f t="shared" si="94"/>
        <v>0.1252433924</v>
      </c>
      <c r="E129" s="35">
        <f t="shared" si="94"/>
        <v>0.1434229712</v>
      </c>
      <c r="F129" s="35">
        <f t="shared" si="94"/>
        <v>0.1571451229</v>
      </c>
      <c r="G129" s="35">
        <f t="shared" si="94"/>
        <v>0.1540030126</v>
      </c>
      <c r="H129" s="35">
        <f t="shared" si="94"/>
        <v>0.1434702671</v>
      </c>
      <c r="I129" s="35">
        <f t="shared" si="94"/>
        <v>0.123951629</v>
      </c>
      <c r="J129" s="35">
        <f t="shared" si="94"/>
        <v>0.1237157951</v>
      </c>
      <c r="K129" s="38">
        <f t="shared" ref="K129:P129" si="95">J129</f>
        <v>0.1237157951</v>
      </c>
      <c r="L129" s="38">
        <f t="shared" si="95"/>
        <v>0.1237157951</v>
      </c>
      <c r="M129" s="38">
        <f t="shared" si="95"/>
        <v>0.1237157951</v>
      </c>
      <c r="N129" s="38">
        <f t="shared" si="95"/>
        <v>0.1237157951</v>
      </c>
      <c r="O129" s="38">
        <f t="shared" si="95"/>
        <v>0.1237157951</v>
      </c>
      <c r="P129" s="38">
        <f t="shared" si="95"/>
        <v>0.1237157951</v>
      </c>
    </row>
    <row r="130" ht="15.75" customHeight="1">
      <c r="A130" s="1" t="s">
        <v>85</v>
      </c>
      <c r="B130" s="35">
        <f t="shared" ref="B130:J130" si="96">B14/B$3</f>
        <v>-0.001055002059</v>
      </c>
      <c r="C130" s="35">
        <f t="shared" si="96"/>
        <v>-0.001521627378</v>
      </c>
      <c r="D130" s="35">
        <f t="shared" si="96"/>
        <v>-0.00124170837</v>
      </c>
      <c r="E130" s="35">
        <f t="shared" si="96"/>
        <v>-0.001418637481</v>
      </c>
      <c r="F130" s="35">
        <f t="shared" si="96"/>
        <v>-0.001608511763</v>
      </c>
      <c r="G130" s="35">
        <f t="shared" si="96"/>
        <v>-0.001034502359</v>
      </c>
      <c r="H130" s="35">
        <f t="shared" si="96"/>
        <v>-0.001635914493</v>
      </c>
      <c r="I130" s="35">
        <f t="shared" si="96"/>
        <v>-0.001321680028</v>
      </c>
      <c r="J130" s="35">
        <f t="shared" si="96"/>
        <v>-0.001837750655</v>
      </c>
      <c r="K130" s="38">
        <f t="shared" ref="K130:P130" si="97">J130</f>
        <v>-0.001837750655</v>
      </c>
      <c r="L130" s="38">
        <f t="shared" si="97"/>
        <v>-0.001837750655</v>
      </c>
      <c r="M130" s="38">
        <f t="shared" si="97"/>
        <v>-0.001837750655</v>
      </c>
      <c r="N130" s="38">
        <f t="shared" si="97"/>
        <v>-0.001837750655</v>
      </c>
      <c r="O130" s="38">
        <f t="shared" si="97"/>
        <v>-0.001837750655</v>
      </c>
      <c r="P130" s="38">
        <f t="shared" si="97"/>
        <v>-0.001837750655</v>
      </c>
    </row>
    <row r="131" ht="15.75" customHeight="1">
      <c r="A131" s="5"/>
    </row>
    <row r="132" ht="15.75" hidden="1" customHeight="1">
      <c r="A132" s="5"/>
    </row>
    <row r="133" ht="15.75" hidden="1" customHeight="1">
      <c r="A133" s="18" t="s">
        <v>86</v>
      </c>
    </row>
    <row r="134" ht="15.75" hidden="1" customHeight="1">
      <c r="A134" s="5"/>
    </row>
    <row r="135" ht="15.75" hidden="1" customHeight="1">
      <c r="A135" s="1" t="s">
        <v>5</v>
      </c>
    </row>
    <row r="136" ht="15.75" hidden="1" customHeight="1">
      <c r="A136" s="1" t="s">
        <v>6</v>
      </c>
    </row>
    <row r="137" ht="15.75" hidden="1" customHeight="1">
      <c r="A137" s="1" t="s">
        <v>8</v>
      </c>
    </row>
    <row r="138" ht="15.75" hidden="1" customHeight="1">
      <c r="A138" s="1" t="s">
        <v>10</v>
      </c>
    </row>
    <row r="139" ht="15.75" hidden="1" customHeight="1">
      <c r="A139" s="1" t="s">
        <v>12</v>
      </c>
    </row>
    <row r="140" ht="15.75" hidden="1" customHeight="1">
      <c r="A140" s="1" t="s">
        <v>85</v>
      </c>
    </row>
    <row r="141" ht="15.75" hidden="1" customHeight="1">
      <c r="A141" s="5"/>
    </row>
    <row r="142" ht="15.75" hidden="1" customHeight="1">
      <c r="A142" s="1" t="s">
        <v>83</v>
      </c>
    </row>
    <row r="143" ht="15.75" hidden="1" customHeight="1">
      <c r="A143" s="1" t="s">
        <v>5</v>
      </c>
    </row>
    <row r="144" ht="15.75" hidden="1" customHeight="1">
      <c r="A144" s="1" t="s">
        <v>6</v>
      </c>
    </row>
    <row r="145" ht="15.75" hidden="1" customHeight="1">
      <c r="A145" s="1" t="s">
        <v>8</v>
      </c>
    </row>
    <row r="146" ht="15.75" hidden="1" customHeight="1">
      <c r="A146" s="1" t="s">
        <v>10</v>
      </c>
    </row>
    <row r="147" ht="15.75" hidden="1" customHeight="1">
      <c r="A147" s="1" t="s">
        <v>12</v>
      </c>
    </row>
    <row r="148" ht="15.75" hidden="1" customHeight="1">
      <c r="A148" s="1" t="s">
        <v>85</v>
      </c>
    </row>
    <row r="149" ht="15.75" hidden="1" customHeight="1">
      <c r="A149" s="5"/>
    </row>
    <row r="150" ht="15.75" hidden="1" customHeight="1">
      <c r="A150" s="5"/>
    </row>
    <row r="151" ht="15.75" hidden="1" customHeight="1">
      <c r="A151" s="5"/>
    </row>
    <row r="152" ht="15.75" customHeight="1">
      <c r="A152" s="18" t="s">
        <v>87</v>
      </c>
    </row>
    <row r="153" ht="15.75" customHeight="1">
      <c r="A153" s="5"/>
    </row>
    <row r="154" ht="15.75" customHeight="1">
      <c r="A154" s="17" t="s">
        <v>60</v>
      </c>
      <c r="B154" s="27">
        <f t="shared" ref="B154:P154" si="98">SUM(B155:B160)</f>
        <v>79004</v>
      </c>
      <c r="C154" s="27">
        <f t="shared" si="98"/>
        <v>87745</v>
      </c>
      <c r="D154" s="27">
        <f t="shared" si="98"/>
        <v>78560</v>
      </c>
      <c r="E154" s="27">
        <f t="shared" si="98"/>
        <v>121849</v>
      </c>
      <c r="F154" s="27">
        <f t="shared" si="98"/>
        <v>84116</v>
      </c>
      <c r="G154" s="27">
        <f t="shared" si="98"/>
        <v>150499</v>
      </c>
      <c r="H154" s="27">
        <f t="shared" si="98"/>
        <v>137512</v>
      </c>
      <c r="I154" s="27">
        <f t="shared" si="98"/>
        <v>129207</v>
      </c>
      <c r="J154" s="27">
        <f t="shared" si="98"/>
        <v>198064</v>
      </c>
      <c r="K154" s="27">
        <f t="shared" si="98"/>
        <v>209876.9401</v>
      </c>
      <c r="L154" s="27">
        <f t="shared" si="98"/>
        <v>245214.4084</v>
      </c>
      <c r="M154" s="27">
        <f t="shared" si="98"/>
        <v>286605.6154</v>
      </c>
      <c r="N154" s="27">
        <f t="shared" si="98"/>
        <v>335099.7624</v>
      </c>
      <c r="O154" s="27">
        <f t="shared" si="98"/>
        <v>391929.2833</v>
      </c>
      <c r="P154" s="27">
        <f t="shared" si="98"/>
        <v>458542.0012</v>
      </c>
    </row>
    <row r="155" ht="15.75" customHeight="1">
      <c r="A155" s="16" t="s">
        <v>61</v>
      </c>
      <c r="B155" s="19">
        <f t="shared" ref="B155:J155" si="99">B83</f>
        <v>31326</v>
      </c>
      <c r="C155" s="19">
        <f t="shared" si="99"/>
        <v>32637</v>
      </c>
      <c r="D155" s="19">
        <f t="shared" si="99"/>
        <v>31602</v>
      </c>
      <c r="E155" s="19">
        <f t="shared" si="99"/>
        <v>33226</v>
      </c>
      <c r="F155" s="19">
        <f t="shared" si="99"/>
        <v>32139</v>
      </c>
      <c r="G155" s="19">
        <f t="shared" si="99"/>
        <v>30490</v>
      </c>
      <c r="H155" s="19">
        <f t="shared" si="99"/>
        <v>35323</v>
      </c>
      <c r="I155" s="19">
        <f t="shared" si="99"/>
        <v>54435</v>
      </c>
      <c r="J155" s="19">
        <f t="shared" si="99"/>
        <v>53181</v>
      </c>
      <c r="K155" s="19">
        <f t="shared" ref="K155:P155" si="100">K$170*K174</f>
        <v>69824.85122</v>
      </c>
      <c r="L155" s="19">
        <f t="shared" si="100"/>
        <v>81581.42375</v>
      </c>
      <c r="M155" s="19">
        <f t="shared" si="100"/>
        <v>95352.0403</v>
      </c>
      <c r="N155" s="19">
        <f t="shared" si="100"/>
        <v>111485.7642</v>
      </c>
      <c r="O155" s="19">
        <f t="shared" si="100"/>
        <v>130392.619</v>
      </c>
      <c r="P155" s="19">
        <f t="shared" si="100"/>
        <v>152554.2873</v>
      </c>
    </row>
    <row r="156" ht="15.75" customHeight="1">
      <c r="A156" s="16" t="s">
        <v>62</v>
      </c>
      <c r="B156" s="19">
        <f t="shared" ref="B156:J156" si="101">B84</f>
        <v>13234</v>
      </c>
      <c r="C156" s="19">
        <f t="shared" si="101"/>
        <v>12026</v>
      </c>
      <c r="D156" s="19">
        <f t="shared" si="101"/>
        <v>14654</v>
      </c>
      <c r="E156" s="19">
        <f t="shared" si="101"/>
        <v>23128</v>
      </c>
      <c r="F156" s="19">
        <f t="shared" si="101"/>
        <v>21298</v>
      </c>
      <c r="G156" s="19">
        <f t="shared" si="101"/>
        <v>12799</v>
      </c>
      <c r="H156" s="19">
        <f t="shared" si="101"/>
        <v>20345</v>
      </c>
      <c r="I156" s="19">
        <f t="shared" si="101"/>
        <v>32848</v>
      </c>
      <c r="J156" s="19">
        <f t="shared" si="101"/>
        <v>45968</v>
      </c>
      <c r="K156" s="19">
        <f t="shared" ref="K156:P156" si="102">K$170*K175</f>
        <v>52368.63842</v>
      </c>
      <c r="L156" s="19">
        <f t="shared" si="102"/>
        <v>61186.06781</v>
      </c>
      <c r="M156" s="19">
        <f t="shared" si="102"/>
        <v>71514.03023</v>
      </c>
      <c r="N156" s="19">
        <f t="shared" si="102"/>
        <v>83614.32315</v>
      </c>
      <c r="O156" s="19">
        <f t="shared" si="102"/>
        <v>97794.46428</v>
      </c>
      <c r="P156" s="19">
        <f t="shared" si="102"/>
        <v>114415.7154</v>
      </c>
    </row>
    <row r="157" ht="15.75" customHeight="1">
      <c r="A157" s="16" t="s">
        <v>64</v>
      </c>
      <c r="B157" s="19">
        <f t="shared" ref="B157:J157" si="103">B86</f>
        <v>31</v>
      </c>
      <c r="C157" s="19">
        <f t="shared" si="103"/>
        <v>25</v>
      </c>
      <c r="D157" s="19">
        <f t="shared" si="103"/>
        <v>30</v>
      </c>
      <c r="E157" s="19">
        <f t="shared" si="103"/>
        <v>161</v>
      </c>
      <c r="F157" s="19">
        <f t="shared" si="103"/>
        <v>170</v>
      </c>
      <c r="G157" s="19">
        <f t="shared" si="103"/>
        <v>230</v>
      </c>
      <c r="H157" s="19">
        <f t="shared" si="103"/>
        <v>305</v>
      </c>
      <c r="I157" s="19">
        <f t="shared" si="103"/>
        <v>297</v>
      </c>
      <c r="J157" s="19">
        <f t="shared" si="103"/>
        <v>327</v>
      </c>
      <c r="K157" s="19">
        <f t="shared" ref="K157:P157" si="104">K$170*K176</f>
        <v>402.3864385</v>
      </c>
      <c r="L157" s="19">
        <f t="shared" si="104"/>
        <v>470.1371786</v>
      </c>
      <c r="M157" s="19">
        <f t="shared" si="104"/>
        <v>549.4944455</v>
      </c>
      <c r="N157" s="19">
        <f t="shared" si="104"/>
        <v>642.4698201</v>
      </c>
      <c r="O157" s="19">
        <f t="shared" si="104"/>
        <v>751.4261852</v>
      </c>
      <c r="P157" s="19">
        <f t="shared" si="104"/>
        <v>879.1393789</v>
      </c>
    </row>
    <row r="158" ht="15.75" customHeight="1">
      <c r="A158" s="16" t="s">
        <v>65</v>
      </c>
      <c r="B158" s="19">
        <f t="shared" ref="B158:J158" si="105">B87</f>
        <v>16611</v>
      </c>
      <c r="C158" s="19">
        <f t="shared" si="105"/>
        <v>15408</v>
      </c>
      <c r="D158" s="19">
        <f t="shared" si="105"/>
        <v>13140</v>
      </c>
      <c r="E158" s="19">
        <f t="shared" si="105"/>
        <v>5638</v>
      </c>
      <c r="F158" s="19">
        <f t="shared" si="105"/>
        <v>7974</v>
      </c>
      <c r="G158" s="19">
        <f t="shared" si="105"/>
        <v>9581</v>
      </c>
      <c r="H158" s="19">
        <f t="shared" si="105"/>
        <v>14608</v>
      </c>
      <c r="I158" s="19">
        <f t="shared" si="105"/>
        <v>15602</v>
      </c>
      <c r="J158" s="19">
        <f t="shared" si="105"/>
        <v>25077</v>
      </c>
      <c r="K158" s="19">
        <f t="shared" ref="K158:P158" si="106">K$170*K177</f>
        <v>34912.42561</v>
      </c>
      <c r="L158" s="19">
        <f t="shared" si="106"/>
        <v>40790.71187</v>
      </c>
      <c r="M158" s="19">
        <f t="shared" si="106"/>
        <v>47676.02015</v>
      </c>
      <c r="N158" s="19">
        <f t="shared" si="106"/>
        <v>55742.8821</v>
      </c>
      <c r="O158" s="19">
        <f t="shared" si="106"/>
        <v>65196.30952</v>
      </c>
      <c r="P158" s="19">
        <f t="shared" si="106"/>
        <v>76277.14363</v>
      </c>
    </row>
    <row r="159" ht="15.75" customHeight="1">
      <c r="A159" s="16" t="s">
        <v>66</v>
      </c>
      <c r="B159" s="19">
        <f t="shared" ref="B159:J159" si="107">B88</f>
        <v>4906</v>
      </c>
      <c r="C159" s="19">
        <f t="shared" si="107"/>
        <v>4910</v>
      </c>
      <c r="D159" s="19">
        <f t="shared" si="107"/>
        <v>4115</v>
      </c>
      <c r="E159" s="19">
        <f t="shared" si="107"/>
        <v>4277</v>
      </c>
      <c r="F159" s="19">
        <f t="shared" si="107"/>
        <v>5272</v>
      </c>
      <c r="G159" s="19">
        <f t="shared" si="107"/>
        <v>0</v>
      </c>
      <c r="H159" s="19">
        <f t="shared" si="107"/>
        <v>0</v>
      </c>
      <c r="I159" s="19">
        <f t="shared" si="107"/>
        <v>0</v>
      </c>
      <c r="J159" s="19">
        <f t="shared" si="107"/>
        <v>0</v>
      </c>
      <c r="K159" s="19">
        <f t="shared" ref="K159:P159" si="108">K$170*K178</f>
        <v>0</v>
      </c>
      <c r="L159" s="19">
        <f t="shared" si="108"/>
        <v>0</v>
      </c>
      <c r="M159" s="19">
        <f t="shared" si="108"/>
        <v>0</v>
      </c>
      <c r="N159" s="19">
        <f t="shared" si="108"/>
        <v>0</v>
      </c>
      <c r="O159" s="19">
        <f t="shared" si="108"/>
        <v>0</v>
      </c>
      <c r="P159" s="19">
        <f t="shared" si="108"/>
        <v>0</v>
      </c>
    </row>
    <row r="160" ht="15.75" customHeight="1">
      <c r="A160" s="1" t="s">
        <v>57</v>
      </c>
      <c r="B160" s="19">
        <f t="shared" ref="B160:J160" si="109">B89+B90+B91</f>
        <v>12896</v>
      </c>
      <c r="C160" s="19">
        <f t="shared" si="109"/>
        <v>22739</v>
      </c>
      <c r="D160" s="19">
        <f t="shared" si="109"/>
        <v>15019</v>
      </c>
      <c r="E160" s="19">
        <f t="shared" si="109"/>
        <v>55419</v>
      </c>
      <c r="F160" s="19">
        <f t="shared" si="109"/>
        <v>17263</v>
      </c>
      <c r="G160" s="19">
        <f t="shared" si="109"/>
        <v>97399</v>
      </c>
      <c r="H160" s="19">
        <f t="shared" si="109"/>
        <v>66931</v>
      </c>
      <c r="I160" s="19">
        <f t="shared" si="109"/>
        <v>26025</v>
      </c>
      <c r="J160" s="19">
        <f t="shared" si="109"/>
        <v>73511</v>
      </c>
      <c r="K160" s="19">
        <f t="shared" ref="K160:P160" si="110">K$170*K179</f>
        <v>52368.63842</v>
      </c>
      <c r="L160" s="19">
        <f t="shared" si="110"/>
        <v>61186.06781</v>
      </c>
      <c r="M160" s="19">
        <f t="shared" si="110"/>
        <v>71514.03023</v>
      </c>
      <c r="N160" s="19">
        <f t="shared" si="110"/>
        <v>83614.32315</v>
      </c>
      <c r="O160" s="19">
        <f t="shared" si="110"/>
        <v>97794.46428</v>
      </c>
      <c r="P160" s="19">
        <f t="shared" si="110"/>
        <v>114415.7154</v>
      </c>
    </row>
    <row r="161" ht="15.75" customHeight="1">
      <c r="A161" s="5"/>
    </row>
    <row r="162" ht="15.75" customHeight="1">
      <c r="A162" s="17" t="s">
        <v>42</v>
      </c>
      <c r="B162" s="27">
        <f t="shared" ref="B162:P162" si="111">SUM(B163:B168)</f>
        <v>110441</v>
      </c>
      <c r="C162" s="27">
        <f t="shared" si="111"/>
        <v>132368</v>
      </c>
      <c r="D162" s="27">
        <f t="shared" si="111"/>
        <v>154485</v>
      </c>
      <c r="E162" s="27">
        <f t="shared" si="111"/>
        <v>141605</v>
      </c>
      <c r="F162" s="27">
        <f t="shared" si="111"/>
        <v>113054</v>
      </c>
      <c r="G162" s="27">
        <f t="shared" si="111"/>
        <v>162139</v>
      </c>
      <c r="H162" s="27">
        <f t="shared" si="111"/>
        <v>170235</v>
      </c>
      <c r="I162" s="27">
        <f t="shared" si="111"/>
        <v>227667</v>
      </c>
      <c r="J162" s="27">
        <f t="shared" si="111"/>
        <v>259518</v>
      </c>
      <c r="K162" s="27">
        <f t="shared" si="111"/>
        <v>333413.6646</v>
      </c>
      <c r="L162" s="27">
        <f t="shared" si="111"/>
        <v>389551.2984</v>
      </c>
      <c r="M162" s="27">
        <f t="shared" si="111"/>
        <v>455305.9924</v>
      </c>
      <c r="N162" s="27">
        <f t="shared" si="111"/>
        <v>532344.524</v>
      </c>
      <c r="O162" s="27">
        <f t="shared" si="111"/>
        <v>622624.7559</v>
      </c>
      <c r="P162" s="27">
        <f t="shared" si="111"/>
        <v>728446.7217</v>
      </c>
    </row>
    <row r="163" ht="15.75" customHeight="1">
      <c r="A163" s="1" t="s">
        <v>43</v>
      </c>
      <c r="B163" s="120">
        <f t="shared" ref="B163:J163" si="112">B56</f>
        <v>7956</v>
      </c>
      <c r="C163" s="120">
        <f t="shared" si="112"/>
        <v>8036</v>
      </c>
      <c r="D163" s="120">
        <f t="shared" si="112"/>
        <v>8541</v>
      </c>
      <c r="E163" s="120">
        <f t="shared" si="112"/>
        <v>6729</v>
      </c>
      <c r="F163" s="120">
        <f t="shared" si="112"/>
        <v>6962</v>
      </c>
      <c r="G163" s="120">
        <f t="shared" si="112"/>
        <v>8547</v>
      </c>
      <c r="H163" s="120">
        <f t="shared" si="112"/>
        <v>11113</v>
      </c>
      <c r="I163" s="120">
        <f t="shared" si="112"/>
        <v>11584</v>
      </c>
      <c r="J163" s="120">
        <f t="shared" si="112"/>
        <v>12030</v>
      </c>
      <c r="K163" s="19">
        <f t="shared" ref="K163:P163" si="113">K$170*K182</f>
        <v>17456.21281</v>
      </c>
      <c r="L163" s="19">
        <f t="shared" si="113"/>
        <v>20395.35594</v>
      </c>
      <c r="M163" s="19">
        <f t="shared" si="113"/>
        <v>23838.01008</v>
      </c>
      <c r="N163" s="19">
        <f t="shared" si="113"/>
        <v>27871.44105</v>
      </c>
      <c r="O163" s="19">
        <f t="shared" si="113"/>
        <v>32598.15476</v>
      </c>
      <c r="P163" s="19">
        <f t="shared" si="113"/>
        <v>38138.57181</v>
      </c>
    </row>
    <row r="164" ht="15.75" customHeight="1">
      <c r="A164" s="1" t="s">
        <v>44</v>
      </c>
      <c r="B164" s="120">
        <f t="shared" ref="B164:J164" si="114">B57</f>
        <v>774</v>
      </c>
      <c r="C164" s="120">
        <f t="shared" si="114"/>
        <v>4838</v>
      </c>
      <c r="D164" s="120">
        <f t="shared" si="114"/>
        <v>1108</v>
      </c>
      <c r="E164" s="120">
        <f t="shared" si="114"/>
        <v>1496</v>
      </c>
      <c r="F164" s="120">
        <f t="shared" si="114"/>
        <v>1063</v>
      </c>
      <c r="G164" s="120">
        <f t="shared" si="114"/>
        <v>4962</v>
      </c>
      <c r="H164" s="120">
        <f t="shared" si="114"/>
        <v>3819</v>
      </c>
      <c r="I164" s="120">
        <f t="shared" si="114"/>
        <v>12226</v>
      </c>
      <c r="J164" s="120">
        <f t="shared" si="114"/>
        <v>509</v>
      </c>
      <c r="K164" s="19">
        <f t="shared" ref="K164:P164" si="115">K$170*K183</f>
        <v>1745.621281</v>
      </c>
      <c r="L164" s="19">
        <f t="shared" si="115"/>
        <v>2039.535594</v>
      </c>
      <c r="M164" s="19">
        <f t="shared" si="115"/>
        <v>2383.801008</v>
      </c>
      <c r="N164" s="19">
        <f t="shared" si="115"/>
        <v>2787.144105</v>
      </c>
      <c r="O164" s="19">
        <f t="shared" si="115"/>
        <v>3259.815476</v>
      </c>
      <c r="P164" s="19">
        <f t="shared" si="115"/>
        <v>3813.857181</v>
      </c>
    </row>
    <row r="165" ht="15.75" customHeight="1">
      <c r="A165" s="1" t="s">
        <v>45</v>
      </c>
      <c r="B165" s="120">
        <f t="shared" ref="B165:J165" si="116">B58+B59</f>
        <v>74089</v>
      </c>
      <c r="C165" s="120">
        <f t="shared" si="116"/>
        <v>83692</v>
      </c>
      <c r="D165" s="120">
        <f t="shared" si="116"/>
        <v>104993</v>
      </c>
      <c r="E165" s="120">
        <f t="shared" si="116"/>
        <v>96377</v>
      </c>
      <c r="F165" s="120">
        <f t="shared" si="116"/>
        <v>75091</v>
      </c>
      <c r="G165" s="120">
        <f t="shared" si="116"/>
        <v>101681</v>
      </c>
      <c r="H165" s="120">
        <f t="shared" si="116"/>
        <v>97732</v>
      </c>
      <c r="I165" s="120">
        <f t="shared" si="116"/>
        <v>136755</v>
      </c>
      <c r="J165" s="120">
        <f t="shared" si="116"/>
        <v>169884</v>
      </c>
      <c r="K165" s="19">
        <f t="shared" ref="K165:P165" si="117">K$170*K184</f>
        <v>209474.5537</v>
      </c>
      <c r="L165" s="19">
        <f t="shared" si="117"/>
        <v>244744.2712</v>
      </c>
      <c r="M165" s="19">
        <f t="shared" si="117"/>
        <v>286056.1209</v>
      </c>
      <c r="N165" s="19">
        <f t="shared" si="117"/>
        <v>334457.2926</v>
      </c>
      <c r="O165" s="19">
        <f t="shared" si="117"/>
        <v>391177.8571</v>
      </c>
      <c r="P165" s="19">
        <f t="shared" si="117"/>
        <v>457662.8618</v>
      </c>
    </row>
    <row r="166" ht="15.75" customHeight="1">
      <c r="A166" s="1" t="s">
        <v>46</v>
      </c>
      <c r="B166" s="120">
        <f t="shared" ref="B166:J166" si="118">B60</f>
        <v>11650</v>
      </c>
      <c r="C166" s="120">
        <f t="shared" si="118"/>
        <v>18278</v>
      </c>
      <c r="D166" s="120">
        <f t="shared" si="118"/>
        <v>20896</v>
      </c>
      <c r="E166" s="120">
        <f t="shared" si="118"/>
        <v>16329</v>
      </c>
      <c r="F166" s="120">
        <f t="shared" si="118"/>
        <v>14091</v>
      </c>
      <c r="G166" s="120">
        <f t="shared" si="118"/>
        <v>26801</v>
      </c>
      <c r="H166" s="120">
        <f t="shared" si="118"/>
        <v>28686</v>
      </c>
      <c r="I166" s="120">
        <f t="shared" si="118"/>
        <v>33372</v>
      </c>
      <c r="J166" s="120">
        <f t="shared" si="118"/>
        <v>41739</v>
      </c>
      <c r="K166" s="19">
        <f t="shared" ref="K166:P166" si="119">K$170*K185</f>
        <v>52368.63842</v>
      </c>
      <c r="L166" s="19">
        <f t="shared" si="119"/>
        <v>61186.06781</v>
      </c>
      <c r="M166" s="19">
        <f t="shared" si="119"/>
        <v>71514.03023</v>
      </c>
      <c r="N166" s="19">
        <f t="shared" si="119"/>
        <v>83614.32315</v>
      </c>
      <c r="O166" s="19">
        <f t="shared" si="119"/>
        <v>97794.46428</v>
      </c>
      <c r="P166" s="19">
        <f t="shared" si="119"/>
        <v>114415.7154</v>
      </c>
    </row>
    <row r="167" ht="15.75" customHeight="1">
      <c r="A167" s="1" t="s">
        <v>47</v>
      </c>
      <c r="B167" s="120">
        <f t="shared" ref="B167:J167" si="120">B61</f>
        <v>3994</v>
      </c>
      <c r="C167" s="120">
        <f t="shared" si="120"/>
        <v>4496</v>
      </c>
      <c r="D167" s="120">
        <f t="shared" si="120"/>
        <v>5609</v>
      </c>
      <c r="E167" s="120">
        <f t="shared" si="120"/>
        <v>6254</v>
      </c>
      <c r="F167" s="120">
        <f t="shared" si="120"/>
        <v>6807</v>
      </c>
      <c r="G167" s="120">
        <f t="shared" si="120"/>
        <v>7428</v>
      </c>
      <c r="H167" s="120">
        <f t="shared" si="120"/>
        <v>8613</v>
      </c>
      <c r="I167" s="120">
        <f t="shared" si="120"/>
        <v>10830</v>
      </c>
      <c r="J167" s="120">
        <f t="shared" si="120"/>
        <v>13119</v>
      </c>
      <c r="K167" s="19">
        <f t="shared" ref="K167:P167" si="121">K$170*K186</f>
        <v>17456.21281</v>
      </c>
      <c r="L167" s="19">
        <f t="shared" si="121"/>
        <v>20395.35594</v>
      </c>
      <c r="M167" s="19">
        <f t="shared" si="121"/>
        <v>23838.01008</v>
      </c>
      <c r="N167" s="19">
        <f t="shared" si="121"/>
        <v>27871.44105</v>
      </c>
      <c r="O167" s="19">
        <f t="shared" si="121"/>
        <v>32598.15476</v>
      </c>
      <c r="P167" s="19">
        <f t="shared" si="121"/>
        <v>38138.57181</v>
      </c>
    </row>
    <row r="168" ht="15.75" customHeight="1">
      <c r="A168" s="1" t="s">
        <v>48</v>
      </c>
      <c r="B168" s="120">
        <f t="shared" ref="B168:J168" si="122">B62</f>
        <v>11978</v>
      </c>
      <c r="C168" s="120">
        <f t="shared" si="122"/>
        <v>13028</v>
      </c>
      <c r="D168" s="120">
        <f t="shared" si="122"/>
        <v>13338</v>
      </c>
      <c r="E168" s="120">
        <f t="shared" si="122"/>
        <v>14420</v>
      </c>
      <c r="F168" s="120">
        <f t="shared" si="122"/>
        <v>9040</v>
      </c>
      <c r="G168" s="120">
        <f t="shared" si="122"/>
        <v>12720</v>
      </c>
      <c r="H168" s="120">
        <f t="shared" si="122"/>
        <v>20272</v>
      </c>
      <c r="I168" s="120">
        <f t="shared" si="122"/>
        <v>22900</v>
      </c>
      <c r="J168" s="120">
        <f t="shared" si="122"/>
        <v>22237</v>
      </c>
      <c r="K168" s="19">
        <f t="shared" ref="K168:P168" si="123">K$170*K187</f>
        <v>34912.42561</v>
      </c>
      <c r="L168" s="19">
        <f t="shared" si="123"/>
        <v>40790.71187</v>
      </c>
      <c r="M168" s="19">
        <f t="shared" si="123"/>
        <v>47676.02015</v>
      </c>
      <c r="N168" s="19">
        <f t="shared" si="123"/>
        <v>55742.8821</v>
      </c>
      <c r="O168" s="19">
        <f t="shared" si="123"/>
        <v>65196.30952</v>
      </c>
      <c r="P168" s="19">
        <f t="shared" si="123"/>
        <v>76277.14363</v>
      </c>
    </row>
    <row r="169" ht="15.75" customHeight="1">
      <c r="A169" s="5"/>
    </row>
    <row r="170" ht="15.75" customHeight="1">
      <c r="A170" s="18" t="s">
        <v>88</v>
      </c>
      <c r="B170" s="27">
        <f t="shared" ref="B170:P170" si="124">B3</f>
        <v>570615</v>
      </c>
      <c r="C170" s="27">
        <f t="shared" si="124"/>
        <v>680850</v>
      </c>
      <c r="D170" s="27">
        <f t="shared" si="124"/>
        <v>798094</v>
      </c>
      <c r="E170" s="27">
        <f t="shared" si="124"/>
        <v>860685</v>
      </c>
      <c r="F170" s="27">
        <f t="shared" si="124"/>
        <v>756600</v>
      </c>
      <c r="G170" s="27">
        <f t="shared" si="124"/>
        <v>703720</v>
      </c>
      <c r="H170" s="27">
        <f t="shared" si="124"/>
        <v>883298</v>
      </c>
      <c r="I170" s="27">
        <f t="shared" si="124"/>
        <v>1184099</v>
      </c>
      <c r="J170" s="27">
        <f t="shared" si="124"/>
        <v>1418582</v>
      </c>
      <c r="K170" s="27">
        <f t="shared" si="124"/>
        <v>1745621.281</v>
      </c>
      <c r="L170" s="27">
        <f t="shared" si="124"/>
        <v>2039535.594</v>
      </c>
      <c r="M170" s="27">
        <f t="shared" si="124"/>
        <v>2383801.008</v>
      </c>
      <c r="N170" s="27">
        <f t="shared" si="124"/>
        <v>2787144.105</v>
      </c>
      <c r="O170" s="27">
        <f t="shared" si="124"/>
        <v>3259815.476</v>
      </c>
      <c r="P170" s="27">
        <f t="shared" si="124"/>
        <v>3813857.181</v>
      </c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ht="15.75" customHeight="1">
      <c r="A171" s="5"/>
    </row>
    <row r="172" ht="15.75" customHeight="1">
      <c r="A172" s="18" t="s">
        <v>89</v>
      </c>
    </row>
    <row r="173" ht="15.75" customHeight="1">
      <c r="A173" s="17" t="s">
        <v>60</v>
      </c>
      <c r="B173" s="36"/>
      <c r="C173" s="36"/>
      <c r="D173" s="36"/>
      <c r="E173" s="36"/>
      <c r="F173" s="36"/>
      <c r="G173" s="36"/>
      <c r="H173" s="36"/>
      <c r="I173" s="36"/>
      <c r="J173" s="36"/>
      <c r="K173" s="36">
        <f>average(F174:J174)</f>
        <v>0.04185109842</v>
      </c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ht="15.75" customHeight="1">
      <c r="A174" s="16" t="s">
        <v>61</v>
      </c>
      <c r="B174" s="35">
        <f t="shared" ref="B174:J174" si="125">B155/B$170</f>
        <v>0.05489866197</v>
      </c>
      <c r="C174" s="35">
        <f t="shared" si="125"/>
        <v>0.04793566865</v>
      </c>
      <c r="D174" s="35">
        <f t="shared" si="125"/>
        <v>0.03959683947</v>
      </c>
      <c r="E174" s="35">
        <f t="shared" si="125"/>
        <v>0.03860413508</v>
      </c>
      <c r="F174" s="35">
        <f t="shared" si="125"/>
        <v>0.04247819191</v>
      </c>
      <c r="G174" s="35">
        <f t="shared" si="125"/>
        <v>0.04332689138</v>
      </c>
      <c r="H174" s="35">
        <f t="shared" si="125"/>
        <v>0.03998990148</v>
      </c>
      <c r="I174" s="35">
        <f t="shared" si="125"/>
        <v>0.04597166284</v>
      </c>
      <c r="J174" s="35">
        <f t="shared" si="125"/>
        <v>0.03748884449</v>
      </c>
      <c r="K174" s="37">
        <v>0.04</v>
      </c>
      <c r="L174" s="38">
        <f t="shared" ref="L174:P174" si="126">K174</f>
        <v>0.04</v>
      </c>
      <c r="M174" s="38">
        <f t="shared" si="126"/>
        <v>0.04</v>
      </c>
      <c r="N174" s="38">
        <f t="shared" si="126"/>
        <v>0.04</v>
      </c>
      <c r="O174" s="38">
        <f t="shared" si="126"/>
        <v>0.04</v>
      </c>
      <c r="P174" s="38">
        <f t="shared" si="126"/>
        <v>0.04</v>
      </c>
    </row>
    <row r="175" ht="15.75" customHeight="1">
      <c r="A175" s="16" t="s">
        <v>62</v>
      </c>
      <c r="B175" s="35">
        <f t="shared" ref="B175:J175" si="127">B156/B$170</f>
        <v>0.02319252035</v>
      </c>
      <c r="C175" s="35">
        <f t="shared" si="127"/>
        <v>0.0176632151</v>
      </c>
      <c r="D175" s="35">
        <f t="shared" si="127"/>
        <v>0.01836124567</v>
      </c>
      <c r="E175" s="35">
        <f t="shared" si="127"/>
        <v>0.0268716197</v>
      </c>
      <c r="F175" s="35">
        <f t="shared" si="127"/>
        <v>0.02814961671</v>
      </c>
      <c r="G175" s="35">
        <f t="shared" si="127"/>
        <v>0.01818763144</v>
      </c>
      <c r="H175" s="35">
        <f t="shared" si="127"/>
        <v>0.02303299679</v>
      </c>
      <c r="I175" s="35">
        <f t="shared" si="127"/>
        <v>0.02774092369</v>
      </c>
      <c r="J175" s="35">
        <f t="shared" si="127"/>
        <v>0.03240418954</v>
      </c>
      <c r="K175" s="37">
        <v>0.03</v>
      </c>
      <c r="L175" s="38">
        <f t="shared" ref="L175:P175" si="128">K175</f>
        <v>0.03</v>
      </c>
      <c r="M175" s="38">
        <f t="shared" si="128"/>
        <v>0.03</v>
      </c>
      <c r="N175" s="38">
        <f t="shared" si="128"/>
        <v>0.03</v>
      </c>
      <c r="O175" s="38">
        <f t="shared" si="128"/>
        <v>0.03</v>
      </c>
      <c r="P175" s="38">
        <f t="shared" si="128"/>
        <v>0.03</v>
      </c>
    </row>
    <row r="176" ht="15.75" customHeight="1">
      <c r="A176" s="16" t="s">
        <v>64</v>
      </c>
      <c r="B176" s="35">
        <f t="shared" ref="B176:J176" si="129">B157/B$170</f>
        <v>0.00005432734856</v>
      </c>
      <c r="C176" s="35">
        <f t="shared" si="129"/>
        <v>0.00003671880737</v>
      </c>
      <c r="D176" s="35">
        <f t="shared" si="129"/>
        <v>0.00003758955712</v>
      </c>
      <c r="E176" s="35">
        <f t="shared" si="129"/>
        <v>0.0001870603066</v>
      </c>
      <c r="F176" s="35">
        <f t="shared" si="129"/>
        <v>0.0002246893999</v>
      </c>
      <c r="G176" s="35">
        <f t="shared" si="129"/>
        <v>0.0003268345365</v>
      </c>
      <c r="H176" s="35">
        <f t="shared" si="129"/>
        <v>0.0003452968307</v>
      </c>
      <c r="I176" s="35">
        <f t="shared" si="129"/>
        <v>0.000250823622</v>
      </c>
      <c r="J176" s="35">
        <f t="shared" si="129"/>
        <v>0.0002305118774</v>
      </c>
      <c r="K176" s="38">
        <f t="shared" ref="K176:P176" si="130">J176</f>
        <v>0.0002305118774</v>
      </c>
      <c r="L176" s="38">
        <f t="shared" si="130"/>
        <v>0.0002305118774</v>
      </c>
      <c r="M176" s="38">
        <f t="shared" si="130"/>
        <v>0.0002305118774</v>
      </c>
      <c r="N176" s="38">
        <f t="shared" si="130"/>
        <v>0.0002305118774</v>
      </c>
      <c r="O176" s="38">
        <f t="shared" si="130"/>
        <v>0.0002305118774</v>
      </c>
      <c r="P176" s="38">
        <f t="shared" si="130"/>
        <v>0.0002305118774</v>
      </c>
    </row>
    <row r="177" ht="15.75" customHeight="1">
      <c r="A177" s="16" t="s">
        <v>65</v>
      </c>
      <c r="B177" s="35">
        <f t="shared" ref="B177:J177" si="131">B158/B$170</f>
        <v>0.02911069635</v>
      </c>
      <c r="C177" s="35">
        <f t="shared" si="131"/>
        <v>0.02263053536</v>
      </c>
      <c r="D177" s="35">
        <f t="shared" si="131"/>
        <v>0.01646422602</v>
      </c>
      <c r="E177" s="35">
        <f t="shared" si="131"/>
        <v>0.006550596327</v>
      </c>
      <c r="F177" s="35">
        <f t="shared" si="131"/>
        <v>0.01053925456</v>
      </c>
      <c r="G177" s="35">
        <f t="shared" si="131"/>
        <v>0.01361478997</v>
      </c>
      <c r="H177" s="35">
        <f t="shared" si="131"/>
        <v>0.01653802001</v>
      </c>
      <c r="I177" s="35">
        <f t="shared" si="131"/>
        <v>0.01317626313</v>
      </c>
      <c r="J177" s="35">
        <f t="shared" si="131"/>
        <v>0.01767751177</v>
      </c>
      <c r="K177" s="37">
        <v>0.02</v>
      </c>
      <c r="L177" s="38">
        <f t="shared" ref="L177:P177" si="132">K177</f>
        <v>0.02</v>
      </c>
      <c r="M177" s="38">
        <f t="shared" si="132"/>
        <v>0.02</v>
      </c>
      <c r="N177" s="38">
        <f t="shared" si="132"/>
        <v>0.02</v>
      </c>
      <c r="O177" s="38">
        <f t="shared" si="132"/>
        <v>0.02</v>
      </c>
      <c r="P177" s="38">
        <f t="shared" si="132"/>
        <v>0.02</v>
      </c>
    </row>
    <row r="178" ht="15.75" customHeight="1">
      <c r="A178" s="16" t="s">
        <v>66</v>
      </c>
      <c r="B178" s="35">
        <f t="shared" ref="B178:J178" si="133">B159/B$170</f>
        <v>0.008597741034</v>
      </c>
      <c r="C178" s="35">
        <f t="shared" si="133"/>
        <v>0.007211573768</v>
      </c>
      <c r="D178" s="35">
        <f t="shared" si="133"/>
        <v>0.005156034252</v>
      </c>
      <c r="E178" s="35">
        <f t="shared" si="133"/>
        <v>0.004969297711</v>
      </c>
      <c r="F178" s="35">
        <f t="shared" si="133"/>
        <v>0.006968014803</v>
      </c>
      <c r="G178" s="35">
        <f t="shared" si="133"/>
        <v>0</v>
      </c>
      <c r="H178" s="35">
        <f t="shared" si="133"/>
        <v>0</v>
      </c>
      <c r="I178" s="35">
        <f t="shared" si="133"/>
        <v>0</v>
      </c>
      <c r="J178" s="35">
        <f t="shared" si="133"/>
        <v>0</v>
      </c>
      <c r="K178" s="38">
        <f t="shared" ref="K178:P178" si="134">J178</f>
        <v>0</v>
      </c>
      <c r="L178" s="38">
        <f t="shared" si="134"/>
        <v>0</v>
      </c>
      <c r="M178" s="38">
        <f t="shared" si="134"/>
        <v>0</v>
      </c>
      <c r="N178" s="38">
        <f t="shared" si="134"/>
        <v>0</v>
      </c>
      <c r="O178" s="38">
        <f t="shared" si="134"/>
        <v>0</v>
      </c>
      <c r="P178" s="38">
        <f t="shared" si="134"/>
        <v>0</v>
      </c>
    </row>
    <row r="179" ht="15.75" customHeight="1">
      <c r="A179" s="1" t="s">
        <v>57</v>
      </c>
      <c r="B179" s="35">
        <f t="shared" ref="B179:J179" si="135">B160/B$170</f>
        <v>0.022600177</v>
      </c>
      <c r="C179" s="35">
        <f t="shared" si="135"/>
        <v>0.03339795843</v>
      </c>
      <c r="D179" s="35">
        <f t="shared" si="135"/>
        <v>0.01881858528</v>
      </c>
      <c r="E179" s="35">
        <f t="shared" si="135"/>
        <v>0.06438941076</v>
      </c>
      <c r="F179" s="35">
        <f t="shared" si="135"/>
        <v>0.02281654771</v>
      </c>
      <c r="G179" s="35">
        <f t="shared" si="135"/>
        <v>0.1384059001</v>
      </c>
      <c r="H179" s="35">
        <f t="shared" si="135"/>
        <v>0.07577397436</v>
      </c>
      <c r="I179" s="35">
        <f t="shared" si="135"/>
        <v>0.02197873658</v>
      </c>
      <c r="J179" s="35">
        <f t="shared" si="135"/>
        <v>0.05182005693</v>
      </c>
      <c r="K179" s="37">
        <v>0.03</v>
      </c>
      <c r="L179" s="38">
        <f t="shared" ref="L179:P179" si="136">K179</f>
        <v>0.03</v>
      </c>
      <c r="M179" s="38">
        <f t="shared" si="136"/>
        <v>0.03</v>
      </c>
      <c r="N179" s="38">
        <f t="shared" si="136"/>
        <v>0.03</v>
      </c>
      <c r="O179" s="38">
        <f t="shared" si="136"/>
        <v>0.03</v>
      </c>
      <c r="P179" s="38">
        <f t="shared" si="136"/>
        <v>0.03</v>
      </c>
    </row>
    <row r="180" ht="15.75" customHeight="1">
      <c r="A180" s="5"/>
    </row>
    <row r="181" ht="15.75" customHeight="1">
      <c r="A181" s="17" t="s">
        <v>42</v>
      </c>
      <c r="B181" s="36"/>
      <c r="C181" s="36"/>
      <c r="D181" s="36"/>
      <c r="E181" s="36"/>
      <c r="F181" s="36"/>
      <c r="G181" s="36"/>
      <c r="H181" s="36"/>
      <c r="I181" s="36"/>
      <c r="J181" s="36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ht="15.75" customHeight="1">
      <c r="A182" s="1" t="s">
        <v>43</v>
      </c>
      <c r="B182" s="35">
        <f t="shared" ref="B182:J182" si="137">B163/B$170</f>
        <v>0.01394285113</v>
      </c>
      <c r="C182" s="35">
        <f t="shared" si="137"/>
        <v>0.01180289344</v>
      </c>
      <c r="D182" s="35">
        <f t="shared" si="137"/>
        <v>0.01070174691</v>
      </c>
      <c r="E182" s="35">
        <f t="shared" si="137"/>
        <v>0.007818191324</v>
      </c>
      <c r="F182" s="35">
        <f t="shared" si="137"/>
        <v>0.009201691779</v>
      </c>
      <c r="G182" s="35">
        <f t="shared" si="137"/>
        <v>0.01214545558</v>
      </c>
      <c r="H182" s="35">
        <f t="shared" si="137"/>
        <v>0.01258125797</v>
      </c>
      <c r="I182" s="35">
        <f t="shared" si="137"/>
        <v>0.009782965782</v>
      </c>
      <c r="J182" s="35">
        <f t="shared" si="137"/>
        <v>0.008480299341</v>
      </c>
      <c r="K182" s="37">
        <v>0.01</v>
      </c>
      <c r="L182" s="38">
        <f t="shared" ref="L182:P182" si="138">K182</f>
        <v>0.01</v>
      </c>
      <c r="M182" s="38">
        <f t="shared" si="138"/>
        <v>0.01</v>
      </c>
      <c r="N182" s="38">
        <f t="shared" si="138"/>
        <v>0.01</v>
      </c>
      <c r="O182" s="38">
        <f t="shared" si="138"/>
        <v>0.01</v>
      </c>
      <c r="P182" s="38">
        <f t="shared" si="138"/>
        <v>0.01</v>
      </c>
    </row>
    <row r="183" ht="15.75" customHeight="1">
      <c r="A183" s="1" t="s">
        <v>44</v>
      </c>
      <c r="B183" s="35">
        <f t="shared" ref="B183:J183" si="139">B164/B$170</f>
        <v>0.001356431219</v>
      </c>
      <c r="C183" s="35">
        <f t="shared" si="139"/>
        <v>0.007105823603</v>
      </c>
      <c r="D183" s="35">
        <f t="shared" si="139"/>
        <v>0.001388307643</v>
      </c>
      <c r="E183" s="35">
        <f t="shared" si="139"/>
        <v>0.001738150427</v>
      </c>
      <c r="F183" s="35">
        <f t="shared" si="139"/>
        <v>0.001404969601</v>
      </c>
      <c r="G183" s="35">
        <f t="shared" si="139"/>
        <v>0.007051099869</v>
      </c>
      <c r="H183" s="35">
        <f t="shared" si="139"/>
        <v>0.004323569169</v>
      </c>
      <c r="I183" s="35">
        <f t="shared" si="139"/>
        <v>0.01032515018</v>
      </c>
      <c r="J183" s="35">
        <f t="shared" si="139"/>
        <v>0.0003588090079</v>
      </c>
      <c r="K183" s="37">
        <v>0.001</v>
      </c>
      <c r="L183" s="38">
        <f t="shared" ref="L183:P183" si="140">K183</f>
        <v>0.001</v>
      </c>
      <c r="M183" s="38">
        <f t="shared" si="140"/>
        <v>0.001</v>
      </c>
      <c r="N183" s="38">
        <f t="shared" si="140"/>
        <v>0.001</v>
      </c>
      <c r="O183" s="38">
        <f t="shared" si="140"/>
        <v>0.001</v>
      </c>
      <c r="P183" s="38">
        <f t="shared" si="140"/>
        <v>0.001</v>
      </c>
    </row>
    <row r="184" ht="15.75" customHeight="1">
      <c r="A184" s="1" t="s">
        <v>45</v>
      </c>
      <c r="B184" s="35">
        <f t="shared" ref="B184:J184" si="141">B165/B$170</f>
        <v>0.1298406106</v>
      </c>
      <c r="C184" s="35">
        <f t="shared" si="141"/>
        <v>0.1229228171</v>
      </c>
      <c r="D184" s="35">
        <f t="shared" si="141"/>
        <v>0.131554679</v>
      </c>
      <c r="E184" s="35">
        <f t="shared" si="141"/>
        <v>0.111977088</v>
      </c>
      <c r="F184" s="35">
        <f t="shared" si="141"/>
        <v>0.09924795136</v>
      </c>
      <c r="G184" s="35">
        <f t="shared" si="141"/>
        <v>0.1444907065</v>
      </c>
      <c r="H184" s="35">
        <f t="shared" si="141"/>
        <v>0.1106444258</v>
      </c>
      <c r="I184" s="35">
        <f t="shared" si="141"/>
        <v>0.1154928769</v>
      </c>
      <c r="J184" s="35">
        <f t="shared" si="141"/>
        <v>0.1197562073</v>
      </c>
      <c r="K184" s="37">
        <v>0.12</v>
      </c>
      <c r="L184" s="38">
        <f t="shared" ref="L184:P184" si="142">K184</f>
        <v>0.12</v>
      </c>
      <c r="M184" s="38">
        <f t="shared" si="142"/>
        <v>0.12</v>
      </c>
      <c r="N184" s="38">
        <f t="shared" si="142"/>
        <v>0.12</v>
      </c>
      <c r="O184" s="38">
        <f t="shared" si="142"/>
        <v>0.12</v>
      </c>
      <c r="P184" s="38">
        <f t="shared" si="142"/>
        <v>0.12</v>
      </c>
    </row>
    <row r="185" ht="15.75" customHeight="1">
      <c r="A185" s="1" t="s">
        <v>46</v>
      </c>
      <c r="B185" s="35">
        <f t="shared" ref="B185:J185" si="143">B166/B$170</f>
        <v>0.02041656809</v>
      </c>
      <c r="C185" s="35">
        <f t="shared" si="143"/>
        <v>0.02684585445</v>
      </c>
      <c r="D185" s="35">
        <f t="shared" si="143"/>
        <v>0.02618237952</v>
      </c>
      <c r="E185" s="35">
        <f t="shared" si="143"/>
        <v>0.01897209781</v>
      </c>
      <c r="F185" s="35">
        <f t="shared" si="143"/>
        <v>0.01862410785</v>
      </c>
      <c r="G185" s="35">
        <f t="shared" si="143"/>
        <v>0.03808474962</v>
      </c>
      <c r="H185" s="35">
        <f t="shared" si="143"/>
        <v>0.03247601602</v>
      </c>
      <c r="I185" s="35">
        <f t="shared" si="143"/>
        <v>0.02818345426</v>
      </c>
      <c r="J185" s="35">
        <f t="shared" si="143"/>
        <v>0.02942304357</v>
      </c>
      <c r="K185" s="37">
        <v>0.03</v>
      </c>
      <c r="L185" s="38">
        <f t="shared" ref="L185:P185" si="144">K185</f>
        <v>0.03</v>
      </c>
      <c r="M185" s="38">
        <f t="shared" si="144"/>
        <v>0.03</v>
      </c>
      <c r="N185" s="38">
        <f t="shared" si="144"/>
        <v>0.03</v>
      </c>
      <c r="O185" s="38">
        <f t="shared" si="144"/>
        <v>0.03</v>
      </c>
      <c r="P185" s="38">
        <f t="shared" si="144"/>
        <v>0.03</v>
      </c>
    </row>
    <row r="186" ht="15.75" customHeight="1">
      <c r="A186" s="1" t="s">
        <v>47</v>
      </c>
      <c r="B186" s="35">
        <f t="shared" ref="B186:J186" si="145">B167/B$170</f>
        <v>0.006999465489</v>
      </c>
      <c r="C186" s="35">
        <f t="shared" si="145"/>
        <v>0.006603510318</v>
      </c>
      <c r="D186" s="35">
        <f t="shared" si="145"/>
        <v>0.007027994196</v>
      </c>
      <c r="E186" s="35">
        <f t="shared" si="145"/>
        <v>0.007266305327</v>
      </c>
      <c r="F186" s="35">
        <f t="shared" si="145"/>
        <v>0.008996827914</v>
      </c>
      <c r="G186" s="35">
        <f t="shared" si="145"/>
        <v>0.01055533451</v>
      </c>
      <c r="H186" s="35">
        <f t="shared" si="145"/>
        <v>0.009750956076</v>
      </c>
      <c r="I186" s="35">
        <f t="shared" si="145"/>
        <v>0.009146194702</v>
      </c>
      <c r="J186" s="35">
        <f t="shared" si="145"/>
        <v>0.009247967336</v>
      </c>
      <c r="K186" s="37">
        <v>0.01</v>
      </c>
      <c r="L186" s="38">
        <f t="shared" ref="L186:P186" si="146">K186</f>
        <v>0.01</v>
      </c>
      <c r="M186" s="38">
        <f t="shared" si="146"/>
        <v>0.01</v>
      </c>
      <c r="N186" s="38">
        <f t="shared" si="146"/>
        <v>0.01</v>
      </c>
      <c r="O186" s="38">
        <f t="shared" si="146"/>
        <v>0.01</v>
      </c>
      <c r="P186" s="38">
        <f t="shared" si="146"/>
        <v>0.01</v>
      </c>
    </row>
    <row r="187" ht="15.75" customHeight="1">
      <c r="A187" s="1" t="s">
        <v>48</v>
      </c>
      <c r="B187" s="35">
        <f t="shared" ref="B187:J187" si="147">B168/B$170</f>
        <v>0.02099138649</v>
      </c>
      <c r="C187" s="35">
        <f t="shared" si="147"/>
        <v>0.0191349049</v>
      </c>
      <c r="D187" s="35">
        <f t="shared" si="147"/>
        <v>0.0167123171</v>
      </c>
      <c r="E187" s="35">
        <f t="shared" si="147"/>
        <v>0.01675409703</v>
      </c>
      <c r="F187" s="35">
        <f t="shared" si="147"/>
        <v>0.01194818927</v>
      </c>
      <c r="G187" s="35">
        <f t="shared" si="147"/>
        <v>0.01807537089</v>
      </c>
      <c r="H187" s="35">
        <f t="shared" si="147"/>
        <v>0.02295035198</v>
      </c>
      <c r="I187" s="35">
        <f t="shared" si="147"/>
        <v>0.01933959914</v>
      </c>
      <c r="J187" s="35">
        <f t="shared" si="147"/>
        <v>0.01567551259</v>
      </c>
      <c r="K187" s="37">
        <v>0.02</v>
      </c>
      <c r="L187" s="38">
        <f t="shared" ref="L187:P187" si="148">K187</f>
        <v>0.02</v>
      </c>
      <c r="M187" s="38">
        <f t="shared" si="148"/>
        <v>0.02</v>
      </c>
      <c r="N187" s="38">
        <f t="shared" si="148"/>
        <v>0.02</v>
      </c>
      <c r="O187" s="38">
        <f t="shared" si="148"/>
        <v>0.02</v>
      </c>
      <c r="P187" s="38">
        <f t="shared" si="148"/>
        <v>0.02</v>
      </c>
    </row>
    <row r="188" ht="15.75" customHeight="1">
      <c r="A188" s="5"/>
    </row>
    <row r="189" ht="15.75" customHeight="1">
      <c r="A189" s="18" t="s">
        <v>90</v>
      </c>
      <c r="B189" s="27">
        <f t="shared" ref="B189:P189" si="149">B154-B162</f>
        <v>-31437</v>
      </c>
      <c r="C189" s="27">
        <f t="shared" si="149"/>
        <v>-44623</v>
      </c>
      <c r="D189" s="27">
        <f t="shared" si="149"/>
        <v>-75925</v>
      </c>
      <c r="E189" s="27">
        <f t="shared" si="149"/>
        <v>-19756</v>
      </c>
      <c r="F189" s="27">
        <f t="shared" si="149"/>
        <v>-28938</v>
      </c>
      <c r="G189" s="27">
        <f t="shared" si="149"/>
        <v>-11640</v>
      </c>
      <c r="H189" s="27">
        <f t="shared" si="149"/>
        <v>-32723</v>
      </c>
      <c r="I189" s="27">
        <f t="shared" si="149"/>
        <v>-98460</v>
      </c>
      <c r="J189" s="27">
        <f t="shared" si="149"/>
        <v>-61454</v>
      </c>
      <c r="K189" s="27">
        <f t="shared" si="149"/>
        <v>-123536.7245</v>
      </c>
      <c r="L189" s="27">
        <f t="shared" si="149"/>
        <v>-144336.89</v>
      </c>
      <c r="M189" s="27">
        <f t="shared" si="149"/>
        <v>-168700.3771</v>
      </c>
      <c r="N189" s="27">
        <f t="shared" si="149"/>
        <v>-197244.7616</v>
      </c>
      <c r="O189" s="27">
        <f t="shared" si="149"/>
        <v>-230695.4726</v>
      </c>
      <c r="P189" s="27">
        <f t="shared" si="149"/>
        <v>-269904.7205</v>
      </c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ht="15.75" customHeight="1">
      <c r="A190" s="1" t="s">
        <v>91</v>
      </c>
      <c r="C190" s="19">
        <f t="shared" ref="C190:P190" si="150">C189-B189</f>
        <v>-13186</v>
      </c>
      <c r="D190" s="19">
        <f t="shared" si="150"/>
        <v>-31302</v>
      </c>
      <c r="E190" s="19">
        <f t="shared" si="150"/>
        <v>56169</v>
      </c>
      <c r="F190" s="19">
        <f t="shared" si="150"/>
        <v>-9182</v>
      </c>
      <c r="G190" s="19">
        <f t="shared" si="150"/>
        <v>17298</v>
      </c>
      <c r="H190" s="19">
        <f t="shared" si="150"/>
        <v>-21083</v>
      </c>
      <c r="I190" s="19">
        <f t="shared" si="150"/>
        <v>-65737</v>
      </c>
      <c r="J190" s="19">
        <f t="shared" si="150"/>
        <v>37006</v>
      </c>
      <c r="K190" s="19">
        <f t="shared" si="150"/>
        <v>-62082.72448</v>
      </c>
      <c r="L190" s="19">
        <f t="shared" si="150"/>
        <v>-20800.16549</v>
      </c>
      <c r="M190" s="19">
        <f t="shared" si="150"/>
        <v>-24363.48712</v>
      </c>
      <c r="N190" s="19">
        <f t="shared" si="150"/>
        <v>-28544.38454</v>
      </c>
      <c r="O190" s="19">
        <f t="shared" si="150"/>
        <v>-33450.71097</v>
      </c>
      <c r="P190" s="19">
        <f t="shared" si="150"/>
        <v>-39209.2479</v>
      </c>
    </row>
    <row r="191" ht="15.75" customHeight="1">
      <c r="A191" s="5"/>
    </row>
    <row r="192" ht="15.75" customHeight="1">
      <c r="A192" s="18" t="s">
        <v>92</v>
      </c>
    </row>
    <row r="193" ht="15.75" customHeight="1">
      <c r="A193" s="5" t="s">
        <v>93</v>
      </c>
      <c r="B193" s="19">
        <f t="shared" ref="B193:J193" si="151">sum(B69,B71,B73)</f>
        <v>131896</v>
      </c>
      <c r="C193" s="19">
        <f t="shared" si="151"/>
        <v>141900</v>
      </c>
      <c r="D193" s="19">
        <f t="shared" si="151"/>
        <v>152092</v>
      </c>
      <c r="E193" s="19">
        <f t="shared" si="151"/>
        <v>165931</v>
      </c>
      <c r="F193" s="19">
        <f t="shared" si="151"/>
        <v>167529</v>
      </c>
      <c r="G193" s="19">
        <f t="shared" si="151"/>
        <v>159638</v>
      </c>
      <c r="H193" s="19">
        <f t="shared" si="151"/>
        <v>160435</v>
      </c>
      <c r="I193" s="19">
        <f t="shared" si="151"/>
        <v>314476</v>
      </c>
      <c r="J193" s="19">
        <f t="shared" si="151"/>
        <v>349154</v>
      </c>
    </row>
    <row r="194" ht="15.75" customHeight="1">
      <c r="A194" s="5" t="s">
        <v>94</v>
      </c>
      <c r="B194" s="19">
        <f t="shared" ref="B194:J194" si="152">sum(B70,B72)</f>
        <v>3469</v>
      </c>
      <c r="C194" s="19">
        <f t="shared" si="152"/>
        <v>3730</v>
      </c>
      <c r="D194" s="19">
        <f t="shared" si="152"/>
        <v>3117</v>
      </c>
      <c r="E194" s="19">
        <f t="shared" si="152"/>
        <v>4511</v>
      </c>
      <c r="F194" s="19">
        <f t="shared" si="152"/>
        <v>4067</v>
      </c>
      <c r="G194" s="19">
        <f t="shared" si="152"/>
        <v>5217</v>
      </c>
      <c r="H194" s="19">
        <f t="shared" si="152"/>
        <v>6402</v>
      </c>
      <c r="I194" s="19">
        <f t="shared" si="152"/>
        <v>6368</v>
      </c>
      <c r="J194" s="19">
        <f t="shared" si="152"/>
        <v>6842</v>
      </c>
    </row>
    <row r="195" ht="15.75" customHeight="1">
      <c r="A195" s="17" t="s">
        <v>49</v>
      </c>
      <c r="B195" s="27">
        <f t="shared" ref="B195:J195" si="153">sum(B193:B194)</f>
        <v>135365</v>
      </c>
      <c r="C195" s="27">
        <f t="shared" si="153"/>
        <v>145630</v>
      </c>
      <c r="D195" s="27">
        <f t="shared" si="153"/>
        <v>155209</v>
      </c>
      <c r="E195" s="27">
        <f t="shared" si="153"/>
        <v>170442</v>
      </c>
      <c r="F195" s="27">
        <f t="shared" si="153"/>
        <v>171596</v>
      </c>
      <c r="G195" s="27">
        <f t="shared" si="153"/>
        <v>164855</v>
      </c>
      <c r="H195" s="27">
        <f t="shared" si="153"/>
        <v>166837</v>
      </c>
      <c r="I195" s="27">
        <f t="shared" si="153"/>
        <v>320844</v>
      </c>
      <c r="J195" s="27">
        <f t="shared" si="153"/>
        <v>355996</v>
      </c>
      <c r="K195" s="27">
        <f t="shared" ref="K195:P195" si="154">(K95*K197)/10^6</f>
        <v>408000</v>
      </c>
      <c r="L195" s="27">
        <f t="shared" si="154"/>
        <v>456000</v>
      </c>
      <c r="M195" s="27">
        <f t="shared" si="154"/>
        <v>504000</v>
      </c>
      <c r="N195" s="27">
        <f t="shared" si="154"/>
        <v>552000</v>
      </c>
      <c r="O195" s="27">
        <f t="shared" si="154"/>
        <v>600000</v>
      </c>
      <c r="P195" s="27">
        <f t="shared" si="154"/>
        <v>648000</v>
      </c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ht="15.75" customHeight="1">
      <c r="A196" s="5"/>
    </row>
    <row r="197" ht="15.75" customHeight="1">
      <c r="A197" s="17" t="s">
        <v>95</v>
      </c>
      <c r="B197" s="27">
        <f t="shared" ref="B197:J197" si="155">(B195/B95)*10^6</f>
        <v>90243.33333</v>
      </c>
      <c r="C197" s="27">
        <f t="shared" si="155"/>
        <v>93954.83871</v>
      </c>
      <c r="D197" s="27">
        <f t="shared" si="155"/>
        <v>99492.94872</v>
      </c>
      <c r="E197" s="27">
        <f t="shared" si="155"/>
        <v>107874.6835</v>
      </c>
      <c r="F197" s="27">
        <f t="shared" si="155"/>
        <v>85798</v>
      </c>
      <c r="G197" s="27">
        <f t="shared" si="155"/>
        <v>73268.88889</v>
      </c>
      <c r="H197" s="27">
        <f t="shared" si="155"/>
        <v>74149.77778</v>
      </c>
      <c r="I197" s="27">
        <f t="shared" si="155"/>
        <v>142597.3333</v>
      </c>
      <c r="J197" s="27">
        <f t="shared" si="155"/>
        <v>158220.4444</v>
      </c>
      <c r="K197" s="20">
        <v>160000.0</v>
      </c>
      <c r="L197" s="116">
        <f t="shared" ref="L197:P197" si="156">K197</f>
        <v>160000</v>
      </c>
      <c r="M197" s="116">
        <f t="shared" si="156"/>
        <v>160000</v>
      </c>
      <c r="N197" s="116">
        <f t="shared" si="156"/>
        <v>160000</v>
      </c>
      <c r="O197" s="116">
        <f t="shared" si="156"/>
        <v>160000</v>
      </c>
      <c r="P197" s="116">
        <f t="shared" si="156"/>
        <v>160000</v>
      </c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ht="15.75" customHeight="1">
      <c r="A198" s="5"/>
    </row>
    <row r="199" ht="15.75" customHeight="1">
      <c r="A199" s="5" t="s">
        <v>96</v>
      </c>
      <c r="K199" s="19">
        <f t="shared" ref="K199:P199" si="157">(K197*K96)/10^6</f>
        <v>48000</v>
      </c>
      <c r="L199" s="19">
        <f t="shared" si="157"/>
        <v>48000</v>
      </c>
      <c r="M199" s="19">
        <f t="shared" si="157"/>
        <v>48000</v>
      </c>
      <c r="N199" s="19">
        <f t="shared" si="157"/>
        <v>48000</v>
      </c>
      <c r="O199" s="19">
        <f t="shared" si="157"/>
        <v>48000</v>
      </c>
      <c r="P199" s="19">
        <f t="shared" si="157"/>
        <v>48000</v>
      </c>
    </row>
    <row r="200" ht="15.75" customHeight="1">
      <c r="A200" s="5" t="s">
        <v>97</v>
      </c>
      <c r="K200" s="19">
        <f t="shared" ref="K200:P200" si="158">J203</f>
        <v>52558</v>
      </c>
      <c r="L200" s="19">
        <f t="shared" si="158"/>
        <v>61200</v>
      </c>
      <c r="M200" s="19">
        <f t="shared" si="158"/>
        <v>68400</v>
      </c>
      <c r="N200" s="19">
        <f t="shared" si="158"/>
        <v>75600</v>
      </c>
      <c r="O200" s="19">
        <f t="shared" si="158"/>
        <v>82800</v>
      </c>
      <c r="P200" s="19">
        <f t="shared" si="158"/>
        <v>90000</v>
      </c>
    </row>
    <row r="201" ht="15.75" customHeight="1">
      <c r="A201" s="5" t="s">
        <v>98</v>
      </c>
      <c r="K201" s="19">
        <f t="shared" ref="K201:P201" si="159">SUM(K199:K200)</f>
        <v>100558</v>
      </c>
      <c r="L201" s="19">
        <f t="shared" si="159"/>
        <v>109200</v>
      </c>
      <c r="M201" s="19">
        <f t="shared" si="159"/>
        <v>116400</v>
      </c>
      <c r="N201" s="19">
        <f t="shared" si="159"/>
        <v>123600</v>
      </c>
      <c r="O201" s="19">
        <f t="shared" si="159"/>
        <v>130800</v>
      </c>
      <c r="P201" s="19">
        <f t="shared" si="159"/>
        <v>138000</v>
      </c>
    </row>
    <row r="202" ht="15.75" customHeight="1">
      <c r="A202" s="5"/>
    </row>
    <row r="203" ht="15.75" customHeight="1">
      <c r="A203" s="5" t="s">
        <v>99</v>
      </c>
      <c r="B203" s="19">
        <f t="shared" ref="B203:J203" si="160">B20</f>
        <v>28670</v>
      </c>
      <c r="C203" s="19">
        <f t="shared" si="160"/>
        <v>26039</v>
      </c>
      <c r="D203" s="19">
        <f t="shared" si="160"/>
        <v>27598</v>
      </c>
      <c r="E203" s="19">
        <f t="shared" si="160"/>
        <v>30208</v>
      </c>
      <c r="F203" s="19">
        <f t="shared" si="160"/>
        <v>35284</v>
      </c>
      <c r="G203" s="19">
        <f t="shared" si="160"/>
        <v>30341</v>
      </c>
      <c r="H203" s="19">
        <f t="shared" si="160"/>
        <v>27890</v>
      </c>
      <c r="I203" s="19">
        <f t="shared" si="160"/>
        <v>48460</v>
      </c>
      <c r="J203" s="19">
        <f t="shared" si="160"/>
        <v>52558</v>
      </c>
      <c r="K203" s="19">
        <f t="shared" ref="K203:P203" si="161">K195*K204</f>
        <v>61200</v>
      </c>
      <c r="L203" s="19">
        <f t="shared" si="161"/>
        <v>68400</v>
      </c>
      <c r="M203" s="19">
        <f t="shared" si="161"/>
        <v>75600</v>
      </c>
      <c r="N203" s="19">
        <f t="shared" si="161"/>
        <v>82800</v>
      </c>
      <c r="O203" s="19">
        <f t="shared" si="161"/>
        <v>90000</v>
      </c>
      <c r="P203" s="19">
        <f t="shared" si="161"/>
        <v>97200</v>
      </c>
    </row>
    <row r="204" ht="15.75" customHeight="1">
      <c r="A204" s="5" t="s">
        <v>100</v>
      </c>
      <c r="B204" s="35">
        <f t="shared" ref="B204:J204" si="162">B203/B195</f>
        <v>0.2117977321</v>
      </c>
      <c r="C204" s="35">
        <f t="shared" si="162"/>
        <v>0.1788024446</v>
      </c>
      <c r="D204" s="35">
        <f t="shared" si="162"/>
        <v>0.1778118537</v>
      </c>
      <c r="E204" s="35">
        <f t="shared" si="162"/>
        <v>0.177233311</v>
      </c>
      <c r="F204" s="35">
        <f t="shared" si="162"/>
        <v>0.2056225087</v>
      </c>
      <c r="G204" s="35">
        <f t="shared" si="162"/>
        <v>0.1840465864</v>
      </c>
      <c r="H204" s="35">
        <f t="shared" si="162"/>
        <v>0.1671691531</v>
      </c>
      <c r="I204" s="35">
        <f t="shared" si="162"/>
        <v>0.1510391343</v>
      </c>
      <c r="J204" s="35">
        <f t="shared" si="162"/>
        <v>0.1476364903</v>
      </c>
      <c r="K204" s="37">
        <v>0.15</v>
      </c>
      <c r="L204" s="38">
        <f t="shared" ref="L204:P204" si="163">K204</f>
        <v>0.15</v>
      </c>
      <c r="M204" s="38">
        <f t="shared" si="163"/>
        <v>0.15</v>
      </c>
      <c r="N204" s="38">
        <f t="shared" si="163"/>
        <v>0.15</v>
      </c>
      <c r="O204" s="38">
        <f t="shared" si="163"/>
        <v>0.15</v>
      </c>
      <c r="P204" s="38">
        <f t="shared" si="163"/>
        <v>0.15</v>
      </c>
    </row>
    <row r="205" ht="15.75" customHeight="1">
      <c r="A205" s="1"/>
    </row>
    <row r="206" ht="15.75" customHeight="1">
      <c r="A206" s="121" t="s">
        <v>115</v>
      </c>
    </row>
    <row r="207" ht="15.75" customHeight="1">
      <c r="A207" s="29" t="s">
        <v>116</v>
      </c>
      <c r="B207" s="19">
        <f t="shared" ref="B207:P207" si="164">B36</f>
        <v>46988</v>
      </c>
      <c r="C207" s="19">
        <f t="shared" si="164"/>
        <v>77326</v>
      </c>
      <c r="D207" s="19">
        <f t="shared" si="164"/>
        <v>82118</v>
      </c>
      <c r="E207" s="19">
        <f t="shared" si="164"/>
        <v>74103</v>
      </c>
      <c r="F207" s="19">
        <f t="shared" si="164"/>
        <v>52359</v>
      </c>
      <c r="G207" s="19">
        <f t="shared" si="164"/>
        <v>49027</v>
      </c>
      <c r="H207" s="19">
        <f t="shared" si="164"/>
        <v>41924</v>
      </c>
      <c r="I207" s="19">
        <f t="shared" si="164"/>
        <v>83223</v>
      </c>
      <c r="J207" s="19">
        <f t="shared" si="164"/>
        <v>137551</v>
      </c>
      <c r="K207" s="19">
        <f t="shared" si="164"/>
        <v>170690.0114</v>
      </c>
      <c r="L207" s="19">
        <f t="shared" si="164"/>
        <v>198731.1173</v>
      </c>
      <c r="M207" s="19">
        <f t="shared" si="164"/>
        <v>232439.4196</v>
      </c>
      <c r="N207" s="19">
        <f t="shared" si="164"/>
        <v>272797.1261</v>
      </c>
      <c r="O207" s="19">
        <f t="shared" si="164"/>
        <v>320957.9775</v>
      </c>
      <c r="P207" s="19">
        <f t="shared" si="164"/>
        <v>378277.3508</v>
      </c>
    </row>
    <row r="208" ht="15.75" customHeight="1">
      <c r="A208" s="29" t="s">
        <v>117</v>
      </c>
      <c r="B208" s="19">
        <f t="shared" ref="B208:P208" si="165">B20</f>
        <v>28670</v>
      </c>
      <c r="C208" s="19">
        <f t="shared" si="165"/>
        <v>26039</v>
      </c>
      <c r="D208" s="19">
        <f t="shared" si="165"/>
        <v>27598</v>
      </c>
      <c r="E208" s="19">
        <f t="shared" si="165"/>
        <v>30208</v>
      </c>
      <c r="F208" s="19">
        <f t="shared" si="165"/>
        <v>35284</v>
      </c>
      <c r="G208" s="19">
        <f t="shared" si="165"/>
        <v>30341</v>
      </c>
      <c r="H208" s="19">
        <f t="shared" si="165"/>
        <v>27890</v>
      </c>
      <c r="I208" s="19">
        <f t="shared" si="165"/>
        <v>48460</v>
      </c>
      <c r="J208" s="19">
        <f t="shared" si="165"/>
        <v>52558</v>
      </c>
      <c r="K208" s="19">
        <f t="shared" si="165"/>
        <v>61200</v>
      </c>
      <c r="L208" s="19">
        <f t="shared" si="165"/>
        <v>68400</v>
      </c>
      <c r="M208" s="19">
        <f t="shared" si="165"/>
        <v>75600</v>
      </c>
      <c r="N208" s="19">
        <f t="shared" si="165"/>
        <v>82800</v>
      </c>
      <c r="O208" s="19">
        <f t="shared" si="165"/>
        <v>90000</v>
      </c>
      <c r="P208" s="19">
        <f t="shared" si="165"/>
        <v>97200</v>
      </c>
    </row>
    <row r="209" ht="15.75" customHeight="1">
      <c r="A209" s="29" t="s">
        <v>118</v>
      </c>
      <c r="B209" s="15">
        <v>0.0</v>
      </c>
      <c r="C209" s="15">
        <v>0.0</v>
      </c>
      <c r="D209" s="15">
        <v>0.0</v>
      </c>
      <c r="E209" s="15">
        <v>0.0</v>
      </c>
      <c r="F209" s="15">
        <v>0.0</v>
      </c>
      <c r="G209" s="15">
        <v>0.0</v>
      </c>
      <c r="H209" s="15">
        <v>0.0</v>
      </c>
      <c r="I209" s="15">
        <v>0.0</v>
      </c>
      <c r="J209" s="15">
        <v>0.0</v>
      </c>
      <c r="K209" s="19">
        <f t="shared" ref="K209:P209" si="166">K50-J50</f>
        <v>0</v>
      </c>
      <c r="L209" s="19">
        <f t="shared" si="166"/>
        <v>0</v>
      </c>
      <c r="M209" s="19">
        <f t="shared" si="166"/>
        <v>0</v>
      </c>
      <c r="N209" s="19">
        <f t="shared" si="166"/>
        <v>0</v>
      </c>
      <c r="O209" s="19">
        <f t="shared" si="166"/>
        <v>0</v>
      </c>
      <c r="P209" s="19">
        <f t="shared" si="166"/>
        <v>0</v>
      </c>
    </row>
    <row r="210" ht="15.75" customHeight="1">
      <c r="A210" s="29" t="s">
        <v>119</v>
      </c>
      <c r="B210" s="44" t="str">
        <f t="shared" ref="B210:P210" si="167">B190</f>
        <v/>
      </c>
      <c r="C210" s="19">
        <f t="shared" si="167"/>
        <v>-13186</v>
      </c>
      <c r="D210" s="19">
        <f t="shared" si="167"/>
        <v>-31302</v>
      </c>
      <c r="E210" s="19">
        <f t="shared" si="167"/>
        <v>56169</v>
      </c>
      <c r="F210" s="19">
        <f t="shared" si="167"/>
        <v>-9182</v>
      </c>
      <c r="G210" s="19">
        <f t="shared" si="167"/>
        <v>17298</v>
      </c>
      <c r="H210" s="19">
        <f t="shared" si="167"/>
        <v>-21083</v>
      </c>
      <c r="I210" s="19">
        <f t="shared" si="167"/>
        <v>-65737</v>
      </c>
      <c r="J210" s="19">
        <f t="shared" si="167"/>
        <v>37006</v>
      </c>
      <c r="K210" s="19">
        <f t="shared" si="167"/>
        <v>-62082.72448</v>
      </c>
      <c r="L210" s="19">
        <f t="shared" si="167"/>
        <v>-20800.16549</v>
      </c>
      <c r="M210" s="19">
        <f t="shared" si="167"/>
        <v>-24363.48712</v>
      </c>
      <c r="N210" s="19">
        <f t="shared" si="167"/>
        <v>-28544.38454</v>
      </c>
      <c r="O210" s="19">
        <f t="shared" si="167"/>
        <v>-33450.71097</v>
      </c>
      <c r="P210" s="19">
        <f t="shared" si="167"/>
        <v>-39209.2479</v>
      </c>
    </row>
    <row r="211" ht="15.75" customHeight="1">
      <c r="A211" s="29" t="s">
        <v>120</v>
      </c>
      <c r="B211" s="44" t="str">
        <f t="shared" ref="B211:P211" si="168">B201</f>
        <v/>
      </c>
      <c r="C211" s="44" t="str">
        <f t="shared" si="168"/>
        <v/>
      </c>
      <c r="D211" s="44" t="str">
        <f t="shared" si="168"/>
        <v/>
      </c>
      <c r="E211" s="44" t="str">
        <f t="shared" si="168"/>
        <v/>
      </c>
      <c r="F211" s="44" t="str">
        <f t="shared" si="168"/>
        <v/>
      </c>
      <c r="G211" s="44" t="str">
        <f t="shared" si="168"/>
        <v/>
      </c>
      <c r="H211" s="44" t="str">
        <f t="shared" si="168"/>
        <v/>
      </c>
      <c r="I211" s="44" t="str">
        <f t="shared" si="168"/>
        <v/>
      </c>
      <c r="J211" s="44" t="str">
        <f t="shared" si="168"/>
        <v/>
      </c>
      <c r="K211" s="19">
        <f t="shared" si="168"/>
        <v>100558</v>
      </c>
      <c r="L211" s="19">
        <f t="shared" si="168"/>
        <v>109200</v>
      </c>
      <c r="M211" s="19">
        <f t="shared" si="168"/>
        <v>116400</v>
      </c>
      <c r="N211" s="19">
        <f t="shared" si="168"/>
        <v>123600</v>
      </c>
      <c r="O211" s="19">
        <f t="shared" si="168"/>
        <v>130800</v>
      </c>
      <c r="P211" s="19">
        <f t="shared" si="168"/>
        <v>138000</v>
      </c>
    </row>
    <row r="212" ht="15.75" customHeight="1">
      <c r="A212" s="1"/>
    </row>
    <row r="213" ht="15.75" customHeight="1">
      <c r="A213" s="29" t="s">
        <v>121</v>
      </c>
      <c r="B213" s="114"/>
      <c r="C213" s="114"/>
      <c r="D213" s="114"/>
      <c r="E213" s="114"/>
      <c r="F213" s="114"/>
      <c r="G213" s="114"/>
      <c r="H213" s="114"/>
      <c r="I213" s="114"/>
      <c r="J213" s="114"/>
      <c r="K213" s="19">
        <f t="shared" ref="K213:P213" si="169">J215</f>
        <v>28274</v>
      </c>
      <c r="L213" s="19">
        <f t="shared" si="169"/>
        <v>221688.7359</v>
      </c>
      <c r="M213" s="19">
        <f t="shared" si="169"/>
        <v>400420.0187</v>
      </c>
      <c r="N213" s="19">
        <f t="shared" si="169"/>
        <v>616422.9254</v>
      </c>
      <c r="O213" s="19">
        <f t="shared" si="169"/>
        <v>876964.436</v>
      </c>
      <c r="P213" s="19">
        <f t="shared" si="169"/>
        <v>1190573.125</v>
      </c>
    </row>
    <row r="214" ht="15.75" customHeight="1">
      <c r="A214" s="29" t="s">
        <v>122</v>
      </c>
      <c r="B214" s="114"/>
      <c r="C214" s="114"/>
      <c r="D214" s="114"/>
      <c r="E214" s="114"/>
      <c r="F214" s="114"/>
      <c r="G214" s="114"/>
      <c r="H214" s="114"/>
      <c r="I214" s="114"/>
      <c r="J214" s="114"/>
      <c r="K214" s="19">
        <f t="shared" ref="K214:P214" si="170">K207+K208+K209-K210-K211</f>
        <v>193414.7359</v>
      </c>
      <c r="L214" s="19">
        <f t="shared" si="170"/>
        <v>178731.2828</v>
      </c>
      <c r="M214" s="19">
        <f t="shared" si="170"/>
        <v>216002.9067</v>
      </c>
      <c r="N214" s="19">
        <f t="shared" si="170"/>
        <v>260541.5106</v>
      </c>
      <c r="O214" s="19">
        <f t="shared" si="170"/>
        <v>313608.6885</v>
      </c>
      <c r="P214" s="19">
        <f t="shared" si="170"/>
        <v>376686.5987</v>
      </c>
      <c r="Q214" s="19">
        <f t="shared" ref="Q214:V214" si="171">P214*(1+Q216)</f>
        <v>443034.565</v>
      </c>
      <c r="R214" s="19">
        <f t="shared" si="171"/>
        <v>509992.9142</v>
      </c>
      <c r="S214" s="19">
        <f t="shared" si="171"/>
        <v>574321.239</v>
      </c>
      <c r="T214" s="19">
        <f t="shared" si="171"/>
        <v>632405.6326</v>
      </c>
      <c r="U214" s="19">
        <f t="shared" si="171"/>
        <v>680554.2925</v>
      </c>
      <c r="V214" s="19">
        <f t="shared" si="171"/>
        <v>715354.9281</v>
      </c>
      <c r="W214" s="19">
        <f>V214*(1+W216)/(B221-W216)</f>
        <v>7296620.266</v>
      </c>
    </row>
    <row r="215" ht="15.75" customHeight="1">
      <c r="A215" s="121" t="s">
        <v>123</v>
      </c>
      <c r="B215" s="122"/>
      <c r="C215" s="122"/>
      <c r="D215" s="122"/>
      <c r="E215" s="122"/>
      <c r="F215" s="122"/>
      <c r="G215" s="122"/>
      <c r="H215" s="122"/>
      <c r="I215" s="122"/>
      <c r="J215" s="123">
        <f>J85</f>
        <v>28274</v>
      </c>
      <c r="K215" s="27">
        <f t="shared" ref="K215:P215" si="172">K213+K214</f>
        <v>221688.7359</v>
      </c>
      <c r="L215" s="27">
        <f t="shared" si="172"/>
        <v>400420.0187</v>
      </c>
      <c r="M215" s="27">
        <f t="shared" si="172"/>
        <v>616422.9254</v>
      </c>
      <c r="N215" s="27">
        <f t="shared" si="172"/>
        <v>876964.436</v>
      </c>
      <c r="O215" s="27">
        <f t="shared" si="172"/>
        <v>1190573.125</v>
      </c>
      <c r="P215" s="27">
        <f t="shared" si="172"/>
        <v>1567259.723</v>
      </c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ht="15.75" customHeight="1">
      <c r="A216" s="29" t="s">
        <v>124</v>
      </c>
      <c r="L216" s="35">
        <f t="shared" ref="L216:P216" si="173">L214/K214-1</f>
        <v>-0.07591693042</v>
      </c>
      <c r="M216" s="35">
        <f t="shared" si="173"/>
        <v>0.208534417</v>
      </c>
      <c r="N216" s="35">
        <f t="shared" si="173"/>
        <v>0.2061944659</v>
      </c>
      <c r="O216" s="35">
        <f t="shared" si="173"/>
        <v>0.2036803185</v>
      </c>
      <c r="P216" s="35">
        <f t="shared" si="173"/>
        <v>0.2011357227</v>
      </c>
      <c r="Q216" s="35">
        <f t="shared" ref="Q216:V216" si="174">P216-$B$220</f>
        <v>0.1761357227</v>
      </c>
      <c r="R216" s="35">
        <f t="shared" si="174"/>
        <v>0.1511357227</v>
      </c>
      <c r="S216" s="35">
        <f t="shared" si="174"/>
        <v>0.1261357227</v>
      </c>
      <c r="T216" s="35">
        <f t="shared" si="174"/>
        <v>0.1011357227</v>
      </c>
      <c r="U216" s="35">
        <f t="shared" si="174"/>
        <v>0.07613572271</v>
      </c>
      <c r="V216" s="35">
        <f t="shared" si="174"/>
        <v>0.05113572271</v>
      </c>
      <c r="W216" s="35">
        <f>B219</f>
        <v>0.02</v>
      </c>
    </row>
    <row r="217" ht="15.75" customHeight="1">
      <c r="A217" s="1"/>
    </row>
    <row r="218" ht="15.75" customHeight="1">
      <c r="A218" s="1"/>
    </row>
    <row r="219" ht="15.75" customHeight="1">
      <c r="A219" s="29" t="s">
        <v>125</v>
      </c>
      <c r="B219" s="37">
        <v>0.02</v>
      </c>
    </row>
    <row r="220" ht="15.75" customHeight="1">
      <c r="A220" s="29" t="s">
        <v>126</v>
      </c>
      <c r="B220" s="37">
        <v>0.025</v>
      </c>
    </row>
    <row r="221" ht="15.75" customHeight="1">
      <c r="A221" s="29" t="s">
        <v>127</v>
      </c>
      <c r="B221" s="35">
        <f>SUM(B222:B223)</f>
        <v>0.12</v>
      </c>
    </row>
    <row r="222" ht="15.75" customHeight="1">
      <c r="A222" s="29" t="s">
        <v>128</v>
      </c>
      <c r="B222" s="37">
        <v>0.07</v>
      </c>
    </row>
    <row r="223" ht="15.75" customHeight="1">
      <c r="A223" s="29" t="s">
        <v>129</v>
      </c>
      <c r="B223" s="35">
        <f>(12%-7%)*B224</f>
        <v>0.05</v>
      </c>
    </row>
    <row r="224" ht="15.75" customHeight="1">
      <c r="A224" s="29" t="s">
        <v>130</v>
      </c>
      <c r="B224" s="124">
        <v>1.0</v>
      </c>
      <c r="J224" s="125"/>
    </row>
    <row r="225" ht="15.75" customHeight="1">
      <c r="A225" s="29" t="s">
        <v>131</v>
      </c>
      <c r="B225" s="19">
        <f>SUM(K225:W225)</f>
        <v>4072516.983</v>
      </c>
      <c r="J225" s="125" t="s">
        <v>182</v>
      </c>
      <c r="K225" s="19">
        <f t="shared" ref="K225:V225" si="175">-PV($B$221,K1-$J$1,,K214)</f>
        <v>172691.7284</v>
      </c>
      <c r="L225" s="19">
        <f t="shared" si="175"/>
        <v>142483.4844</v>
      </c>
      <c r="M225" s="19">
        <f t="shared" si="175"/>
        <v>153746.6024</v>
      </c>
      <c r="N225" s="19">
        <f t="shared" si="175"/>
        <v>165578.8402</v>
      </c>
      <c r="O225" s="19">
        <f t="shared" si="175"/>
        <v>177949.992</v>
      </c>
      <c r="P225" s="19">
        <f t="shared" si="175"/>
        <v>190841.1538</v>
      </c>
      <c r="Q225" s="19">
        <f t="shared" si="175"/>
        <v>200406.3379</v>
      </c>
      <c r="R225" s="19">
        <f t="shared" si="175"/>
        <v>205977.5844</v>
      </c>
      <c r="S225" s="19">
        <f t="shared" si="175"/>
        <v>207105.9963</v>
      </c>
      <c r="T225" s="19">
        <f t="shared" si="175"/>
        <v>203617.6884</v>
      </c>
      <c r="U225" s="19">
        <f t="shared" si="175"/>
        <v>195643.0966</v>
      </c>
      <c r="V225" s="19">
        <f t="shared" si="175"/>
        <v>183613.7927</v>
      </c>
      <c r="W225" s="19">
        <f>-PV($B$221,V1-$J$1,,W214)</f>
        <v>1872860.685</v>
      </c>
    </row>
    <row r="226" ht="15.75" customHeight="1">
      <c r="A226" s="29" t="s">
        <v>132</v>
      </c>
      <c r="B226" s="19">
        <f>sum(J85,J89,J90)</f>
        <v>101582</v>
      </c>
    </row>
    <row r="227" ht="15.75" customHeight="1">
      <c r="A227" s="126" t="s">
        <v>133</v>
      </c>
      <c r="B227" s="127">
        <f>B225+B226</f>
        <v>4174098.983</v>
      </c>
      <c r="C227" s="15" t="s">
        <v>183</v>
      </c>
    </row>
    <row r="228" ht="15.75" customHeight="1">
      <c r="A228" s="29" t="s">
        <v>135</v>
      </c>
      <c r="B228" s="19">
        <f>314400202/10^6</f>
        <v>314.400202</v>
      </c>
    </row>
    <row r="229" ht="15.75" customHeight="1">
      <c r="A229" s="29" t="s">
        <v>136</v>
      </c>
      <c r="B229" s="19">
        <f>B227/B228</f>
        <v>13276.38773</v>
      </c>
    </row>
    <row r="230" ht="15.75" customHeight="1">
      <c r="A230" s="121" t="s">
        <v>137</v>
      </c>
      <c r="B230" s="52">
        <v>15374.0</v>
      </c>
    </row>
    <row r="231" ht="15.75" customHeight="1">
      <c r="A231" s="1"/>
      <c r="B231" s="19">
        <f>B230-B229</f>
        <v>2097.612275</v>
      </c>
      <c r="C231" s="15" t="s">
        <v>138</v>
      </c>
    </row>
    <row r="232" ht="15.75" customHeight="1">
      <c r="A232" s="1"/>
    </row>
    <row r="233" ht="15.75" customHeight="1">
      <c r="A233" s="1"/>
      <c r="C233" s="19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>
      <c r="A403" s="1"/>
    </row>
    <row r="404" ht="15.75" customHeight="1">
      <c r="A404" s="1"/>
    </row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29" t="s">
        <v>107</v>
      </c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  <c r="K3" s="19">
        <f t="shared" ref="K3:P3" si="2">(K104*K124)/10^6</f>
        <v>0</v>
      </c>
      <c r="L3" s="19">
        <f t="shared" si="2"/>
        <v>0</v>
      </c>
      <c r="M3" s="19">
        <f t="shared" si="2"/>
        <v>0</v>
      </c>
      <c r="N3" s="19">
        <f t="shared" si="2"/>
        <v>0</v>
      </c>
      <c r="O3" s="19">
        <f t="shared" si="2"/>
        <v>0</v>
      </c>
      <c r="P3" s="19">
        <f t="shared" si="2"/>
        <v>0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  <c r="K4" s="20">
        <v>20000.0</v>
      </c>
      <c r="L4" s="21">
        <f t="shared" ref="L4:P4" si="3">K4</f>
        <v>20000</v>
      </c>
      <c r="M4" s="21">
        <f t="shared" si="3"/>
        <v>20000</v>
      </c>
      <c r="N4" s="21">
        <f t="shared" si="3"/>
        <v>20000</v>
      </c>
      <c r="O4" s="21">
        <f t="shared" si="3"/>
        <v>20000</v>
      </c>
      <c r="P4" s="21">
        <f t="shared" si="3"/>
        <v>20000</v>
      </c>
    </row>
    <row r="5" ht="15.75" customHeight="1">
      <c r="A5" s="7"/>
    </row>
    <row r="6" ht="15.75" customHeight="1">
      <c r="A6" s="8" t="s">
        <v>3</v>
      </c>
      <c r="B6" s="9">
        <f t="shared" ref="B6:P6" si="4">SUM(B3:B4)</f>
        <v>586120</v>
      </c>
      <c r="C6" s="9">
        <f t="shared" si="4"/>
        <v>703746</v>
      </c>
      <c r="D6" s="9">
        <f t="shared" si="4"/>
        <v>818552</v>
      </c>
      <c r="E6" s="9">
        <f t="shared" si="4"/>
        <v>886301</v>
      </c>
      <c r="F6" s="9">
        <f t="shared" si="4"/>
        <v>789944</v>
      </c>
      <c r="G6" s="9">
        <f t="shared" si="4"/>
        <v>733083</v>
      </c>
      <c r="H6" s="9">
        <f t="shared" si="4"/>
        <v>900745</v>
      </c>
      <c r="I6" s="9">
        <f t="shared" si="4"/>
        <v>1206746</v>
      </c>
      <c r="J6" s="9">
        <f t="shared" si="4"/>
        <v>1459517</v>
      </c>
      <c r="K6" s="9">
        <f t="shared" si="4"/>
        <v>20000</v>
      </c>
      <c r="L6" s="9">
        <f t="shared" si="4"/>
        <v>20000</v>
      </c>
      <c r="M6" s="9">
        <f t="shared" si="4"/>
        <v>20000</v>
      </c>
      <c r="N6" s="9">
        <f t="shared" si="4"/>
        <v>20000</v>
      </c>
      <c r="O6" s="9">
        <f t="shared" si="4"/>
        <v>20000</v>
      </c>
      <c r="P6" s="9">
        <f t="shared" si="4"/>
        <v>20000</v>
      </c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  <c r="K9" s="22">
        <f t="shared" ref="K9:P9" si="5">K$3*K129</f>
        <v>0</v>
      </c>
      <c r="L9" s="22">
        <f t="shared" si="5"/>
        <v>0</v>
      </c>
      <c r="M9" s="22">
        <f t="shared" si="5"/>
        <v>0</v>
      </c>
      <c r="N9" s="22">
        <f t="shared" si="5"/>
        <v>0</v>
      </c>
      <c r="O9" s="22">
        <f t="shared" si="5"/>
        <v>0</v>
      </c>
      <c r="P9" s="22">
        <f t="shared" si="5"/>
        <v>0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  <c r="K10" s="22">
        <f t="shared" ref="K10:P10" si="6">K$3*K130</f>
        <v>0</v>
      </c>
      <c r="L10" s="22">
        <f t="shared" si="6"/>
        <v>0</v>
      </c>
      <c r="M10" s="22">
        <f t="shared" si="6"/>
        <v>0</v>
      </c>
      <c r="N10" s="22">
        <f t="shared" si="6"/>
        <v>0</v>
      </c>
      <c r="O10" s="22">
        <f t="shared" si="6"/>
        <v>0</v>
      </c>
      <c r="P10" s="22">
        <f t="shared" si="6"/>
        <v>0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  <c r="K11" s="22">
        <f t="shared" ref="K11:P11" si="7">K$3*K131</f>
        <v>0</v>
      </c>
      <c r="L11" s="22">
        <f t="shared" si="7"/>
        <v>0</v>
      </c>
      <c r="M11" s="22">
        <f t="shared" si="7"/>
        <v>0</v>
      </c>
      <c r="N11" s="22">
        <f t="shared" si="7"/>
        <v>0</v>
      </c>
      <c r="O11" s="22">
        <f t="shared" si="7"/>
        <v>0</v>
      </c>
      <c r="P11" s="22">
        <f t="shared" si="7"/>
        <v>0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  <c r="K12" s="22">
        <f t="shared" ref="K12:P12" si="8">K$3*K132</f>
        <v>0</v>
      </c>
      <c r="L12" s="22">
        <f t="shared" si="8"/>
        <v>0</v>
      </c>
      <c r="M12" s="22">
        <f t="shared" si="8"/>
        <v>0</v>
      </c>
      <c r="N12" s="22">
        <f t="shared" si="8"/>
        <v>0</v>
      </c>
      <c r="O12" s="22">
        <f t="shared" si="8"/>
        <v>0</v>
      </c>
      <c r="P12" s="22">
        <f t="shared" si="8"/>
        <v>0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  <c r="K13" s="22">
        <f t="shared" ref="K13:P13" si="9">K$3*K133</f>
        <v>0</v>
      </c>
      <c r="L13" s="22">
        <f t="shared" si="9"/>
        <v>0</v>
      </c>
      <c r="M13" s="22">
        <f t="shared" si="9"/>
        <v>0</v>
      </c>
      <c r="N13" s="22">
        <f t="shared" si="9"/>
        <v>0</v>
      </c>
      <c r="O13" s="22">
        <f t="shared" si="9"/>
        <v>0</v>
      </c>
      <c r="P13" s="22">
        <f t="shared" si="9"/>
        <v>0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  <c r="K14" s="22">
        <f t="shared" ref="K14:P14" si="10">K$3*K134</f>
        <v>0</v>
      </c>
      <c r="L14" s="22">
        <f t="shared" si="10"/>
        <v>0</v>
      </c>
      <c r="M14" s="22">
        <f t="shared" si="10"/>
        <v>0</v>
      </c>
      <c r="N14" s="22">
        <f t="shared" si="10"/>
        <v>0</v>
      </c>
      <c r="O14" s="22">
        <f t="shared" si="10"/>
        <v>0</v>
      </c>
      <c r="P14" s="22">
        <f t="shared" si="10"/>
        <v>0</v>
      </c>
    </row>
    <row r="15" ht="15.75" customHeight="1">
      <c r="A15" s="7"/>
    </row>
    <row r="16" ht="15.75" customHeight="1">
      <c r="A16" s="8" t="s">
        <v>14</v>
      </c>
      <c r="B16" s="13">
        <f t="shared" ref="B16:P16" si="11">SUM(B9:B14)</f>
        <v>494932</v>
      </c>
      <c r="C16" s="13">
        <f t="shared" si="11"/>
        <v>577269</v>
      </c>
      <c r="D16" s="13">
        <f t="shared" si="11"/>
        <v>677460</v>
      </c>
      <c r="E16" s="13">
        <f t="shared" si="11"/>
        <v>750653</v>
      </c>
      <c r="F16" s="13">
        <f t="shared" si="11"/>
        <v>683474</v>
      </c>
      <c r="G16" s="13">
        <f t="shared" si="11"/>
        <v>650204</v>
      </c>
      <c r="H16" s="13">
        <f t="shared" si="11"/>
        <v>826236</v>
      </c>
      <c r="I16" s="13">
        <f t="shared" si="11"/>
        <v>1053155</v>
      </c>
      <c r="J16" s="13">
        <f t="shared" si="11"/>
        <v>1233319</v>
      </c>
      <c r="K16" s="13">
        <f t="shared" si="11"/>
        <v>0</v>
      </c>
      <c r="L16" s="13">
        <f t="shared" si="11"/>
        <v>0</v>
      </c>
      <c r="M16" s="13">
        <f t="shared" si="11"/>
        <v>0</v>
      </c>
      <c r="N16" s="13">
        <f t="shared" si="11"/>
        <v>0</v>
      </c>
      <c r="O16" s="13">
        <f t="shared" si="11"/>
        <v>0</v>
      </c>
      <c r="P16" s="13">
        <f t="shared" si="11"/>
        <v>0</v>
      </c>
    </row>
    <row r="17" ht="15.75" customHeight="1">
      <c r="A17" s="7"/>
    </row>
    <row r="18" ht="15.75" customHeight="1">
      <c r="A18" s="4" t="s">
        <v>15</v>
      </c>
      <c r="B18" s="6">
        <f t="shared" ref="B18:P18" si="12">B6-B16</f>
        <v>91188</v>
      </c>
      <c r="C18" s="6">
        <f t="shared" si="12"/>
        <v>126477</v>
      </c>
      <c r="D18" s="6">
        <f t="shared" si="12"/>
        <v>141092</v>
      </c>
      <c r="E18" s="6">
        <f t="shared" si="12"/>
        <v>135648</v>
      </c>
      <c r="F18" s="6">
        <f t="shared" si="12"/>
        <v>106470</v>
      </c>
      <c r="G18" s="6">
        <f t="shared" si="12"/>
        <v>82879</v>
      </c>
      <c r="H18" s="6">
        <f t="shared" si="12"/>
        <v>74509</v>
      </c>
      <c r="I18" s="6">
        <f t="shared" si="12"/>
        <v>153591</v>
      </c>
      <c r="J18" s="6">
        <f t="shared" si="12"/>
        <v>226198</v>
      </c>
      <c r="K18" s="23">
        <f t="shared" si="12"/>
        <v>20000</v>
      </c>
      <c r="L18" s="23">
        <f t="shared" si="12"/>
        <v>20000</v>
      </c>
      <c r="M18" s="23">
        <f t="shared" si="12"/>
        <v>20000</v>
      </c>
      <c r="N18" s="23">
        <f t="shared" si="12"/>
        <v>20000</v>
      </c>
      <c r="O18" s="23">
        <f t="shared" si="12"/>
        <v>20000</v>
      </c>
      <c r="P18" s="23">
        <f t="shared" si="12"/>
        <v>20000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</row>
    <row r="21" ht="15.75" customHeight="1">
      <c r="A21" s="7"/>
    </row>
    <row r="22" ht="15.75" customHeight="1">
      <c r="A22" s="7" t="s">
        <v>18</v>
      </c>
      <c r="B22" s="6">
        <f t="shared" ref="B22:P22" si="13">B18-B20</f>
        <v>62518</v>
      </c>
      <c r="C22" s="6">
        <f t="shared" si="13"/>
        <v>100438</v>
      </c>
      <c r="D22" s="6">
        <f t="shared" si="13"/>
        <v>113494</v>
      </c>
      <c r="E22" s="6">
        <f t="shared" si="13"/>
        <v>105440</v>
      </c>
      <c r="F22" s="6">
        <f t="shared" si="13"/>
        <v>71186</v>
      </c>
      <c r="G22" s="6">
        <f t="shared" si="13"/>
        <v>52538</v>
      </c>
      <c r="H22" s="6">
        <f t="shared" si="13"/>
        <v>46619</v>
      </c>
      <c r="I22" s="6">
        <f t="shared" si="13"/>
        <v>105131</v>
      </c>
      <c r="J22" s="6">
        <f t="shared" si="13"/>
        <v>173640</v>
      </c>
      <c r="K22" s="23">
        <f t="shared" si="13"/>
        <v>20000</v>
      </c>
      <c r="L22" s="23">
        <f t="shared" si="13"/>
        <v>20000</v>
      </c>
      <c r="M22" s="23">
        <f t="shared" si="13"/>
        <v>20000</v>
      </c>
      <c r="N22" s="23">
        <f t="shared" si="13"/>
        <v>20000</v>
      </c>
      <c r="O22" s="23">
        <f t="shared" si="13"/>
        <v>20000</v>
      </c>
      <c r="P22" s="23">
        <f t="shared" si="13"/>
        <v>20000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  <c r="K24" s="20">
        <f t="shared" ref="K24:P24" si="14">J24</f>
        <v>1936</v>
      </c>
      <c r="L24" s="21">
        <f t="shared" si="14"/>
        <v>1936</v>
      </c>
      <c r="M24" s="21">
        <f t="shared" si="14"/>
        <v>1936</v>
      </c>
      <c r="N24" s="21">
        <f t="shared" si="14"/>
        <v>1936</v>
      </c>
      <c r="O24" s="21">
        <f t="shared" si="14"/>
        <v>1936</v>
      </c>
      <c r="P24" s="21">
        <f t="shared" si="14"/>
        <v>1936</v>
      </c>
    </row>
    <row r="25" ht="15.75" customHeight="1">
      <c r="A25" s="7"/>
    </row>
    <row r="26" ht="15.75" customHeight="1">
      <c r="A26" s="7" t="s">
        <v>23</v>
      </c>
      <c r="B26" s="6">
        <f t="shared" ref="B26:P26" si="15">B22-B24</f>
        <v>61581</v>
      </c>
      <c r="C26" s="6">
        <f t="shared" si="15"/>
        <v>99544</v>
      </c>
      <c r="D26" s="6">
        <f t="shared" si="15"/>
        <v>110036</v>
      </c>
      <c r="E26" s="6">
        <f t="shared" si="15"/>
        <v>104681</v>
      </c>
      <c r="F26" s="6">
        <f t="shared" si="15"/>
        <v>69844</v>
      </c>
      <c r="G26" s="6">
        <f t="shared" si="15"/>
        <v>51520</v>
      </c>
      <c r="H26" s="6">
        <f t="shared" si="15"/>
        <v>45353</v>
      </c>
      <c r="I26" s="6">
        <f t="shared" si="15"/>
        <v>102608</v>
      </c>
      <c r="J26" s="6">
        <f t="shared" si="15"/>
        <v>171704</v>
      </c>
      <c r="K26" s="6">
        <f t="shared" si="15"/>
        <v>18064</v>
      </c>
      <c r="L26" s="6">
        <f t="shared" si="15"/>
        <v>18064</v>
      </c>
      <c r="M26" s="6">
        <f t="shared" si="15"/>
        <v>18064</v>
      </c>
      <c r="N26" s="6">
        <f t="shared" si="15"/>
        <v>18064</v>
      </c>
      <c r="O26" s="6">
        <f t="shared" si="15"/>
        <v>18064</v>
      </c>
      <c r="P26" s="6">
        <f t="shared" si="15"/>
        <v>18064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  <c r="K27" s="20">
        <f t="shared" ref="K27:P27" si="16">J27</f>
        <v>2669</v>
      </c>
      <c r="L27" s="21">
        <f t="shared" si="16"/>
        <v>2669</v>
      </c>
      <c r="M27" s="21">
        <f t="shared" si="16"/>
        <v>2669</v>
      </c>
      <c r="N27" s="21">
        <f t="shared" si="16"/>
        <v>2669</v>
      </c>
      <c r="O27" s="21">
        <f t="shared" si="16"/>
        <v>2669</v>
      </c>
      <c r="P27" s="21">
        <f t="shared" si="16"/>
        <v>2669</v>
      </c>
    </row>
    <row r="28" ht="15.75" customHeight="1">
      <c r="A28" s="4" t="s">
        <v>25</v>
      </c>
      <c r="B28" s="23">
        <f t="shared" ref="B28:P28" si="17">SUM(B26:B27)</f>
        <v>66296</v>
      </c>
      <c r="C28" s="23">
        <f t="shared" si="17"/>
        <v>101272</v>
      </c>
      <c r="D28" s="23">
        <f t="shared" si="17"/>
        <v>111669</v>
      </c>
      <c r="E28" s="23">
        <f t="shared" si="17"/>
        <v>102651</v>
      </c>
      <c r="F28" s="23">
        <f t="shared" si="17"/>
        <v>65427</v>
      </c>
      <c r="G28" s="23">
        <f t="shared" si="17"/>
        <v>56656</v>
      </c>
      <c r="H28" s="23">
        <f t="shared" si="17"/>
        <v>48482</v>
      </c>
      <c r="I28" s="23">
        <f t="shared" si="17"/>
        <v>103194</v>
      </c>
      <c r="J28" s="23">
        <f t="shared" si="17"/>
        <v>174373</v>
      </c>
      <c r="K28" s="23">
        <f t="shared" si="17"/>
        <v>20733</v>
      </c>
      <c r="L28" s="23">
        <f t="shared" si="17"/>
        <v>20733</v>
      </c>
      <c r="M28" s="23">
        <f t="shared" si="17"/>
        <v>20733</v>
      </c>
      <c r="N28" s="23">
        <f t="shared" si="17"/>
        <v>20733</v>
      </c>
      <c r="O28" s="23">
        <f t="shared" si="17"/>
        <v>20733</v>
      </c>
      <c r="P28" s="23">
        <f t="shared" si="17"/>
        <v>20733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  <c r="K30" s="19">
        <f t="shared" ref="K30:P30" si="18">K28*K31</f>
        <v>6219.9</v>
      </c>
      <c r="L30" s="19">
        <f t="shared" si="18"/>
        <v>6219.9</v>
      </c>
      <c r="M30" s="19">
        <f t="shared" si="18"/>
        <v>6219.9</v>
      </c>
      <c r="N30" s="19">
        <f t="shared" si="18"/>
        <v>6219.9</v>
      </c>
      <c r="O30" s="19">
        <f t="shared" si="18"/>
        <v>6219.9</v>
      </c>
      <c r="P30" s="19">
        <f t="shared" si="18"/>
        <v>6219.9</v>
      </c>
    </row>
    <row r="31" ht="15.75" customHeight="1">
      <c r="A31" s="7"/>
      <c r="K31" s="37">
        <v>0.3</v>
      </c>
      <c r="L31" s="38">
        <f t="shared" ref="L31:P31" si="19">K31</f>
        <v>0.3</v>
      </c>
      <c r="M31" s="38">
        <f t="shared" si="19"/>
        <v>0.3</v>
      </c>
      <c r="N31" s="38">
        <f t="shared" si="19"/>
        <v>0.3</v>
      </c>
      <c r="O31" s="38">
        <f t="shared" si="19"/>
        <v>0.3</v>
      </c>
      <c r="P31" s="38">
        <f t="shared" si="19"/>
        <v>0.3</v>
      </c>
    </row>
    <row r="32" ht="15.75" customHeight="1">
      <c r="A32" s="7" t="s">
        <v>27</v>
      </c>
      <c r="B32" s="6">
        <f t="shared" ref="B32:P32" si="20">B28-B30</f>
        <v>46309</v>
      </c>
      <c r="C32" s="6">
        <f t="shared" si="20"/>
        <v>75110</v>
      </c>
      <c r="D32" s="6">
        <f t="shared" si="20"/>
        <v>78807</v>
      </c>
      <c r="E32" s="6">
        <f t="shared" si="20"/>
        <v>72919</v>
      </c>
      <c r="F32" s="6">
        <f t="shared" si="20"/>
        <v>51175</v>
      </c>
      <c r="G32" s="6">
        <f t="shared" si="20"/>
        <v>47337</v>
      </c>
      <c r="H32" s="6">
        <f t="shared" si="20"/>
        <v>40305</v>
      </c>
      <c r="I32" s="6">
        <f t="shared" si="20"/>
        <v>81449</v>
      </c>
      <c r="J32" s="6">
        <f t="shared" si="20"/>
        <v>135010</v>
      </c>
      <c r="K32" s="6">
        <f t="shared" si="20"/>
        <v>14513.1</v>
      </c>
      <c r="L32" s="6">
        <f t="shared" si="20"/>
        <v>14513.1</v>
      </c>
      <c r="M32" s="6">
        <f t="shared" si="20"/>
        <v>14513.1</v>
      </c>
      <c r="N32" s="6">
        <f t="shared" si="20"/>
        <v>14513.1</v>
      </c>
      <c r="O32" s="6">
        <f t="shared" si="20"/>
        <v>14513.1</v>
      </c>
      <c r="P32" s="6">
        <f t="shared" si="20"/>
        <v>14513.1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  <c r="K33" s="20">
        <f t="shared" ref="K33:P33" si="21">J33</f>
        <v>2541</v>
      </c>
      <c r="L33" s="21">
        <f t="shared" si="21"/>
        <v>2541</v>
      </c>
      <c r="M33" s="21">
        <f t="shared" si="21"/>
        <v>2541</v>
      </c>
      <c r="N33" s="21">
        <f t="shared" si="21"/>
        <v>2541</v>
      </c>
      <c r="O33" s="21">
        <f t="shared" si="21"/>
        <v>2541</v>
      </c>
      <c r="P33" s="21">
        <f t="shared" si="21"/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22">B32+B33</f>
        <v>46988</v>
      </c>
      <c r="C36" s="9">
        <f t="shared" si="22"/>
        <v>77326</v>
      </c>
      <c r="D36" s="9">
        <f t="shared" si="22"/>
        <v>82118</v>
      </c>
      <c r="E36" s="9">
        <f>E32+F33</f>
        <v>74103</v>
      </c>
      <c r="F36" s="9">
        <f t="shared" ref="F36:P36" si="23">F32+F33</f>
        <v>52359</v>
      </c>
      <c r="G36" s="9">
        <f t="shared" si="23"/>
        <v>49027</v>
      </c>
      <c r="H36" s="9">
        <f t="shared" si="23"/>
        <v>41924</v>
      </c>
      <c r="I36" s="9">
        <f t="shared" si="23"/>
        <v>83223</v>
      </c>
      <c r="J36" s="9">
        <f t="shared" si="23"/>
        <v>137551</v>
      </c>
      <c r="K36" s="9">
        <f t="shared" si="23"/>
        <v>17054.1</v>
      </c>
      <c r="L36" s="9">
        <f t="shared" si="23"/>
        <v>17054.1</v>
      </c>
      <c r="M36" s="9">
        <f t="shared" si="23"/>
        <v>17054.1</v>
      </c>
      <c r="N36" s="9">
        <f t="shared" si="23"/>
        <v>17054.1</v>
      </c>
      <c r="O36" s="9">
        <f t="shared" si="23"/>
        <v>17054.1</v>
      </c>
      <c r="P36" s="9">
        <f t="shared" si="23"/>
        <v>17054.1</v>
      </c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  <c r="B41" s="27">
        <f t="shared" ref="B41:P41" si="24">SUM(B42:B47)</f>
        <v>306304</v>
      </c>
      <c r="C41" s="27">
        <f t="shared" si="24"/>
        <v>370905</v>
      </c>
      <c r="D41" s="27">
        <f t="shared" si="24"/>
        <v>425755</v>
      </c>
      <c r="E41" s="27">
        <f t="shared" si="24"/>
        <v>471097</v>
      </c>
      <c r="F41" s="27">
        <f t="shared" si="24"/>
        <v>494322</v>
      </c>
      <c r="G41" s="27">
        <f t="shared" si="24"/>
        <v>525006</v>
      </c>
      <c r="H41" s="27">
        <f t="shared" si="24"/>
        <v>553335</v>
      </c>
      <c r="I41" s="27">
        <f t="shared" si="24"/>
        <v>746002</v>
      </c>
      <c r="J41" s="27">
        <f t="shared" si="24"/>
        <v>856360</v>
      </c>
      <c r="K41" s="27">
        <f t="shared" si="24"/>
        <v>873414.1</v>
      </c>
      <c r="L41" s="27">
        <f t="shared" si="24"/>
        <v>890468.2</v>
      </c>
      <c r="M41" s="27">
        <f t="shared" si="24"/>
        <v>907522.3</v>
      </c>
      <c r="N41" s="27">
        <f t="shared" si="24"/>
        <v>924576.4</v>
      </c>
      <c r="O41" s="27">
        <f t="shared" si="24"/>
        <v>941630.5</v>
      </c>
      <c r="P41" s="27">
        <f t="shared" si="24"/>
        <v>958684.6</v>
      </c>
    </row>
    <row r="42" ht="15.75" customHeight="1">
      <c r="A42" s="1" t="s">
        <v>32</v>
      </c>
      <c r="B42" s="22">
        <v>1510.0</v>
      </c>
      <c r="C42" s="22">
        <v>1510.0</v>
      </c>
      <c r="D42" s="22">
        <v>1510.0</v>
      </c>
      <c r="E42" s="22">
        <v>1510.0</v>
      </c>
      <c r="F42" s="22">
        <v>1510.0</v>
      </c>
      <c r="G42" s="22">
        <v>1510.0</v>
      </c>
      <c r="H42" s="22">
        <v>1510.0</v>
      </c>
      <c r="I42" s="22">
        <v>1572.0</v>
      </c>
      <c r="J42" s="22">
        <v>1572.0</v>
      </c>
      <c r="K42" s="21">
        <f t="shared" ref="K42:P42" si="25">J42</f>
        <v>1572</v>
      </c>
      <c r="L42" s="21">
        <f t="shared" si="25"/>
        <v>1572</v>
      </c>
      <c r="M42" s="21">
        <f t="shared" si="25"/>
        <v>1572</v>
      </c>
      <c r="N42" s="21">
        <f t="shared" si="25"/>
        <v>1572</v>
      </c>
      <c r="O42" s="21">
        <f t="shared" si="25"/>
        <v>1572</v>
      </c>
      <c r="P42" s="21">
        <f t="shared" si="25"/>
        <v>1572</v>
      </c>
    </row>
    <row r="43" ht="15.75" customHeight="1">
      <c r="A43" s="1" t="s">
        <v>33</v>
      </c>
      <c r="B43" s="22">
        <v>304650.0</v>
      </c>
      <c r="C43" s="22">
        <v>369241.0</v>
      </c>
      <c r="D43" s="22">
        <v>424084.0</v>
      </c>
      <c r="E43" s="22">
        <v>469411.0</v>
      </c>
      <c r="F43" s="22">
        <v>492620.0</v>
      </c>
      <c r="G43" s="22">
        <v>523496.0</v>
      </c>
      <c r="H43" s="22">
        <v>551825.0</v>
      </c>
      <c r="I43" s="22">
        <v>744430.0</v>
      </c>
      <c r="J43" s="22">
        <v>854788.0</v>
      </c>
      <c r="K43" s="19">
        <f t="shared" ref="K43:P43" si="26">J43+K36</f>
        <v>871842.1</v>
      </c>
      <c r="L43" s="19">
        <f t="shared" si="26"/>
        <v>888896.2</v>
      </c>
      <c r="M43" s="19">
        <f t="shared" si="26"/>
        <v>905950.3</v>
      </c>
      <c r="N43" s="19">
        <f t="shared" si="26"/>
        <v>923004.4</v>
      </c>
      <c r="O43" s="19">
        <f t="shared" si="26"/>
        <v>940058.5</v>
      </c>
      <c r="P43" s="19">
        <f t="shared" si="26"/>
        <v>957112.6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  <c r="B46" s="22">
        <v>144.0</v>
      </c>
      <c r="C46" s="22">
        <v>154.0</v>
      </c>
      <c r="D46" s="22">
        <v>161.0</v>
      </c>
      <c r="E46" s="22">
        <v>176.0</v>
      </c>
      <c r="F46" s="22">
        <v>192.0</v>
      </c>
      <c r="G46" s="22">
        <v>0.0</v>
      </c>
      <c r="H46" s="22">
        <v>0.0</v>
      </c>
      <c r="I46" s="22">
        <v>0.0</v>
      </c>
      <c r="J46" s="22">
        <v>0.0</v>
      </c>
      <c r="K46" s="21">
        <f t="shared" ref="K46:P46" si="27">J46</f>
        <v>0</v>
      </c>
      <c r="L46" s="21">
        <f t="shared" si="27"/>
        <v>0</v>
      </c>
      <c r="M46" s="21">
        <f t="shared" si="27"/>
        <v>0</v>
      </c>
      <c r="N46" s="21">
        <f t="shared" si="27"/>
        <v>0</v>
      </c>
      <c r="O46" s="21">
        <f t="shared" si="27"/>
        <v>0</v>
      </c>
      <c r="P46" s="21">
        <f t="shared" si="27"/>
        <v>0</v>
      </c>
    </row>
    <row r="47" ht="15.75" customHeight="1">
      <c r="A47" s="7" t="s">
        <v>36</v>
      </c>
      <c r="B47" s="22">
        <v>0.0</v>
      </c>
      <c r="C47" s="22">
        <v>0.0</v>
      </c>
      <c r="D47" s="22">
        <v>0.0</v>
      </c>
      <c r="E47" s="22">
        <v>0.0</v>
      </c>
      <c r="F47" s="22">
        <v>0.0</v>
      </c>
      <c r="G47" s="22">
        <v>0.0</v>
      </c>
      <c r="H47" s="22">
        <v>0.0</v>
      </c>
      <c r="I47" s="22">
        <v>0.0</v>
      </c>
      <c r="J47" s="22">
        <v>0.0</v>
      </c>
      <c r="K47" s="21">
        <f t="shared" ref="K47:P47" si="28">J47</f>
        <v>0</v>
      </c>
      <c r="L47" s="21">
        <f t="shared" si="28"/>
        <v>0</v>
      </c>
      <c r="M47" s="21">
        <f t="shared" si="28"/>
        <v>0</v>
      </c>
      <c r="N47" s="21">
        <f t="shared" si="28"/>
        <v>0</v>
      </c>
      <c r="O47" s="21">
        <f t="shared" si="28"/>
        <v>0</v>
      </c>
      <c r="P47" s="21">
        <f t="shared" si="28"/>
        <v>0</v>
      </c>
    </row>
    <row r="48" ht="15.75" customHeight="1">
      <c r="A48" s="7"/>
    </row>
    <row r="49" ht="15.75" customHeight="1">
      <c r="A49" s="7" t="s">
        <v>37</v>
      </c>
      <c r="B49" s="27">
        <f t="shared" ref="B49:P49" si="29">SUM(B50:B54)</f>
        <v>10510</v>
      </c>
      <c r="C49" s="27">
        <f t="shared" si="29"/>
        <v>16332</v>
      </c>
      <c r="D49" s="27">
        <f t="shared" si="29"/>
        <v>22244</v>
      </c>
      <c r="E49" s="27">
        <f t="shared" si="29"/>
        <v>26985</v>
      </c>
      <c r="F49" s="27">
        <f t="shared" si="29"/>
        <v>28901</v>
      </c>
      <c r="G49" s="27">
        <f t="shared" si="29"/>
        <v>26616</v>
      </c>
      <c r="H49" s="27">
        <f t="shared" si="29"/>
        <v>22985</v>
      </c>
      <c r="I49" s="27">
        <f t="shared" si="29"/>
        <v>30185</v>
      </c>
      <c r="J49" s="27">
        <f t="shared" si="29"/>
        <v>37630</v>
      </c>
      <c r="K49" s="27">
        <f t="shared" si="29"/>
        <v>37630</v>
      </c>
      <c r="L49" s="27">
        <f t="shared" si="29"/>
        <v>37630</v>
      </c>
      <c r="M49" s="27">
        <f t="shared" si="29"/>
        <v>37630</v>
      </c>
      <c r="N49" s="27">
        <f t="shared" si="29"/>
        <v>37630</v>
      </c>
      <c r="O49" s="27">
        <f t="shared" si="29"/>
        <v>37630</v>
      </c>
      <c r="P49" s="27">
        <f t="shared" si="29"/>
        <v>37630</v>
      </c>
    </row>
    <row r="50" ht="15.75" customHeight="1">
      <c r="A50" s="1" t="s">
        <v>38</v>
      </c>
      <c r="B50" s="22">
        <v>0.0</v>
      </c>
      <c r="C50" s="22">
        <v>0.0</v>
      </c>
      <c r="D50" s="22">
        <v>100.0</v>
      </c>
      <c r="E50" s="22">
        <v>80.0</v>
      </c>
      <c r="F50" s="22">
        <v>652.0</v>
      </c>
      <c r="G50" s="22">
        <v>420.0</v>
      </c>
      <c r="H50" s="22">
        <v>329.0</v>
      </c>
      <c r="I50" s="22">
        <v>250.0</v>
      </c>
      <c r="J50" s="22">
        <v>677.0</v>
      </c>
      <c r="K50" s="21">
        <f t="shared" ref="K50:P50" si="30">J50</f>
        <v>677</v>
      </c>
      <c r="L50" s="21">
        <f t="shared" si="30"/>
        <v>677</v>
      </c>
      <c r="M50" s="21">
        <f t="shared" si="30"/>
        <v>677</v>
      </c>
      <c r="N50" s="21">
        <f t="shared" si="30"/>
        <v>677</v>
      </c>
      <c r="O50" s="21">
        <f t="shared" si="30"/>
        <v>677</v>
      </c>
      <c r="P50" s="21">
        <f t="shared" si="30"/>
        <v>677</v>
      </c>
    </row>
    <row r="51" ht="15.75" customHeight="1">
      <c r="A51" s="1" t="s">
        <v>39</v>
      </c>
      <c r="B51" s="22">
        <v>8075.0</v>
      </c>
      <c r="C51" s="22">
        <v>11055.0</v>
      </c>
      <c r="D51" s="22">
        <v>15859.0</v>
      </c>
      <c r="E51" s="22">
        <v>20371.0</v>
      </c>
      <c r="F51" s="22">
        <v>21158.0</v>
      </c>
      <c r="G51" s="22">
        <v>21295.0</v>
      </c>
      <c r="H51" s="22">
        <v>21812.0</v>
      </c>
      <c r="I51" s="22">
        <v>25850.0</v>
      </c>
      <c r="J51" s="22">
        <v>31617.0</v>
      </c>
      <c r="K51" s="21">
        <f t="shared" ref="K51:P51" si="31">J51</f>
        <v>31617</v>
      </c>
      <c r="L51" s="21">
        <f t="shared" si="31"/>
        <v>31617</v>
      </c>
      <c r="M51" s="21">
        <f t="shared" si="31"/>
        <v>31617</v>
      </c>
      <c r="N51" s="21">
        <f t="shared" si="31"/>
        <v>31617</v>
      </c>
      <c r="O51" s="21">
        <f t="shared" si="31"/>
        <v>31617</v>
      </c>
      <c r="P51" s="21">
        <f t="shared" si="31"/>
        <v>31617</v>
      </c>
    </row>
    <row r="52" ht="15.75" customHeight="1">
      <c r="A52" s="1" t="s">
        <v>40</v>
      </c>
      <c r="B52" s="22">
        <v>148.0</v>
      </c>
      <c r="C52" s="22">
        <v>219.0</v>
      </c>
      <c r="D52" s="22">
        <v>265.0</v>
      </c>
      <c r="E52" s="22">
        <v>395.0</v>
      </c>
      <c r="F52" s="22">
        <v>516.0</v>
      </c>
      <c r="G52" s="22">
        <v>447.0</v>
      </c>
      <c r="H52" s="22">
        <v>844.0</v>
      </c>
      <c r="I52" s="22">
        <v>875.0</v>
      </c>
      <c r="J52" s="22">
        <v>1448.0</v>
      </c>
      <c r="K52" s="21">
        <f t="shared" ref="K52:P52" si="32">J52</f>
        <v>1448</v>
      </c>
      <c r="L52" s="21">
        <f t="shared" si="32"/>
        <v>1448</v>
      </c>
      <c r="M52" s="21">
        <f t="shared" si="32"/>
        <v>1448</v>
      </c>
      <c r="N52" s="21">
        <f t="shared" si="32"/>
        <v>1448</v>
      </c>
      <c r="O52" s="21">
        <f t="shared" si="32"/>
        <v>1448</v>
      </c>
      <c r="P52" s="21">
        <f t="shared" si="32"/>
        <v>1448</v>
      </c>
    </row>
    <row r="53" ht="15.75" customHeight="1">
      <c r="A53" s="1" t="s">
        <v>41</v>
      </c>
      <c r="B53" s="22">
        <v>2287.0</v>
      </c>
      <c r="C53" s="22">
        <v>5058.0</v>
      </c>
      <c r="D53" s="22">
        <v>6020.0</v>
      </c>
      <c r="E53" s="22">
        <v>6139.0</v>
      </c>
      <c r="F53" s="22">
        <v>6575.0</v>
      </c>
      <c r="G53" s="22">
        <v>4454.0</v>
      </c>
      <c r="H53" s="22">
        <v>0.0</v>
      </c>
      <c r="I53" s="22">
        <v>3210.0</v>
      </c>
      <c r="J53" s="22">
        <v>3888.0</v>
      </c>
      <c r="K53" s="21">
        <f t="shared" ref="K53:P53" si="33">J53</f>
        <v>3888</v>
      </c>
      <c r="L53" s="21">
        <f t="shared" si="33"/>
        <v>3888</v>
      </c>
      <c r="M53" s="21">
        <f t="shared" si="33"/>
        <v>3888</v>
      </c>
      <c r="N53" s="21">
        <f t="shared" si="33"/>
        <v>3888</v>
      </c>
      <c r="O53" s="21">
        <f t="shared" si="33"/>
        <v>3888</v>
      </c>
      <c r="P53" s="21">
        <f t="shared" si="33"/>
        <v>3888</v>
      </c>
    </row>
    <row r="54" ht="15.75" customHeight="1">
      <c r="A54" s="7"/>
    </row>
    <row r="55" ht="15.75" customHeight="1">
      <c r="A55" s="1" t="s">
        <v>42</v>
      </c>
      <c r="B55" s="27">
        <f t="shared" ref="B55:P55" si="34">SUM(B56:B62)</f>
        <v>110441</v>
      </c>
      <c r="C55" s="27">
        <f t="shared" si="34"/>
        <v>132368</v>
      </c>
      <c r="D55" s="27">
        <f t="shared" si="34"/>
        <v>154485</v>
      </c>
      <c r="E55" s="27">
        <f t="shared" si="34"/>
        <v>141605</v>
      </c>
      <c r="F55" s="27">
        <f t="shared" si="34"/>
        <v>113054</v>
      </c>
      <c r="G55" s="27">
        <f t="shared" si="34"/>
        <v>162139</v>
      </c>
      <c r="H55" s="27">
        <f t="shared" si="34"/>
        <v>170235</v>
      </c>
      <c r="I55" s="27">
        <f t="shared" si="34"/>
        <v>227667</v>
      </c>
      <c r="J55" s="27">
        <f t="shared" si="34"/>
        <v>259518</v>
      </c>
      <c r="K55" s="27">
        <f t="shared" si="34"/>
        <v>0</v>
      </c>
      <c r="L55" s="27">
        <f t="shared" si="34"/>
        <v>0</v>
      </c>
      <c r="M55" s="27">
        <f t="shared" si="34"/>
        <v>0</v>
      </c>
      <c r="N55" s="27">
        <f t="shared" si="34"/>
        <v>0</v>
      </c>
      <c r="O55" s="27">
        <f t="shared" si="34"/>
        <v>0</v>
      </c>
      <c r="P55" s="27">
        <f t="shared" si="34"/>
        <v>0</v>
      </c>
    </row>
    <row r="56" ht="15.75" customHeight="1">
      <c r="A56" s="1" t="s">
        <v>43</v>
      </c>
      <c r="B56" s="22">
        <v>7956.0</v>
      </c>
      <c r="C56" s="22">
        <v>8036.0</v>
      </c>
      <c r="D56" s="22">
        <v>8541.0</v>
      </c>
      <c r="E56" s="22">
        <v>6729.0</v>
      </c>
      <c r="F56" s="22">
        <v>6962.0</v>
      </c>
      <c r="G56" s="22">
        <v>8547.0</v>
      </c>
      <c r="H56" s="22">
        <v>11113.0</v>
      </c>
      <c r="I56" s="22">
        <v>11584.0</v>
      </c>
      <c r="J56" s="22">
        <v>12030.0</v>
      </c>
      <c r="K56" s="19" t="str">
        <f t="shared" ref="K56:P56" si="35">K166</f>
        <v/>
      </c>
      <c r="L56" s="19" t="str">
        <f t="shared" si="35"/>
        <v/>
      </c>
      <c r="M56" s="19" t="str">
        <f t="shared" si="35"/>
        <v/>
      </c>
      <c r="N56" s="19" t="str">
        <f t="shared" si="35"/>
        <v/>
      </c>
      <c r="O56" s="19" t="str">
        <f t="shared" si="35"/>
        <v/>
      </c>
      <c r="P56" s="19" t="str">
        <f t="shared" si="35"/>
        <v/>
      </c>
    </row>
    <row r="57" ht="15.75" customHeight="1">
      <c r="A57" s="1" t="s">
        <v>44</v>
      </c>
      <c r="B57" s="22">
        <v>774.0</v>
      </c>
      <c r="C57" s="22">
        <v>4838.0</v>
      </c>
      <c r="D57" s="22">
        <v>1108.0</v>
      </c>
      <c r="E57" s="22">
        <v>1496.0</v>
      </c>
      <c r="F57" s="22">
        <v>1063.0</v>
      </c>
      <c r="G57" s="22">
        <v>4962.0</v>
      </c>
      <c r="H57" s="22">
        <v>3819.0</v>
      </c>
      <c r="I57" s="22">
        <v>12226.0</v>
      </c>
      <c r="J57" s="22">
        <v>509.0</v>
      </c>
      <c r="K57" s="19" t="str">
        <f t="shared" ref="K57:P57" si="36">K167</f>
        <v/>
      </c>
      <c r="L57" s="19" t="str">
        <f t="shared" si="36"/>
        <v/>
      </c>
      <c r="M57" s="19" t="str">
        <f t="shared" si="36"/>
        <v/>
      </c>
      <c r="N57" s="19" t="str">
        <f t="shared" si="36"/>
        <v/>
      </c>
      <c r="O57" s="19" t="str">
        <f t="shared" si="36"/>
        <v/>
      </c>
      <c r="P57" s="19" t="str">
        <f t="shared" si="36"/>
        <v/>
      </c>
    </row>
    <row r="58" ht="15.75" customHeight="1">
      <c r="A58" s="1" t="s">
        <v>45</v>
      </c>
      <c r="B58" s="22">
        <v>74089.0</v>
      </c>
      <c r="C58" s="22">
        <v>83692.0</v>
      </c>
      <c r="D58" s="22">
        <v>104993.0</v>
      </c>
      <c r="E58" s="22">
        <v>96377.0</v>
      </c>
      <c r="F58" s="22">
        <v>75091.0</v>
      </c>
      <c r="G58" s="22">
        <v>101681.0</v>
      </c>
      <c r="H58" s="22">
        <v>97732.0</v>
      </c>
      <c r="I58" s="22">
        <v>1947.0</v>
      </c>
      <c r="J58" s="22">
        <v>2070.0</v>
      </c>
      <c r="K58" s="19" t="str">
        <f t="shared" ref="K58:P58" si="37">K168</f>
        <v/>
      </c>
      <c r="L58" s="19" t="str">
        <f t="shared" si="37"/>
        <v/>
      </c>
      <c r="M58" s="19" t="str">
        <f t="shared" si="37"/>
        <v/>
      </c>
      <c r="N58" s="19" t="str">
        <f t="shared" si="37"/>
        <v/>
      </c>
      <c r="O58" s="19" t="str">
        <f t="shared" si="37"/>
        <v/>
      </c>
      <c r="P58" s="19" t="str">
        <f t="shared" si="37"/>
        <v/>
      </c>
    </row>
    <row r="59" ht="15.75" customHeight="1">
      <c r="A59" s="1" t="s">
        <v>45</v>
      </c>
      <c r="B59" s="22">
        <v>0.0</v>
      </c>
      <c r="C59" s="22">
        <v>0.0</v>
      </c>
      <c r="D59" s="22">
        <v>0.0</v>
      </c>
      <c r="E59" s="22">
        <v>0.0</v>
      </c>
      <c r="F59" s="22">
        <v>0.0</v>
      </c>
      <c r="G59" s="22">
        <v>0.0</v>
      </c>
      <c r="H59" s="22">
        <v>0.0</v>
      </c>
      <c r="I59" s="22">
        <v>134808.0</v>
      </c>
      <c r="J59" s="22">
        <v>167814.0</v>
      </c>
      <c r="K59" s="114"/>
      <c r="L59" s="114"/>
      <c r="M59" s="114"/>
      <c r="N59" s="114"/>
      <c r="O59" s="114"/>
      <c r="P59" s="114"/>
    </row>
    <row r="60" ht="15.75" customHeight="1">
      <c r="A60" s="1" t="s">
        <v>46</v>
      </c>
      <c r="B60" s="22">
        <v>11650.0</v>
      </c>
      <c r="C60" s="22">
        <v>18278.0</v>
      </c>
      <c r="D60" s="22">
        <v>20896.0</v>
      </c>
      <c r="E60" s="22">
        <v>16329.0</v>
      </c>
      <c r="F60" s="22">
        <v>14091.0</v>
      </c>
      <c r="G60" s="22">
        <v>26801.0</v>
      </c>
      <c r="H60" s="22">
        <v>28686.0</v>
      </c>
      <c r="I60" s="22">
        <v>33372.0</v>
      </c>
      <c r="J60" s="22">
        <v>41739.0</v>
      </c>
      <c r="K60" s="19" t="str">
        <f t="shared" ref="K60:P60" si="38">K169</f>
        <v/>
      </c>
      <c r="L60" s="19" t="str">
        <f t="shared" si="38"/>
        <v/>
      </c>
      <c r="M60" s="19" t="str">
        <f t="shared" si="38"/>
        <v/>
      </c>
      <c r="N60" s="19" t="str">
        <f t="shared" si="38"/>
        <v/>
      </c>
      <c r="O60" s="19" t="str">
        <f t="shared" si="38"/>
        <v/>
      </c>
      <c r="P60" s="19" t="str">
        <f t="shared" si="38"/>
        <v/>
      </c>
    </row>
    <row r="61" ht="15.75" customHeight="1">
      <c r="A61" s="1" t="s">
        <v>47</v>
      </c>
      <c r="B61" s="22">
        <v>3994.0</v>
      </c>
      <c r="C61" s="22">
        <v>4496.0</v>
      </c>
      <c r="D61" s="22">
        <v>5609.0</v>
      </c>
      <c r="E61" s="22">
        <v>6254.0</v>
      </c>
      <c r="F61" s="22">
        <v>6807.0</v>
      </c>
      <c r="G61" s="22">
        <v>7428.0</v>
      </c>
      <c r="H61" s="22">
        <v>8613.0</v>
      </c>
      <c r="I61" s="22">
        <v>10830.0</v>
      </c>
      <c r="J61" s="22">
        <v>13119.0</v>
      </c>
      <c r="K61" s="19" t="str">
        <f t="shared" ref="K61:P61" si="39">K170</f>
        <v/>
      </c>
      <c r="L61" s="19" t="str">
        <f t="shared" si="39"/>
        <v/>
      </c>
      <c r="M61" s="19" t="str">
        <f t="shared" si="39"/>
        <v/>
      </c>
      <c r="N61" s="19" t="str">
        <f t="shared" si="39"/>
        <v/>
      </c>
      <c r="O61" s="19" t="str">
        <f t="shared" si="39"/>
        <v/>
      </c>
      <c r="P61" s="19" t="str">
        <f t="shared" si="39"/>
        <v/>
      </c>
    </row>
    <row r="62" ht="15.75" customHeight="1">
      <c r="A62" s="1" t="s">
        <v>48</v>
      </c>
      <c r="B62" s="22">
        <v>11978.0</v>
      </c>
      <c r="C62" s="22">
        <v>13028.0</v>
      </c>
      <c r="D62" s="22">
        <v>13338.0</v>
      </c>
      <c r="E62" s="22">
        <v>14420.0</v>
      </c>
      <c r="F62" s="22">
        <v>9040.0</v>
      </c>
      <c r="G62" s="22">
        <v>12720.0</v>
      </c>
      <c r="H62" s="22">
        <v>20272.0</v>
      </c>
      <c r="I62" s="22">
        <v>22900.0</v>
      </c>
      <c r="J62" s="22">
        <v>22237.0</v>
      </c>
      <c r="K62" s="19" t="str">
        <f t="shared" ref="K62:P62" si="40">K171</f>
        <v/>
      </c>
      <c r="L62" s="19" t="str">
        <f t="shared" si="40"/>
        <v/>
      </c>
      <c r="M62" s="19" t="str">
        <f t="shared" si="40"/>
        <v/>
      </c>
      <c r="N62" s="19" t="str">
        <f t="shared" si="40"/>
        <v/>
      </c>
      <c r="O62" s="19" t="str">
        <f t="shared" si="40"/>
        <v/>
      </c>
      <c r="P62" s="19" t="str">
        <f t="shared" si="40"/>
        <v/>
      </c>
    </row>
    <row r="63" ht="15.75" customHeight="1">
      <c r="A63" s="8" t="s">
        <v>49</v>
      </c>
      <c r="B63" s="30">
        <f t="shared" ref="B63:P63" si="41">sum(B41,B49,B55)</f>
        <v>427255</v>
      </c>
      <c r="C63" s="30">
        <f t="shared" si="41"/>
        <v>519605</v>
      </c>
      <c r="D63" s="30">
        <f t="shared" si="41"/>
        <v>602484</v>
      </c>
      <c r="E63" s="30">
        <f t="shared" si="41"/>
        <v>639687</v>
      </c>
      <c r="F63" s="30">
        <f t="shared" si="41"/>
        <v>636277</v>
      </c>
      <c r="G63" s="30">
        <f t="shared" si="41"/>
        <v>713761</v>
      </c>
      <c r="H63" s="30">
        <f t="shared" si="41"/>
        <v>746555</v>
      </c>
      <c r="I63" s="30">
        <f t="shared" si="41"/>
        <v>1003854</v>
      </c>
      <c r="J63" s="30">
        <f t="shared" si="41"/>
        <v>1153508</v>
      </c>
      <c r="K63" s="30">
        <f t="shared" si="41"/>
        <v>911044.1</v>
      </c>
      <c r="L63" s="30">
        <f t="shared" si="41"/>
        <v>928098.2</v>
      </c>
      <c r="M63" s="30">
        <f t="shared" si="41"/>
        <v>945152.3</v>
      </c>
      <c r="N63" s="30">
        <f t="shared" si="41"/>
        <v>962206.4</v>
      </c>
      <c r="O63" s="30">
        <f t="shared" si="41"/>
        <v>979260.5</v>
      </c>
      <c r="P63" s="30">
        <f t="shared" si="41"/>
        <v>996314.6</v>
      </c>
    </row>
    <row r="64" ht="15.75" customHeight="1">
      <c r="A64" s="7"/>
    </row>
    <row r="65" ht="15.75" customHeight="1">
      <c r="A65" s="7"/>
    </row>
    <row r="66" ht="15.75" customHeight="1">
      <c r="A66" s="4" t="s">
        <v>50</v>
      </c>
    </row>
    <row r="67" ht="15.75" customHeight="1">
      <c r="A67" s="7"/>
    </row>
    <row r="68" ht="15.75" customHeight="1">
      <c r="A68" s="1" t="s">
        <v>51</v>
      </c>
      <c r="B68" s="27">
        <f t="shared" ref="B68:P68" si="42">SUM(B69:B80)</f>
        <v>347744</v>
      </c>
      <c r="C68" s="27">
        <f t="shared" si="42"/>
        <v>431625</v>
      </c>
      <c r="D68" s="27">
        <f t="shared" si="42"/>
        <v>523184</v>
      </c>
      <c r="E68" s="27">
        <f t="shared" si="42"/>
        <v>515960</v>
      </c>
      <c r="F68" s="27">
        <f t="shared" si="42"/>
        <v>551871</v>
      </c>
      <c r="G68" s="27">
        <f t="shared" si="42"/>
        <v>532791</v>
      </c>
      <c r="H68" s="27">
        <f t="shared" si="42"/>
        <v>578621</v>
      </c>
      <c r="I68" s="27">
        <f t="shared" si="42"/>
        <v>847162</v>
      </c>
      <c r="J68" s="27">
        <f t="shared" si="42"/>
        <v>927170</v>
      </c>
      <c r="K68" s="27">
        <f t="shared" si="42"/>
        <v>571174</v>
      </c>
      <c r="L68" s="27">
        <f t="shared" si="42"/>
        <v>571174</v>
      </c>
      <c r="M68" s="27">
        <f t="shared" si="42"/>
        <v>571174</v>
      </c>
      <c r="N68" s="27">
        <f t="shared" si="42"/>
        <v>571174</v>
      </c>
      <c r="O68" s="27">
        <f t="shared" si="42"/>
        <v>571174</v>
      </c>
      <c r="P68" s="27">
        <f t="shared" si="42"/>
        <v>571174</v>
      </c>
    </row>
    <row r="69" ht="15.75" customHeight="1">
      <c r="A69" s="16" t="s">
        <v>52</v>
      </c>
      <c r="B69" s="22">
        <v>121827.0</v>
      </c>
      <c r="C69" s="22">
        <v>129377.0</v>
      </c>
      <c r="D69" s="22">
        <v>130771.0</v>
      </c>
      <c r="E69" s="22">
        <v>149862.0</v>
      </c>
      <c r="F69" s="22">
        <v>147905.0</v>
      </c>
      <c r="G69" s="22">
        <v>141785.0</v>
      </c>
      <c r="H69" s="22">
        <v>128261.0</v>
      </c>
      <c r="I69" s="22">
        <v>268028.0</v>
      </c>
      <c r="J69" s="22">
        <v>267982.0</v>
      </c>
      <c r="K69" s="19"/>
      <c r="L69" s="19"/>
      <c r="M69" s="19"/>
      <c r="N69" s="19"/>
      <c r="O69" s="19"/>
      <c r="P69" s="19"/>
    </row>
    <row r="70" ht="15.75" customHeight="1">
      <c r="A70" s="16" t="s">
        <v>53</v>
      </c>
      <c r="B70" s="22">
        <v>3469.0</v>
      </c>
      <c r="C70" s="22">
        <v>3730.0</v>
      </c>
      <c r="D70" s="22">
        <v>3117.0</v>
      </c>
      <c r="E70" s="22">
        <v>4511.0</v>
      </c>
      <c r="F70" s="22">
        <v>4067.0</v>
      </c>
      <c r="G70" s="22">
        <v>2242.0</v>
      </c>
      <c r="H70" s="22">
        <v>3499.0</v>
      </c>
      <c r="I70" s="22">
        <v>5479.0</v>
      </c>
      <c r="J70" s="22">
        <v>4537.0</v>
      </c>
      <c r="K70" s="115"/>
      <c r="L70" s="115"/>
      <c r="M70" s="115"/>
      <c r="N70" s="115"/>
      <c r="O70" s="115"/>
      <c r="P70" s="115"/>
    </row>
    <row r="71" ht="15.75" customHeight="1">
      <c r="A71" s="16" t="s">
        <v>54</v>
      </c>
      <c r="B71" s="22">
        <v>10069.0</v>
      </c>
      <c r="C71" s="22">
        <v>12523.0</v>
      </c>
      <c r="D71" s="22">
        <v>21321.0</v>
      </c>
      <c r="E71" s="22">
        <v>16069.0</v>
      </c>
      <c r="F71" s="22">
        <v>13443.0</v>
      </c>
      <c r="G71" s="22">
        <v>11993.0</v>
      </c>
      <c r="H71" s="22">
        <v>26462.0</v>
      </c>
      <c r="I71" s="22">
        <v>40541.0</v>
      </c>
      <c r="J71" s="22">
        <v>75043.0</v>
      </c>
      <c r="K71" s="115"/>
      <c r="L71" s="115"/>
      <c r="M71" s="115"/>
      <c r="N71" s="115"/>
      <c r="O71" s="115"/>
      <c r="P71" s="115"/>
    </row>
    <row r="72" ht="15.75" customHeight="1">
      <c r="A72" s="16" t="s">
        <v>55</v>
      </c>
      <c r="B72" s="22">
        <v>0.0</v>
      </c>
      <c r="C72" s="22">
        <v>0.0</v>
      </c>
      <c r="D72" s="22">
        <v>0.0</v>
      </c>
      <c r="E72" s="22">
        <v>0.0</v>
      </c>
      <c r="F72" s="22">
        <v>0.0</v>
      </c>
      <c r="G72" s="22">
        <v>2975.0</v>
      </c>
      <c r="H72" s="22">
        <v>2903.0</v>
      </c>
      <c r="I72" s="15">
        <v>889.0</v>
      </c>
      <c r="J72" s="22">
        <v>2305.0</v>
      </c>
      <c r="K72" s="115"/>
      <c r="L72" s="115"/>
      <c r="M72" s="115"/>
      <c r="N72" s="115"/>
      <c r="O72" s="115"/>
      <c r="P72" s="115"/>
    </row>
    <row r="73" ht="15.75" customHeight="1">
      <c r="A73" s="29" t="s">
        <v>102</v>
      </c>
      <c r="B73" s="22">
        <v>0.0</v>
      </c>
      <c r="C73" s="22">
        <v>0.0</v>
      </c>
      <c r="D73" s="22">
        <v>0.0</v>
      </c>
      <c r="E73" s="22">
        <v>0.0</v>
      </c>
      <c r="F73" s="22">
        <v>6181.0</v>
      </c>
      <c r="G73" s="22">
        <v>5860.0</v>
      </c>
      <c r="H73" s="22">
        <v>5712.0</v>
      </c>
      <c r="I73" s="22">
        <v>5907.0</v>
      </c>
      <c r="J73" s="22">
        <v>6129.0</v>
      </c>
      <c r="K73" s="115"/>
      <c r="L73" s="115"/>
      <c r="M73" s="115"/>
      <c r="N73" s="115"/>
      <c r="O73" s="115"/>
      <c r="P73" s="115"/>
    </row>
    <row r="74" ht="15.75" customHeight="1">
      <c r="A74" s="1" t="s">
        <v>56</v>
      </c>
      <c r="B74" s="22">
        <v>195345.0</v>
      </c>
      <c r="C74" s="22">
        <v>269718.0</v>
      </c>
      <c r="D74" s="22">
        <v>349058.0</v>
      </c>
      <c r="E74" s="22">
        <v>324581.0</v>
      </c>
      <c r="F74" s="22">
        <v>362692.0</v>
      </c>
      <c r="G74" s="22">
        <v>345291.0</v>
      </c>
      <c r="H74" s="22">
        <v>379348.0</v>
      </c>
      <c r="I74" s="22">
        <v>491843.0</v>
      </c>
      <c r="J74" s="22">
        <v>533838.0</v>
      </c>
      <c r="K74" s="21">
        <f t="shared" ref="K74:P74" si="43">J74</f>
        <v>533838</v>
      </c>
      <c r="L74" s="21">
        <f t="shared" si="43"/>
        <v>533838</v>
      </c>
      <c r="M74" s="21">
        <f t="shared" si="43"/>
        <v>533838</v>
      </c>
      <c r="N74" s="21">
        <f t="shared" si="43"/>
        <v>533838</v>
      </c>
      <c r="O74" s="21">
        <f t="shared" si="43"/>
        <v>533838</v>
      </c>
      <c r="P74" s="21">
        <f t="shared" si="43"/>
        <v>533838</v>
      </c>
    </row>
    <row r="75" ht="15.75" customHeight="1">
      <c r="A75" s="1" t="s">
        <v>57</v>
      </c>
      <c r="B75" s="22">
        <v>234.0</v>
      </c>
      <c r="C75" s="22">
        <v>241.0</v>
      </c>
      <c r="D75" s="22">
        <v>328.0</v>
      </c>
      <c r="E75" s="22">
        <v>344.0</v>
      </c>
      <c r="F75" s="22">
        <v>365.0</v>
      </c>
      <c r="G75" s="22">
        <v>369.0</v>
      </c>
      <c r="H75" s="22">
        <v>375.0</v>
      </c>
      <c r="I75" s="22">
        <v>2398.0</v>
      </c>
      <c r="J75" s="22">
        <v>2981.0</v>
      </c>
      <c r="K75" s="21">
        <f t="shared" ref="K75:P75" si="44">J75</f>
        <v>2981</v>
      </c>
      <c r="L75" s="21">
        <f t="shared" si="44"/>
        <v>2981</v>
      </c>
      <c r="M75" s="21">
        <f t="shared" si="44"/>
        <v>2981</v>
      </c>
      <c r="N75" s="21">
        <f t="shared" si="44"/>
        <v>2981</v>
      </c>
      <c r="O75" s="21">
        <f t="shared" si="44"/>
        <v>2981</v>
      </c>
      <c r="P75" s="21">
        <f t="shared" si="44"/>
        <v>2981</v>
      </c>
    </row>
    <row r="76" ht="15.75" customHeight="1">
      <c r="A76" s="1" t="s">
        <v>58</v>
      </c>
      <c r="B76" s="22">
        <v>4.0</v>
      </c>
      <c r="C76" s="22">
        <v>3.0</v>
      </c>
      <c r="D76" s="22">
        <v>2.0</v>
      </c>
      <c r="E76" s="22">
        <v>2.0</v>
      </c>
      <c r="F76" s="22">
        <v>2.0</v>
      </c>
      <c r="G76" s="22">
        <v>2.0</v>
      </c>
      <c r="H76" s="22">
        <v>5446.0</v>
      </c>
      <c r="I76" s="22">
        <v>2.0</v>
      </c>
      <c r="J76" s="22">
        <v>1.0</v>
      </c>
      <c r="K76" s="21">
        <f t="shared" ref="K76:P76" si="45">J76</f>
        <v>1</v>
      </c>
      <c r="L76" s="21">
        <f t="shared" si="45"/>
        <v>1</v>
      </c>
      <c r="M76" s="21">
        <f t="shared" si="45"/>
        <v>1</v>
      </c>
      <c r="N76" s="21">
        <f t="shared" si="45"/>
        <v>1</v>
      </c>
      <c r="O76" s="21">
        <f t="shared" si="45"/>
        <v>1</v>
      </c>
      <c r="P76" s="21">
        <f t="shared" si="45"/>
        <v>1</v>
      </c>
    </row>
    <row r="77" ht="15.75" customHeight="1">
      <c r="A77" s="1" t="s">
        <v>59</v>
      </c>
      <c r="B77" s="22">
        <v>16796.0</v>
      </c>
      <c r="C77" s="22">
        <v>16033.0</v>
      </c>
      <c r="D77" s="22">
        <v>18587.0</v>
      </c>
      <c r="E77" s="22">
        <v>20591.0</v>
      </c>
      <c r="F77" s="22">
        <v>17216.0</v>
      </c>
      <c r="G77" s="22">
        <v>16867.0</v>
      </c>
      <c r="H77" s="22">
        <v>1411.0</v>
      </c>
      <c r="I77" s="22">
        <v>23226.0</v>
      </c>
      <c r="J77" s="22">
        <v>28049.0</v>
      </c>
      <c r="K77" s="21">
        <f t="shared" ref="K77:P77" si="46">J77</f>
        <v>28049</v>
      </c>
      <c r="L77" s="21">
        <f t="shared" si="46"/>
        <v>28049</v>
      </c>
      <c r="M77" s="21">
        <f t="shared" si="46"/>
        <v>28049</v>
      </c>
      <c r="N77" s="21">
        <f t="shared" si="46"/>
        <v>28049</v>
      </c>
      <c r="O77" s="21">
        <f t="shared" si="46"/>
        <v>28049</v>
      </c>
      <c r="P77" s="21">
        <f t="shared" si="46"/>
        <v>28049</v>
      </c>
    </row>
    <row r="78" ht="15.75" customHeight="1">
      <c r="A78" s="29" t="s">
        <v>103</v>
      </c>
      <c r="B78" s="22">
        <v>0.0</v>
      </c>
      <c r="C78" s="22">
        <v>0.0</v>
      </c>
      <c r="D78" s="22">
        <v>0.0</v>
      </c>
      <c r="E78" s="22">
        <v>0.0</v>
      </c>
      <c r="F78" s="22">
        <v>0.0</v>
      </c>
      <c r="G78" s="22">
        <v>0.0</v>
      </c>
      <c r="H78" s="22">
        <v>0.0</v>
      </c>
      <c r="I78" s="22">
        <v>6055.0</v>
      </c>
      <c r="J78" s="22">
        <v>5838.0</v>
      </c>
      <c r="K78" s="21">
        <f t="shared" ref="K78:P78" si="47">J78</f>
        <v>5838</v>
      </c>
      <c r="L78" s="21">
        <f t="shared" si="47"/>
        <v>5838</v>
      </c>
      <c r="M78" s="21">
        <f t="shared" si="47"/>
        <v>5838</v>
      </c>
      <c r="N78" s="21">
        <f t="shared" si="47"/>
        <v>5838</v>
      </c>
      <c r="O78" s="21">
        <f t="shared" si="47"/>
        <v>5838</v>
      </c>
      <c r="P78" s="21">
        <f t="shared" si="47"/>
        <v>5838</v>
      </c>
    </row>
    <row r="79" ht="15.75" customHeight="1">
      <c r="A79" s="29" t="s">
        <v>104</v>
      </c>
      <c r="B79" s="22">
        <v>0.0</v>
      </c>
      <c r="C79" s="22">
        <v>0.0</v>
      </c>
      <c r="D79" s="22">
        <v>0.0</v>
      </c>
      <c r="E79" s="22">
        <v>0.0</v>
      </c>
      <c r="F79" s="22">
        <v>0.0</v>
      </c>
      <c r="G79" s="22">
        <v>5407.0</v>
      </c>
      <c r="H79" s="22">
        <v>25204.0</v>
      </c>
      <c r="I79" s="22">
        <v>2794.0</v>
      </c>
      <c r="J79" s="22">
        <v>467.0</v>
      </c>
      <c r="K79" s="21">
        <f t="shared" ref="K79:P79" si="48">J79</f>
        <v>467</v>
      </c>
      <c r="L79" s="21">
        <f t="shared" si="48"/>
        <v>467</v>
      </c>
      <c r="M79" s="21">
        <f t="shared" si="48"/>
        <v>467</v>
      </c>
      <c r="N79" s="21">
        <f t="shared" si="48"/>
        <v>467</v>
      </c>
      <c r="O79" s="21">
        <f t="shared" si="48"/>
        <v>467</v>
      </c>
      <c r="P79" s="21">
        <f t="shared" si="48"/>
        <v>467</v>
      </c>
    </row>
    <row r="80" ht="15.75" customHeight="1">
      <c r="A80" s="1"/>
    </row>
    <row r="81" ht="15.75" customHeight="1">
      <c r="A81" s="1" t="s">
        <v>60</v>
      </c>
      <c r="B81" s="27">
        <f t="shared" ref="B81:P81" si="49">SUM(B82:B91)</f>
        <v>79511</v>
      </c>
      <c r="C81" s="27">
        <f t="shared" si="49"/>
        <v>87980</v>
      </c>
      <c r="D81" s="27">
        <f t="shared" si="49"/>
        <v>79300</v>
      </c>
      <c r="E81" s="27">
        <f t="shared" si="49"/>
        <v>123727</v>
      </c>
      <c r="F81" s="27">
        <f t="shared" si="49"/>
        <v>84406</v>
      </c>
      <c r="G81" s="27">
        <f t="shared" si="49"/>
        <v>180970</v>
      </c>
      <c r="H81" s="27">
        <f t="shared" si="49"/>
        <v>167934</v>
      </c>
      <c r="I81" s="27">
        <f t="shared" si="49"/>
        <v>156692</v>
      </c>
      <c r="J81" s="27">
        <f t="shared" si="49"/>
        <v>226338</v>
      </c>
      <c r="K81" s="27">
        <f t="shared" si="49"/>
        <v>0</v>
      </c>
      <c r="L81" s="27">
        <f t="shared" si="49"/>
        <v>0</v>
      </c>
      <c r="M81" s="27">
        <f t="shared" si="49"/>
        <v>0</v>
      </c>
      <c r="N81" s="27">
        <f t="shared" si="49"/>
        <v>0</v>
      </c>
      <c r="O81" s="27">
        <f t="shared" si="49"/>
        <v>0</v>
      </c>
      <c r="P81" s="27">
        <f t="shared" si="49"/>
        <v>0</v>
      </c>
    </row>
    <row r="82" ht="15.75" customHeight="1">
      <c r="A82" s="1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</row>
    <row r="83" ht="15.75" customHeight="1">
      <c r="A83" s="16" t="s">
        <v>61</v>
      </c>
      <c r="B83" s="22">
        <v>31326.0</v>
      </c>
      <c r="C83" s="22">
        <v>32637.0</v>
      </c>
      <c r="D83" s="22">
        <v>31602.0</v>
      </c>
      <c r="E83" s="22">
        <v>33226.0</v>
      </c>
      <c r="F83" s="22">
        <v>32139.0</v>
      </c>
      <c r="G83" s="22">
        <v>30490.0</v>
      </c>
      <c r="H83" s="22">
        <v>35323.0</v>
      </c>
      <c r="I83" s="22">
        <v>54435.0</v>
      </c>
      <c r="J83" s="22">
        <v>53181.0</v>
      </c>
      <c r="K83" s="19" t="str">
        <f t="shared" ref="K83:P83" si="50">K155</f>
        <v/>
      </c>
      <c r="L83" s="19" t="str">
        <f t="shared" si="50"/>
        <v/>
      </c>
      <c r="M83" s="19" t="str">
        <f t="shared" si="50"/>
        <v/>
      </c>
      <c r="N83" s="19" t="str">
        <f t="shared" si="50"/>
        <v/>
      </c>
      <c r="O83" s="19" t="str">
        <f t="shared" si="50"/>
        <v/>
      </c>
      <c r="P83" s="19" t="str">
        <f t="shared" si="50"/>
        <v/>
      </c>
    </row>
    <row r="84" ht="15.75" customHeight="1">
      <c r="A84" s="16" t="s">
        <v>62</v>
      </c>
      <c r="B84" s="22">
        <v>13234.0</v>
      </c>
      <c r="C84" s="22">
        <v>12026.0</v>
      </c>
      <c r="D84" s="22">
        <v>14654.0</v>
      </c>
      <c r="E84" s="22">
        <v>23128.0</v>
      </c>
      <c r="F84" s="22">
        <v>21298.0</v>
      </c>
      <c r="G84" s="22">
        <v>12799.0</v>
      </c>
      <c r="H84" s="22">
        <v>20345.0</v>
      </c>
      <c r="I84" s="22">
        <v>32848.0</v>
      </c>
      <c r="J84" s="22">
        <v>45968.0</v>
      </c>
      <c r="K84" s="19" t="str">
        <f t="shared" ref="K84:P84" si="51">K156</f>
        <v/>
      </c>
      <c r="L84" s="19" t="str">
        <f t="shared" si="51"/>
        <v/>
      </c>
      <c r="M84" s="19" t="str">
        <f t="shared" si="51"/>
        <v/>
      </c>
      <c r="N84" s="19" t="str">
        <f t="shared" si="51"/>
        <v/>
      </c>
      <c r="O84" s="19" t="str">
        <f t="shared" si="51"/>
        <v/>
      </c>
      <c r="P84" s="19" t="str">
        <f t="shared" si="51"/>
        <v/>
      </c>
    </row>
    <row r="85" ht="15.75" customHeight="1">
      <c r="A85" s="16" t="s">
        <v>63</v>
      </c>
      <c r="B85" s="22">
        <v>507.0</v>
      </c>
      <c r="C85" s="22">
        <v>235.0</v>
      </c>
      <c r="D85" s="22">
        <v>740.0</v>
      </c>
      <c r="E85" s="22">
        <v>1878.0</v>
      </c>
      <c r="F85" s="22">
        <v>290.0</v>
      </c>
      <c r="G85" s="22">
        <v>30471.0</v>
      </c>
      <c r="H85" s="22">
        <v>30422.0</v>
      </c>
      <c r="I85" s="22">
        <v>27485.0</v>
      </c>
      <c r="J85" s="22">
        <v>28274.0</v>
      </c>
      <c r="K85" s="128"/>
      <c r="L85" s="128"/>
      <c r="M85" s="128"/>
      <c r="N85" s="128"/>
      <c r="O85" s="128"/>
      <c r="P85" s="128"/>
    </row>
    <row r="86" ht="15.75" customHeight="1">
      <c r="A86" s="16" t="s">
        <v>64</v>
      </c>
      <c r="B86" s="22">
        <v>31.0</v>
      </c>
      <c r="C86" s="22">
        <v>25.0</v>
      </c>
      <c r="D86" s="22">
        <v>30.0</v>
      </c>
      <c r="E86" s="22">
        <v>161.0</v>
      </c>
      <c r="F86" s="22">
        <v>170.0</v>
      </c>
      <c r="G86" s="22">
        <v>230.0</v>
      </c>
      <c r="H86" s="22">
        <v>305.0</v>
      </c>
      <c r="I86" s="22">
        <v>297.0</v>
      </c>
      <c r="J86" s="22">
        <v>327.0</v>
      </c>
      <c r="K86" s="19" t="str">
        <f t="shared" ref="K86:P86" si="52">K157</f>
        <v/>
      </c>
      <c r="L86" s="19" t="str">
        <f t="shared" si="52"/>
        <v/>
      </c>
      <c r="M86" s="19" t="str">
        <f t="shared" si="52"/>
        <v/>
      </c>
      <c r="N86" s="19" t="str">
        <f t="shared" si="52"/>
        <v/>
      </c>
      <c r="O86" s="19" t="str">
        <f t="shared" si="52"/>
        <v/>
      </c>
      <c r="P86" s="19" t="str">
        <f t="shared" si="52"/>
        <v/>
      </c>
    </row>
    <row r="87" ht="15.75" customHeight="1">
      <c r="A87" s="16" t="s">
        <v>65</v>
      </c>
      <c r="B87" s="22">
        <v>16611.0</v>
      </c>
      <c r="C87" s="22">
        <v>15408.0</v>
      </c>
      <c r="D87" s="22">
        <v>13140.0</v>
      </c>
      <c r="E87" s="22">
        <v>5638.0</v>
      </c>
      <c r="F87" s="22">
        <v>7974.0</v>
      </c>
      <c r="G87" s="22">
        <v>9581.0</v>
      </c>
      <c r="H87" s="22">
        <v>14608.0</v>
      </c>
      <c r="I87" s="22">
        <v>15602.0</v>
      </c>
      <c r="J87" s="22">
        <v>25077.0</v>
      </c>
      <c r="K87" s="19" t="str">
        <f t="shared" ref="K87:P87" si="53">K158</f>
        <v/>
      </c>
      <c r="L87" s="19" t="str">
        <f t="shared" si="53"/>
        <v/>
      </c>
      <c r="M87" s="19" t="str">
        <f t="shared" si="53"/>
        <v/>
      </c>
      <c r="N87" s="19" t="str">
        <f t="shared" si="53"/>
        <v/>
      </c>
      <c r="O87" s="19" t="str">
        <f t="shared" si="53"/>
        <v/>
      </c>
      <c r="P87" s="19" t="str">
        <f t="shared" si="53"/>
        <v/>
      </c>
    </row>
    <row r="88" ht="15.75" customHeight="1">
      <c r="A88" s="16" t="s">
        <v>66</v>
      </c>
      <c r="B88" s="22">
        <v>4906.0</v>
      </c>
      <c r="C88" s="22">
        <v>4910.0</v>
      </c>
      <c r="D88" s="22">
        <v>4115.0</v>
      </c>
      <c r="E88" s="22">
        <v>4277.0</v>
      </c>
      <c r="F88" s="22">
        <v>5272.0</v>
      </c>
      <c r="G88" s="22">
        <v>0.0</v>
      </c>
      <c r="H88" s="22">
        <v>0.0</v>
      </c>
      <c r="I88" s="22">
        <v>0.0</v>
      </c>
      <c r="J88" s="22">
        <v>0.0</v>
      </c>
      <c r="K88" s="19" t="str">
        <f t="shared" ref="K88:P88" si="54">K159</f>
        <v/>
      </c>
      <c r="L88" s="19" t="str">
        <f t="shared" si="54"/>
        <v/>
      </c>
      <c r="M88" s="19" t="str">
        <f t="shared" si="54"/>
        <v/>
      </c>
      <c r="N88" s="19" t="str">
        <f t="shared" si="54"/>
        <v/>
      </c>
      <c r="O88" s="19" t="str">
        <f t="shared" si="54"/>
        <v/>
      </c>
      <c r="P88" s="19" t="str">
        <f t="shared" si="54"/>
        <v/>
      </c>
    </row>
    <row r="89" ht="15.75" customHeight="1">
      <c r="A89" s="16" t="s">
        <v>67</v>
      </c>
      <c r="B89" s="22">
        <v>11413.0</v>
      </c>
      <c r="C89" s="22">
        <v>21788.0</v>
      </c>
      <c r="D89" s="22">
        <v>12173.0</v>
      </c>
      <c r="E89" s="22">
        <v>50455.0</v>
      </c>
      <c r="F89" s="22">
        <v>12188.0</v>
      </c>
      <c r="G89" s="22">
        <v>84157.0</v>
      </c>
      <c r="H89" s="22">
        <v>41001.0</v>
      </c>
      <c r="I89" s="22">
        <v>0.0</v>
      </c>
      <c r="J89" s="22">
        <v>39122.0</v>
      </c>
      <c r="K89" s="19" t="str">
        <f t="shared" ref="K89:P89" si="55">K160</f>
        <v/>
      </c>
      <c r="L89" s="19" t="str">
        <f t="shared" si="55"/>
        <v/>
      </c>
      <c r="M89" s="19" t="str">
        <f t="shared" si="55"/>
        <v/>
      </c>
      <c r="N89" s="19" t="str">
        <f t="shared" si="55"/>
        <v/>
      </c>
      <c r="O89" s="19" t="str">
        <f t="shared" si="55"/>
        <v/>
      </c>
      <c r="P89" s="19" t="str">
        <f t="shared" si="55"/>
        <v/>
      </c>
    </row>
    <row r="90" ht="15.75" customHeight="1">
      <c r="A90" s="1" t="s">
        <v>57</v>
      </c>
      <c r="B90" s="22">
        <v>1483.0</v>
      </c>
      <c r="C90" s="22">
        <v>951.0</v>
      </c>
      <c r="D90" s="22">
        <v>2846.0</v>
      </c>
      <c r="E90" s="22">
        <v>4964.0</v>
      </c>
      <c r="F90" s="22">
        <v>5075.0</v>
      </c>
      <c r="G90" s="22">
        <v>13242.0</v>
      </c>
      <c r="H90" s="22">
        <v>25930.0</v>
      </c>
      <c r="I90" s="22">
        <v>26025.0</v>
      </c>
      <c r="J90" s="22">
        <v>34186.0</v>
      </c>
      <c r="K90" s="115"/>
      <c r="L90" s="115"/>
      <c r="M90" s="115"/>
      <c r="N90" s="115"/>
      <c r="O90" s="115"/>
      <c r="P90" s="115"/>
    </row>
    <row r="91" ht="15.75" customHeight="1">
      <c r="A91" s="29" t="s">
        <v>105</v>
      </c>
      <c r="B91" s="22">
        <v>0.0</v>
      </c>
      <c r="C91" s="22">
        <v>0.0</v>
      </c>
      <c r="D91" s="22">
        <v>0.0</v>
      </c>
      <c r="E91" s="22">
        <v>0.0</v>
      </c>
      <c r="F91" s="22">
        <v>0.0</v>
      </c>
      <c r="G91" s="22">
        <v>0.0</v>
      </c>
      <c r="H91" s="22">
        <v>0.0</v>
      </c>
      <c r="I91" s="22">
        <v>0.0</v>
      </c>
      <c r="J91" s="22">
        <v>203.0</v>
      </c>
      <c r="K91" s="115"/>
      <c r="L91" s="115"/>
      <c r="M91" s="115"/>
      <c r="N91" s="115"/>
      <c r="O91" s="115"/>
      <c r="P91" s="115"/>
    </row>
    <row r="92" ht="15.75" customHeight="1">
      <c r="A92" s="8" t="s">
        <v>49</v>
      </c>
      <c r="B92" s="30">
        <f t="shared" ref="B92:P92" si="56">SUM(B68,B81)</f>
        <v>427255</v>
      </c>
      <c r="C92" s="30">
        <f t="shared" si="56"/>
        <v>519605</v>
      </c>
      <c r="D92" s="30">
        <f t="shared" si="56"/>
        <v>602484</v>
      </c>
      <c r="E92" s="30">
        <f t="shared" si="56"/>
        <v>639687</v>
      </c>
      <c r="F92" s="30">
        <f t="shared" si="56"/>
        <v>636277</v>
      </c>
      <c r="G92" s="30">
        <f t="shared" si="56"/>
        <v>713761</v>
      </c>
      <c r="H92" s="30">
        <f t="shared" si="56"/>
        <v>746555</v>
      </c>
      <c r="I92" s="30">
        <f t="shared" si="56"/>
        <v>1003854</v>
      </c>
      <c r="J92" s="30">
        <f t="shared" si="56"/>
        <v>1153508</v>
      </c>
      <c r="K92" s="30">
        <f t="shared" si="56"/>
        <v>571174</v>
      </c>
      <c r="L92" s="30">
        <f t="shared" si="56"/>
        <v>571174</v>
      </c>
      <c r="M92" s="30">
        <f t="shared" si="56"/>
        <v>571174</v>
      </c>
      <c r="N92" s="30">
        <f t="shared" si="56"/>
        <v>571174</v>
      </c>
      <c r="O92" s="30">
        <f t="shared" si="56"/>
        <v>571174</v>
      </c>
      <c r="P92" s="30">
        <f t="shared" si="56"/>
        <v>571174</v>
      </c>
    </row>
    <row r="93" ht="15.75" customHeight="1">
      <c r="A93" s="1"/>
      <c r="B93" s="33">
        <f t="shared" ref="B93:P93" si="57">B63-B92</f>
        <v>0</v>
      </c>
      <c r="C93" s="33">
        <f t="shared" si="57"/>
        <v>0</v>
      </c>
      <c r="D93" s="33">
        <f t="shared" si="57"/>
        <v>0</v>
      </c>
      <c r="E93" s="33">
        <f t="shared" si="57"/>
        <v>0</v>
      </c>
      <c r="F93" s="33">
        <f t="shared" si="57"/>
        <v>0</v>
      </c>
      <c r="G93" s="33">
        <f t="shared" si="57"/>
        <v>0</v>
      </c>
      <c r="H93" s="33">
        <f t="shared" si="57"/>
        <v>0</v>
      </c>
      <c r="I93" s="33">
        <f t="shared" si="57"/>
        <v>0</v>
      </c>
      <c r="J93" s="33">
        <f t="shared" si="57"/>
        <v>0</v>
      </c>
      <c r="K93" s="33">
        <f t="shared" si="57"/>
        <v>339870.1</v>
      </c>
      <c r="L93" s="33">
        <f t="shared" si="57"/>
        <v>356924.2</v>
      </c>
      <c r="M93" s="33">
        <f t="shared" si="57"/>
        <v>373978.3</v>
      </c>
      <c r="N93" s="33">
        <f t="shared" si="57"/>
        <v>391032.4</v>
      </c>
      <c r="O93" s="33">
        <f t="shared" si="57"/>
        <v>408086.5</v>
      </c>
      <c r="P93" s="33">
        <f t="shared" si="57"/>
        <v>425140.6</v>
      </c>
    </row>
    <row r="94" ht="15.75" customHeight="1">
      <c r="A94" s="5" t="s">
        <v>68</v>
      </c>
      <c r="B94" s="22">
        <v>1500000.0</v>
      </c>
      <c r="C94" s="22">
        <v>1550000.0</v>
      </c>
      <c r="D94" s="22">
        <v>1560000.0</v>
      </c>
      <c r="E94" s="22">
        <v>1580000.0</v>
      </c>
      <c r="F94" s="22">
        <v>2000000.0</v>
      </c>
      <c r="G94" s="22">
        <v>2250000.0</v>
      </c>
      <c r="H94" s="22">
        <v>2250000.0</v>
      </c>
      <c r="I94" s="22">
        <v>2250000.0</v>
      </c>
      <c r="J94" s="22">
        <v>2250000.0</v>
      </c>
      <c r="K94" s="19">
        <f t="shared" ref="K94:P94" si="58">J94+K95</f>
        <v>2550000</v>
      </c>
      <c r="L94" s="19">
        <f t="shared" si="58"/>
        <v>2850000</v>
      </c>
      <c r="M94" s="19">
        <f t="shared" si="58"/>
        <v>3150000</v>
      </c>
      <c r="N94" s="19">
        <f t="shared" si="58"/>
        <v>3450000</v>
      </c>
      <c r="O94" s="19">
        <f t="shared" si="58"/>
        <v>3750000</v>
      </c>
      <c r="P94" s="19">
        <f t="shared" si="58"/>
        <v>4050000</v>
      </c>
    </row>
    <row r="95" ht="15.75" customHeight="1">
      <c r="A95" s="5" t="s">
        <v>69</v>
      </c>
      <c r="C95" s="19">
        <f t="shared" ref="C95:J95" si="59">C94-B94</f>
        <v>50000</v>
      </c>
      <c r="D95" s="19">
        <f t="shared" si="59"/>
        <v>10000</v>
      </c>
      <c r="E95" s="19">
        <f t="shared" si="59"/>
        <v>20000</v>
      </c>
      <c r="F95" s="19">
        <f t="shared" si="59"/>
        <v>420000</v>
      </c>
      <c r="G95" s="19">
        <f t="shared" si="59"/>
        <v>250000</v>
      </c>
      <c r="H95" s="19">
        <f t="shared" si="59"/>
        <v>0</v>
      </c>
      <c r="I95" s="19">
        <f t="shared" si="59"/>
        <v>0</v>
      </c>
      <c r="J95" s="19">
        <f t="shared" si="59"/>
        <v>0</v>
      </c>
      <c r="K95" s="20">
        <v>300000.0</v>
      </c>
      <c r="L95" s="129">
        <f t="shared" ref="L95:P95" si="60">K95</f>
        <v>300000</v>
      </c>
      <c r="M95" s="129">
        <f t="shared" si="60"/>
        <v>300000</v>
      </c>
      <c r="N95" s="129">
        <f t="shared" si="60"/>
        <v>300000</v>
      </c>
      <c r="O95" s="129">
        <f t="shared" si="60"/>
        <v>300000</v>
      </c>
      <c r="P95" s="129">
        <f t="shared" si="60"/>
        <v>300000</v>
      </c>
    </row>
    <row r="96" ht="15.75" customHeight="1">
      <c r="A96" s="5"/>
    </row>
    <row r="97" ht="15.75" customHeight="1">
      <c r="A97" s="5" t="s">
        <v>70</v>
      </c>
      <c r="B97" s="22">
        <v>1305351.0</v>
      </c>
      <c r="C97" s="22">
        <v>1444541.0</v>
      </c>
      <c r="D97" s="22">
        <v>1653500.0</v>
      </c>
      <c r="E97" s="22">
        <v>1753700.0</v>
      </c>
      <c r="F97" s="22">
        <v>1461126.0</v>
      </c>
      <c r="G97" s="22">
        <v>1361722.0</v>
      </c>
      <c r="H97" s="22">
        <v>1414277.0</v>
      </c>
      <c r="I97" s="22">
        <v>1706831.0</v>
      </c>
      <c r="J97" s="22">
        <v>1852256.0</v>
      </c>
      <c r="K97" s="114"/>
      <c r="L97" s="114"/>
      <c r="M97" s="114"/>
      <c r="N97" s="114"/>
      <c r="O97" s="114"/>
      <c r="P97" s="114"/>
    </row>
    <row r="98" ht="15.75" customHeight="1">
      <c r="A98" s="15" t="s">
        <v>181</v>
      </c>
      <c r="B98" s="22">
        <v>123897.0</v>
      </c>
      <c r="C98" s="22">
        <v>124062.0</v>
      </c>
      <c r="D98" s="22">
        <v>126074.0</v>
      </c>
      <c r="E98" s="22">
        <v>108749.0</v>
      </c>
      <c r="F98" s="22">
        <v>102171.0</v>
      </c>
      <c r="G98" s="22">
        <v>96139.0</v>
      </c>
      <c r="H98" s="22">
        <v>238376.0</v>
      </c>
      <c r="I98" s="22">
        <v>259333.0</v>
      </c>
      <c r="J98" s="22">
        <v>283067.0</v>
      </c>
      <c r="K98" s="114"/>
      <c r="L98" s="114"/>
      <c r="M98" s="114"/>
      <c r="N98" s="114"/>
      <c r="O98" s="114"/>
      <c r="P98" s="114"/>
    </row>
    <row r="99" ht="15.75" customHeight="1">
      <c r="A99" s="17" t="s">
        <v>49</v>
      </c>
      <c r="B99" s="27">
        <f t="shared" ref="B99:J99" si="61">SUM(B97:B98)</f>
        <v>1429248</v>
      </c>
      <c r="C99" s="27">
        <f t="shared" si="61"/>
        <v>1568603</v>
      </c>
      <c r="D99" s="27">
        <f t="shared" si="61"/>
        <v>1779574</v>
      </c>
      <c r="E99" s="27">
        <f t="shared" si="61"/>
        <v>1862449</v>
      </c>
      <c r="F99" s="27">
        <f t="shared" si="61"/>
        <v>1563297</v>
      </c>
      <c r="G99" s="27">
        <f t="shared" si="61"/>
        <v>1457861</v>
      </c>
      <c r="H99" s="27">
        <f t="shared" si="61"/>
        <v>1652653</v>
      </c>
      <c r="I99" s="27">
        <f t="shared" si="61"/>
        <v>1966164</v>
      </c>
      <c r="J99" s="27">
        <f t="shared" si="61"/>
        <v>2135323</v>
      </c>
      <c r="K99" s="52">
        <f t="shared" ref="K99:P99" si="62">K110*K117</f>
        <v>0</v>
      </c>
      <c r="L99" s="52">
        <f t="shared" si="62"/>
        <v>0</v>
      </c>
      <c r="M99" s="52">
        <f t="shared" si="62"/>
        <v>0</v>
      </c>
      <c r="N99" s="52">
        <f t="shared" si="62"/>
        <v>0</v>
      </c>
      <c r="O99" s="52">
        <f t="shared" si="62"/>
        <v>0</v>
      </c>
      <c r="P99" s="52">
        <f t="shared" si="62"/>
        <v>0</v>
      </c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ht="15.75" customHeight="1">
      <c r="A100" s="5"/>
    </row>
    <row r="101" ht="15.75" customHeight="1">
      <c r="A101" s="5" t="s">
        <v>72</v>
      </c>
      <c r="B101" s="35">
        <f t="shared" ref="B101:P101" si="63">B99/B94</f>
        <v>0.952832</v>
      </c>
      <c r="C101" s="35">
        <f t="shared" si="63"/>
        <v>1.012001935</v>
      </c>
      <c r="D101" s="35">
        <f t="shared" si="63"/>
        <v>1.140752564</v>
      </c>
      <c r="E101" s="35">
        <f t="shared" si="63"/>
        <v>1.17876519</v>
      </c>
      <c r="F101" s="35">
        <f t="shared" si="63"/>
        <v>0.7816485</v>
      </c>
      <c r="G101" s="35">
        <f t="shared" si="63"/>
        <v>0.6479382222</v>
      </c>
      <c r="H101" s="35">
        <f t="shared" si="63"/>
        <v>0.7345124444</v>
      </c>
      <c r="I101" s="35">
        <f t="shared" si="63"/>
        <v>0.8738506667</v>
      </c>
      <c r="J101" s="35">
        <f t="shared" si="63"/>
        <v>0.9490324444</v>
      </c>
      <c r="K101" s="35">
        <f t="shared" si="63"/>
        <v>0</v>
      </c>
      <c r="L101" s="35">
        <f t="shared" si="63"/>
        <v>0</v>
      </c>
      <c r="M101" s="35">
        <f t="shared" si="63"/>
        <v>0</v>
      </c>
      <c r="N101" s="35">
        <f t="shared" si="63"/>
        <v>0</v>
      </c>
      <c r="O101" s="35">
        <f t="shared" si="63"/>
        <v>0</v>
      </c>
      <c r="P101" s="35">
        <f t="shared" si="63"/>
        <v>0</v>
      </c>
    </row>
    <row r="102" ht="15.75" customHeight="1">
      <c r="A102" s="5"/>
    </row>
    <row r="103" ht="15.75" customHeight="1">
      <c r="A103" s="5" t="s">
        <v>73</v>
      </c>
      <c r="C103" s="35">
        <f t="shared" ref="C103:J103" si="64">C97/B97-1</f>
        <v>0.106630324</v>
      </c>
      <c r="D103" s="35">
        <f t="shared" si="64"/>
        <v>0.1446542535</v>
      </c>
      <c r="E103" s="35">
        <f t="shared" si="64"/>
        <v>0.06059872997</v>
      </c>
      <c r="F103" s="35">
        <f t="shared" si="64"/>
        <v>-0.1668324115</v>
      </c>
      <c r="G103" s="35">
        <f t="shared" si="64"/>
        <v>-0.06803246263</v>
      </c>
      <c r="H103" s="35">
        <f t="shared" si="64"/>
        <v>0.03859451489</v>
      </c>
      <c r="I103" s="35">
        <f t="shared" si="64"/>
        <v>0.2068576382</v>
      </c>
      <c r="J103" s="35">
        <f t="shared" si="64"/>
        <v>0.08520175694</v>
      </c>
    </row>
    <row r="104" ht="15.75" customHeight="1">
      <c r="A104" s="5" t="s">
        <v>74</v>
      </c>
      <c r="C104" s="35">
        <f t="shared" ref="C104:J104" si="65">C98/B98-1</f>
        <v>0.001331751374</v>
      </c>
      <c r="D104" s="35">
        <f t="shared" si="65"/>
        <v>0.0162176976</v>
      </c>
      <c r="E104" s="35">
        <f t="shared" si="65"/>
        <v>-0.1374192934</v>
      </c>
      <c r="F104" s="35">
        <f t="shared" si="65"/>
        <v>-0.06048791253</v>
      </c>
      <c r="G104" s="35">
        <f t="shared" si="65"/>
        <v>-0.05903827896</v>
      </c>
      <c r="H104" s="35">
        <f t="shared" si="65"/>
        <v>1.479493234</v>
      </c>
      <c r="I104" s="35">
        <f t="shared" si="65"/>
        <v>0.08791572977</v>
      </c>
      <c r="J104" s="35">
        <f t="shared" si="65"/>
        <v>0.09151939784</v>
      </c>
    </row>
    <row r="105" ht="15.75" customHeight="1">
      <c r="A105" s="17" t="s">
        <v>75</v>
      </c>
      <c r="B105" s="34"/>
      <c r="C105" s="36">
        <f t="shared" ref="C105:J105" si="66">C99/B99-1</f>
        <v>0.0975023229</v>
      </c>
      <c r="D105" s="36">
        <f t="shared" si="66"/>
        <v>0.134496109</v>
      </c>
      <c r="E105" s="36">
        <f t="shared" si="66"/>
        <v>0.0465701342</v>
      </c>
      <c r="F105" s="36">
        <f t="shared" si="66"/>
        <v>-0.1606229218</v>
      </c>
      <c r="G105" s="36">
        <f t="shared" si="66"/>
        <v>-0.06744463784</v>
      </c>
      <c r="H105" s="36">
        <f t="shared" si="66"/>
        <v>0.1336149331</v>
      </c>
      <c r="I105" s="36">
        <f t="shared" si="66"/>
        <v>0.1897016494</v>
      </c>
      <c r="J105" s="36">
        <f t="shared" si="66"/>
        <v>0.08603504082</v>
      </c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ht="15.75" customHeight="1">
      <c r="A106" s="5"/>
    </row>
    <row r="107" ht="15.75" customHeight="1">
      <c r="A107" s="17" t="s">
        <v>76</v>
      </c>
    </row>
    <row r="108" ht="15.75" customHeight="1">
      <c r="A108" s="5" t="s">
        <v>77</v>
      </c>
    </row>
    <row r="109" ht="15.75" customHeight="1">
      <c r="A109" s="5" t="s">
        <v>71</v>
      </c>
    </row>
    <row r="110" ht="15.75" customHeight="1">
      <c r="A110" s="5" t="s">
        <v>49</v>
      </c>
    </row>
    <row r="111" ht="15.75" customHeight="1">
      <c r="A111" s="5" t="s">
        <v>78</v>
      </c>
    </row>
    <row r="112" ht="15.75" customHeight="1">
      <c r="A112" s="5" t="s">
        <v>79</v>
      </c>
    </row>
    <row r="113" ht="15.75" customHeight="1">
      <c r="A113" s="5"/>
    </row>
    <row r="114" ht="15.75" customHeight="1">
      <c r="A114" s="17" t="s">
        <v>80</v>
      </c>
    </row>
    <row r="115" ht="15.75" customHeight="1">
      <c r="A115" s="5" t="s">
        <v>70</v>
      </c>
    </row>
    <row r="116" ht="15.75" customHeight="1">
      <c r="A116" s="5" t="s">
        <v>71</v>
      </c>
    </row>
    <row r="117" ht="15.75" customHeight="1">
      <c r="A117" s="5" t="s">
        <v>81</v>
      </c>
    </row>
    <row r="118" ht="15.75" customHeight="1">
      <c r="A118" s="5"/>
    </row>
    <row r="119" ht="15.75" customHeight="1">
      <c r="A119" s="5" t="s">
        <v>82</v>
      </c>
    </row>
    <row r="120" ht="15.75" customHeight="1">
      <c r="A120" s="5" t="s">
        <v>83</v>
      </c>
    </row>
    <row r="121" ht="15.75" customHeight="1">
      <c r="A121" s="5"/>
    </row>
    <row r="122" ht="15.75" customHeight="1">
      <c r="A122" s="17" t="s">
        <v>84</v>
      </c>
    </row>
    <row r="123" ht="15.75" customHeight="1">
      <c r="A123" s="5"/>
    </row>
    <row r="124" ht="15.75" customHeight="1">
      <c r="A124" s="1" t="s">
        <v>5</v>
      </c>
    </row>
    <row r="125" ht="15.75" customHeight="1">
      <c r="A125" s="1" t="s">
        <v>6</v>
      </c>
    </row>
    <row r="126" ht="15.75" customHeight="1">
      <c r="A126" s="1" t="s">
        <v>8</v>
      </c>
    </row>
    <row r="127" ht="15.75" customHeight="1">
      <c r="A127" s="1" t="s">
        <v>10</v>
      </c>
    </row>
    <row r="128" ht="15.75" customHeight="1">
      <c r="A128" s="1" t="s">
        <v>12</v>
      </c>
    </row>
    <row r="129" ht="15.75" customHeight="1">
      <c r="A129" s="1" t="s">
        <v>85</v>
      </c>
    </row>
    <row r="130" ht="15.75" customHeight="1">
      <c r="A130" s="5"/>
    </row>
    <row r="131" ht="15.75" customHeight="1">
      <c r="A131" s="5"/>
    </row>
    <row r="132" ht="15.75" customHeight="1">
      <c r="A132" s="18" t="s">
        <v>86</v>
      </c>
    </row>
    <row r="133" ht="15.75" customHeight="1">
      <c r="A133" s="5"/>
    </row>
    <row r="134" ht="15.75" customHeight="1">
      <c r="A134" s="1" t="s">
        <v>5</v>
      </c>
    </row>
    <row r="135" ht="15.75" customHeight="1">
      <c r="A135" s="1" t="s">
        <v>6</v>
      </c>
    </row>
    <row r="136" ht="15.75" customHeight="1">
      <c r="A136" s="1" t="s">
        <v>8</v>
      </c>
    </row>
    <row r="137" ht="15.75" customHeight="1">
      <c r="A137" s="1" t="s">
        <v>10</v>
      </c>
    </row>
    <row r="138" ht="15.75" customHeight="1">
      <c r="A138" s="1" t="s">
        <v>12</v>
      </c>
    </row>
    <row r="139" ht="15.75" customHeight="1">
      <c r="A139" s="1" t="s">
        <v>85</v>
      </c>
    </row>
    <row r="140" ht="15.75" customHeight="1">
      <c r="A140" s="5"/>
    </row>
    <row r="141" ht="15.75" customHeight="1">
      <c r="A141" s="1" t="s">
        <v>83</v>
      </c>
    </row>
    <row r="142" ht="15.75" customHeight="1">
      <c r="A142" s="1" t="s">
        <v>5</v>
      </c>
    </row>
    <row r="143" ht="15.75" customHeight="1">
      <c r="A143" s="1" t="s">
        <v>6</v>
      </c>
    </row>
    <row r="144" ht="15.75" customHeight="1">
      <c r="A144" s="1" t="s">
        <v>8</v>
      </c>
    </row>
    <row r="145" ht="15.75" customHeight="1">
      <c r="A145" s="1" t="s">
        <v>10</v>
      </c>
    </row>
    <row r="146" ht="15.75" customHeight="1">
      <c r="A146" s="1" t="s">
        <v>12</v>
      </c>
    </row>
    <row r="147" ht="15.75" customHeight="1">
      <c r="A147" s="1" t="s">
        <v>85</v>
      </c>
    </row>
    <row r="148" ht="15.75" customHeight="1">
      <c r="A148" s="5"/>
    </row>
    <row r="149" ht="15.75" customHeight="1">
      <c r="A149" s="5"/>
    </row>
    <row r="150" ht="15.75" customHeight="1">
      <c r="A150" s="5"/>
    </row>
    <row r="151" ht="15.75" customHeight="1">
      <c r="A151" s="18" t="s">
        <v>87</v>
      </c>
    </row>
    <row r="152" ht="15.75" customHeight="1">
      <c r="A152" s="5"/>
    </row>
    <row r="153" ht="15.75" customHeight="1">
      <c r="A153" s="5" t="s">
        <v>60</v>
      </c>
    </row>
    <row r="154" ht="15.75" customHeight="1">
      <c r="A154" s="16" t="s">
        <v>61</v>
      </c>
    </row>
    <row r="155" ht="15.75" customHeight="1">
      <c r="A155" s="16" t="s">
        <v>62</v>
      </c>
    </row>
    <row r="156" ht="15.75" customHeight="1">
      <c r="A156" s="16" t="s">
        <v>64</v>
      </c>
    </row>
    <row r="157" ht="15.75" customHeight="1">
      <c r="A157" s="16" t="s">
        <v>65</v>
      </c>
    </row>
    <row r="158" ht="15.75" customHeight="1">
      <c r="A158" s="16" t="s">
        <v>66</v>
      </c>
    </row>
    <row r="159" ht="15.75" customHeight="1">
      <c r="A159" s="1" t="s">
        <v>57</v>
      </c>
    </row>
    <row r="160" ht="15.75" customHeight="1">
      <c r="A160" s="5"/>
    </row>
    <row r="161" ht="15.75" customHeight="1">
      <c r="A161" s="5" t="s">
        <v>42</v>
      </c>
    </row>
    <row r="162" ht="15.75" customHeight="1">
      <c r="A162" s="1" t="s">
        <v>43</v>
      </c>
    </row>
    <row r="163" ht="15.75" customHeight="1">
      <c r="A163" s="1" t="s">
        <v>44</v>
      </c>
    </row>
    <row r="164" ht="15.75" customHeight="1">
      <c r="A164" s="1" t="s">
        <v>45</v>
      </c>
    </row>
    <row r="165" ht="15.75" customHeight="1">
      <c r="A165" s="1" t="s">
        <v>46</v>
      </c>
    </row>
    <row r="166" ht="15.75" customHeight="1">
      <c r="A166" s="1" t="s">
        <v>47</v>
      </c>
    </row>
    <row r="167" ht="15.75" customHeight="1">
      <c r="A167" s="1" t="s">
        <v>48</v>
      </c>
    </row>
    <row r="168" ht="15.75" customHeight="1">
      <c r="A168" s="5"/>
    </row>
    <row r="169" ht="15.75" customHeight="1">
      <c r="A169" s="1" t="s">
        <v>88</v>
      </c>
    </row>
    <row r="170" ht="15.75" customHeight="1">
      <c r="A170" s="5"/>
    </row>
    <row r="171" ht="15.75" customHeight="1">
      <c r="A171" s="18" t="s">
        <v>89</v>
      </c>
    </row>
    <row r="172" ht="15.75" customHeight="1">
      <c r="A172" s="5" t="s">
        <v>60</v>
      </c>
    </row>
    <row r="173" ht="15.75" customHeight="1">
      <c r="A173" s="16" t="s">
        <v>61</v>
      </c>
    </row>
    <row r="174" ht="15.75" customHeight="1">
      <c r="A174" s="16" t="s">
        <v>62</v>
      </c>
    </row>
    <row r="175" ht="15.75" customHeight="1">
      <c r="A175" s="16" t="s">
        <v>64</v>
      </c>
    </row>
    <row r="176" ht="15.75" customHeight="1">
      <c r="A176" s="16" t="s">
        <v>65</v>
      </c>
    </row>
    <row r="177" ht="15.75" customHeight="1">
      <c r="A177" s="16" t="s">
        <v>66</v>
      </c>
    </row>
    <row r="178" ht="15.75" customHeight="1">
      <c r="A178" s="1" t="s">
        <v>57</v>
      </c>
    </row>
    <row r="179" ht="15.75" customHeight="1">
      <c r="A179" s="5"/>
    </row>
    <row r="180" ht="15.75" customHeight="1">
      <c r="A180" s="5" t="s">
        <v>42</v>
      </c>
    </row>
    <row r="181" ht="15.75" customHeight="1">
      <c r="A181" s="1" t="s">
        <v>43</v>
      </c>
    </row>
    <row r="182" ht="15.75" customHeight="1">
      <c r="A182" s="1" t="s">
        <v>44</v>
      </c>
    </row>
    <row r="183" ht="15.75" customHeight="1">
      <c r="A183" s="1" t="s">
        <v>45</v>
      </c>
    </row>
    <row r="184" ht="15.75" customHeight="1">
      <c r="A184" s="1" t="s">
        <v>46</v>
      </c>
    </row>
    <row r="185" ht="15.75" customHeight="1">
      <c r="A185" s="1" t="s">
        <v>47</v>
      </c>
    </row>
    <row r="186" ht="15.75" customHeight="1">
      <c r="A186" s="1" t="s">
        <v>48</v>
      </c>
    </row>
    <row r="187" ht="15.75" customHeight="1">
      <c r="A187" s="5"/>
    </row>
    <row r="188" ht="15.75" customHeight="1">
      <c r="A188" s="1" t="s">
        <v>90</v>
      </c>
    </row>
    <row r="189" ht="15.75" customHeight="1">
      <c r="A189" s="1" t="s">
        <v>91</v>
      </c>
    </row>
    <row r="190" ht="15.75" customHeight="1">
      <c r="A190" s="5"/>
    </row>
    <row r="191" ht="15.75" customHeight="1">
      <c r="A191" s="5"/>
    </row>
    <row r="192" ht="15.75" customHeight="1">
      <c r="A192" s="5"/>
    </row>
    <row r="193" ht="15.75" customHeight="1">
      <c r="A193" s="18" t="s">
        <v>92</v>
      </c>
    </row>
    <row r="194" ht="15.75" customHeight="1">
      <c r="A194" s="5" t="s">
        <v>93</v>
      </c>
    </row>
    <row r="195" ht="15.75" customHeight="1">
      <c r="A195" s="5" t="s">
        <v>94</v>
      </c>
    </row>
    <row r="196" ht="15.75" customHeight="1">
      <c r="A196" s="5" t="s">
        <v>49</v>
      </c>
    </row>
    <row r="197" ht="15.75" customHeight="1">
      <c r="A197" s="5"/>
    </row>
    <row r="198" ht="15.75" customHeight="1">
      <c r="A198" s="5" t="s">
        <v>95</v>
      </c>
    </row>
    <row r="199" ht="15.75" customHeight="1">
      <c r="A199" s="5"/>
    </row>
    <row r="200" ht="15.75" customHeight="1">
      <c r="A200" s="5" t="s">
        <v>96</v>
      </c>
    </row>
    <row r="201" ht="15.75" customHeight="1">
      <c r="A201" s="5" t="s">
        <v>97</v>
      </c>
    </row>
    <row r="202" ht="15.75" customHeight="1">
      <c r="A202" s="5" t="s">
        <v>98</v>
      </c>
    </row>
    <row r="203" ht="15.75" customHeight="1">
      <c r="A203" s="5"/>
    </row>
    <row r="204" ht="15.75" customHeight="1">
      <c r="A204" s="5" t="s">
        <v>99</v>
      </c>
    </row>
    <row r="205" ht="15.75" customHeight="1">
      <c r="A205" s="5" t="s">
        <v>100</v>
      </c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>
      <c r="A403" s="1"/>
    </row>
    <row r="404" ht="15.75" customHeight="1">
      <c r="A404" s="1"/>
    </row>
    <row r="405" ht="15.75" customHeight="1">
      <c r="A405" s="1"/>
    </row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29" t="s">
        <v>176</v>
      </c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  <c r="Q1" s="130">
        <f t="shared" ref="Q1:V1" si="2">P1+1</f>
        <v>2031</v>
      </c>
      <c r="R1" s="130">
        <f t="shared" si="2"/>
        <v>2032</v>
      </c>
      <c r="S1" s="130">
        <f t="shared" si="2"/>
        <v>2033</v>
      </c>
      <c r="T1" s="130">
        <f t="shared" si="2"/>
        <v>2034</v>
      </c>
      <c r="U1" s="130">
        <f t="shared" si="2"/>
        <v>2035</v>
      </c>
      <c r="V1" s="130">
        <f t="shared" si="2"/>
        <v>2036</v>
      </c>
      <c r="W1" s="131" t="s">
        <v>108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  <c r="K3" s="25">
        <f t="shared" ref="K3:P3" si="3">(K100*K121)/10^6</f>
        <v>1745621.281</v>
      </c>
      <c r="L3" s="25">
        <f t="shared" si="3"/>
        <v>2039535.594</v>
      </c>
      <c r="M3" s="25">
        <f t="shared" si="3"/>
        <v>2383801.008</v>
      </c>
      <c r="N3" s="25">
        <f t="shared" si="3"/>
        <v>2787144.105</v>
      </c>
      <c r="O3" s="25">
        <f t="shared" si="3"/>
        <v>3259815.476</v>
      </c>
      <c r="P3" s="25">
        <f t="shared" si="3"/>
        <v>3813857.181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  <c r="K4" s="132">
        <v>20000.0</v>
      </c>
      <c r="L4" s="133">
        <v>20000.0</v>
      </c>
      <c r="M4" s="133">
        <v>20000.0</v>
      </c>
      <c r="N4" s="133">
        <v>20000.0</v>
      </c>
      <c r="O4" s="133">
        <v>20000.0</v>
      </c>
      <c r="P4" s="133">
        <v>20000.0</v>
      </c>
    </row>
    <row r="5" ht="15.75" customHeight="1">
      <c r="A5" s="7"/>
    </row>
    <row r="6" ht="15.75" customHeight="1">
      <c r="A6" s="8" t="s">
        <v>3</v>
      </c>
      <c r="B6" s="9">
        <f t="shared" ref="B6:P6" si="4">SUM(B3:B4)</f>
        <v>586120</v>
      </c>
      <c r="C6" s="9">
        <f t="shared" si="4"/>
        <v>703746</v>
      </c>
      <c r="D6" s="9">
        <f t="shared" si="4"/>
        <v>818552</v>
      </c>
      <c r="E6" s="9">
        <f t="shared" si="4"/>
        <v>886301</v>
      </c>
      <c r="F6" s="9">
        <f t="shared" si="4"/>
        <v>789944</v>
      </c>
      <c r="G6" s="9">
        <f t="shared" si="4"/>
        <v>733083</v>
      </c>
      <c r="H6" s="9">
        <f t="shared" si="4"/>
        <v>900745</v>
      </c>
      <c r="I6" s="9">
        <f t="shared" si="4"/>
        <v>1206746</v>
      </c>
      <c r="J6" s="9">
        <f t="shared" si="4"/>
        <v>1459517</v>
      </c>
      <c r="K6" s="134">
        <f t="shared" si="4"/>
        <v>1765621.281</v>
      </c>
      <c r="L6" s="134">
        <f t="shared" si="4"/>
        <v>2059535.594</v>
      </c>
      <c r="M6" s="134">
        <f t="shared" si="4"/>
        <v>2403801.008</v>
      </c>
      <c r="N6" s="134">
        <f t="shared" si="4"/>
        <v>2807144.105</v>
      </c>
      <c r="O6" s="134">
        <f t="shared" si="4"/>
        <v>3279815.476</v>
      </c>
      <c r="P6" s="134">
        <f t="shared" si="4"/>
        <v>3833857.181</v>
      </c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  <c r="K9" s="25">
        <f t="shared" ref="K9:P9" si="5">K$3*K126</f>
        <v>1047372.768</v>
      </c>
      <c r="L9" s="25">
        <f t="shared" si="5"/>
        <v>1223721.356</v>
      </c>
      <c r="M9" s="25">
        <f t="shared" si="5"/>
        <v>1430280.605</v>
      </c>
      <c r="N9" s="25">
        <f t="shared" si="5"/>
        <v>1672286.463</v>
      </c>
      <c r="O9" s="25">
        <f t="shared" si="5"/>
        <v>1955889.286</v>
      </c>
      <c r="P9" s="25">
        <f t="shared" si="5"/>
        <v>2288314.309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  <c r="K10" s="25">
        <f t="shared" ref="K10:P10" si="6">K$3*K127</f>
        <v>139649.7024</v>
      </c>
      <c r="L10" s="25">
        <f t="shared" si="6"/>
        <v>163162.8475</v>
      </c>
      <c r="M10" s="25">
        <f t="shared" si="6"/>
        <v>190704.0806</v>
      </c>
      <c r="N10" s="25">
        <f t="shared" si="6"/>
        <v>222971.5284</v>
      </c>
      <c r="O10" s="25">
        <f t="shared" si="6"/>
        <v>260785.2381</v>
      </c>
      <c r="P10" s="25">
        <f t="shared" si="6"/>
        <v>305108.5745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  <c r="K11" s="25">
        <f t="shared" ref="K11:P11" si="7">K$3*K128</f>
        <v>-4658.822802</v>
      </c>
      <c r="L11" s="25">
        <f t="shared" si="7"/>
        <v>-5443.239628</v>
      </c>
      <c r="M11" s="25">
        <f t="shared" si="7"/>
        <v>-6362.036607</v>
      </c>
      <c r="N11" s="25">
        <f t="shared" si="7"/>
        <v>-7438.503788</v>
      </c>
      <c r="O11" s="25">
        <f t="shared" si="7"/>
        <v>-8699.998584</v>
      </c>
      <c r="P11" s="25">
        <f t="shared" si="7"/>
        <v>-10178.6596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  <c r="K12" s="25">
        <f t="shared" ref="K12:P12" si="8">K$3*K129</f>
        <v>69824.85122</v>
      </c>
      <c r="L12" s="25">
        <f t="shared" si="8"/>
        <v>81581.42375</v>
      </c>
      <c r="M12" s="25">
        <f t="shared" si="8"/>
        <v>95352.0403</v>
      </c>
      <c r="N12" s="25">
        <f t="shared" si="8"/>
        <v>111485.7642</v>
      </c>
      <c r="O12" s="25">
        <f t="shared" si="8"/>
        <v>130392.619</v>
      </c>
      <c r="P12" s="25">
        <f t="shared" si="8"/>
        <v>152554.2873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  <c r="K13" s="25">
        <f t="shared" ref="K13:P13" si="9">K$3*K130</f>
        <v>215960.9246</v>
      </c>
      <c r="L13" s="25">
        <f t="shared" si="9"/>
        <v>252322.7675</v>
      </c>
      <c r="M13" s="25">
        <f t="shared" si="9"/>
        <v>294913.8369</v>
      </c>
      <c r="N13" s="25">
        <f t="shared" si="9"/>
        <v>344813.7489</v>
      </c>
      <c r="O13" s="25">
        <f t="shared" si="9"/>
        <v>403290.6634</v>
      </c>
      <c r="P13" s="25">
        <f t="shared" si="9"/>
        <v>471834.3735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  <c r="K14" s="25">
        <f t="shared" ref="K14:P14" si="10">K$3*K131</f>
        <v>-3208.016652</v>
      </c>
      <c r="L14" s="25">
        <f t="shared" si="10"/>
        <v>-3748.157874</v>
      </c>
      <c r="M14" s="25">
        <f t="shared" si="10"/>
        <v>-4380.831864</v>
      </c>
      <c r="N14" s="25">
        <f t="shared" si="10"/>
        <v>-5122.075905</v>
      </c>
      <c r="O14" s="25">
        <f t="shared" si="10"/>
        <v>-5990.728027</v>
      </c>
      <c r="P14" s="25">
        <f t="shared" si="10"/>
        <v>-7008.918534</v>
      </c>
    </row>
    <row r="15" ht="15.75" customHeight="1">
      <c r="A15" s="7"/>
    </row>
    <row r="16" ht="15.75" customHeight="1">
      <c r="A16" s="8" t="s">
        <v>14</v>
      </c>
      <c r="B16" s="13">
        <f t="shared" ref="B16:J16" si="11">SUM(B9:B14)</f>
        <v>494932</v>
      </c>
      <c r="C16" s="13">
        <f t="shared" si="11"/>
        <v>577269</v>
      </c>
      <c r="D16" s="13">
        <f t="shared" si="11"/>
        <v>677460</v>
      </c>
      <c r="E16" s="13">
        <f t="shared" si="11"/>
        <v>750653</v>
      </c>
      <c r="F16" s="13">
        <f t="shared" si="11"/>
        <v>683474</v>
      </c>
      <c r="G16" s="13">
        <f t="shared" si="11"/>
        <v>650204</v>
      </c>
      <c r="H16" s="13">
        <f t="shared" si="11"/>
        <v>826236</v>
      </c>
      <c r="I16" s="13">
        <f t="shared" si="11"/>
        <v>1053155</v>
      </c>
      <c r="J16" s="13">
        <f t="shared" si="11"/>
        <v>1233319</v>
      </c>
      <c r="K16" s="135">
        <f t="shared" ref="K16:P16" si="12">sum(K9:K14)</f>
        <v>1464941.407</v>
      </c>
      <c r="L16" s="135">
        <f t="shared" si="12"/>
        <v>1711596.997</v>
      </c>
      <c r="M16" s="135">
        <f t="shared" si="12"/>
        <v>2000507.694</v>
      </c>
      <c r="N16" s="135">
        <f t="shared" si="12"/>
        <v>2338996.925</v>
      </c>
      <c r="O16" s="135">
        <f t="shared" si="12"/>
        <v>2735667.079</v>
      </c>
      <c r="P16" s="135">
        <f t="shared" si="12"/>
        <v>3200623.966</v>
      </c>
    </row>
    <row r="17" ht="15.75" customHeight="1">
      <c r="A17" s="7"/>
    </row>
    <row r="18" ht="15.75" customHeight="1">
      <c r="A18" s="113" t="s">
        <v>177</v>
      </c>
      <c r="B18" s="23">
        <f t="shared" ref="B18:P18" si="13">B6-B16</f>
        <v>91188</v>
      </c>
      <c r="C18" s="23">
        <f t="shared" si="13"/>
        <v>126477</v>
      </c>
      <c r="D18" s="23">
        <f t="shared" si="13"/>
        <v>141092</v>
      </c>
      <c r="E18" s="23">
        <f t="shared" si="13"/>
        <v>135648</v>
      </c>
      <c r="F18" s="23">
        <f t="shared" si="13"/>
        <v>106470</v>
      </c>
      <c r="G18" s="23">
        <f t="shared" si="13"/>
        <v>82879</v>
      </c>
      <c r="H18" s="23">
        <f t="shared" si="13"/>
        <v>74509</v>
      </c>
      <c r="I18" s="23">
        <f t="shared" si="13"/>
        <v>153591</v>
      </c>
      <c r="J18" s="23">
        <f t="shared" si="13"/>
        <v>226198</v>
      </c>
      <c r="K18" s="54">
        <f t="shared" si="13"/>
        <v>300679.8734</v>
      </c>
      <c r="L18" s="54">
        <f t="shared" si="13"/>
        <v>347938.5962</v>
      </c>
      <c r="M18" s="54">
        <f t="shared" si="13"/>
        <v>403293.3137</v>
      </c>
      <c r="N18" s="54">
        <f t="shared" si="13"/>
        <v>468147.1802</v>
      </c>
      <c r="O18" s="54">
        <f t="shared" si="13"/>
        <v>544148.3965</v>
      </c>
      <c r="P18" s="54">
        <f t="shared" si="13"/>
        <v>633233.2155</v>
      </c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  <c r="K20" s="130">
        <f t="shared" ref="K20:P20" si="14">K207</f>
        <v>61200</v>
      </c>
      <c r="L20" s="130">
        <f t="shared" si="14"/>
        <v>68400</v>
      </c>
      <c r="M20" s="130">
        <f t="shared" si="14"/>
        <v>75600</v>
      </c>
      <c r="N20" s="130">
        <f t="shared" si="14"/>
        <v>82800</v>
      </c>
      <c r="O20" s="130">
        <f t="shared" si="14"/>
        <v>90000</v>
      </c>
      <c r="P20" s="130">
        <f t="shared" si="14"/>
        <v>97200</v>
      </c>
    </row>
    <row r="21" ht="15.75" customHeight="1">
      <c r="A21" s="7"/>
    </row>
    <row r="22" ht="15.75" customHeight="1">
      <c r="A22" s="113" t="s">
        <v>178</v>
      </c>
      <c r="B22" s="23">
        <f t="shared" ref="B22:P22" si="15">B18-B20</f>
        <v>62518</v>
      </c>
      <c r="C22" s="23">
        <f t="shared" si="15"/>
        <v>100438</v>
      </c>
      <c r="D22" s="23">
        <f t="shared" si="15"/>
        <v>113494</v>
      </c>
      <c r="E22" s="23">
        <f t="shared" si="15"/>
        <v>105440</v>
      </c>
      <c r="F22" s="23">
        <f t="shared" si="15"/>
        <v>71186</v>
      </c>
      <c r="G22" s="23">
        <f t="shared" si="15"/>
        <v>52538</v>
      </c>
      <c r="H22" s="23">
        <f t="shared" si="15"/>
        <v>46619</v>
      </c>
      <c r="I22" s="23">
        <f t="shared" si="15"/>
        <v>105131</v>
      </c>
      <c r="J22" s="23">
        <f t="shared" si="15"/>
        <v>173640</v>
      </c>
      <c r="K22" s="54">
        <f t="shared" si="15"/>
        <v>239479.8734</v>
      </c>
      <c r="L22" s="54">
        <f t="shared" si="15"/>
        <v>279538.5962</v>
      </c>
      <c r="M22" s="54">
        <f t="shared" si="15"/>
        <v>327693.3137</v>
      </c>
      <c r="N22" s="54">
        <f t="shared" si="15"/>
        <v>385347.1802</v>
      </c>
      <c r="O22" s="54">
        <f t="shared" si="15"/>
        <v>454148.3965</v>
      </c>
      <c r="P22" s="54">
        <f t="shared" si="15"/>
        <v>536033.2155</v>
      </c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  <c r="K24" s="136">
        <v>1936.0</v>
      </c>
      <c r="L24" s="137">
        <v>1936.0</v>
      </c>
      <c r="M24" s="137">
        <v>1936.0</v>
      </c>
      <c r="N24" s="137">
        <v>1936.0</v>
      </c>
      <c r="O24" s="137">
        <v>1936.0</v>
      </c>
      <c r="P24" s="137">
        <v>1936.0</v>
      </c>
      <c r="Q24" s="138"/>
    </row>
    <row r="25" ht="15.75" customHeight="1">
      <c r="A25" s="7"/>
    </row>
    <row r="26" ht="15.75" customHeight="1">
      <c r="A26" s="7" t="s">
        <v>23</v>
      </c>
      <c r="B26" s="6">
        <f t="shared" ref="B26:P26" si="16">B22-B24</f>
        <v>61581</v>
      </c>
      <c r="C26" s="6">
        <f t="shared" si="16"/>
        <v>99544</v>
      </c>
      <c r="D26" s="6">
        <f t="shared" si="16"/>
        <v>110036</v>
      </c>
      <c r="E26" s="6">
        <f t="shared" si="16"/>
        <v>104681</v>
      </c>
      <c r="F26" s="6">
        <f t="shared" si="16"/>
        <v>69844</v>
      </c>
      <c r="G26" s="6">
        <f t="shared" si="16"/>
        <v>51520</v>
      </c>
      <c r="H26" s="6">
        <f t="shared" si="16"/>
        <v>45353</v>
      </c>
      <c r="I26" s="6">
        <f t="shared" si="16"/>
        <v>102608</v>
      </c>
      <c r="J26" s="6">
        <f t="shared" si="16"/>
        <v>171704</v>
      </c>
      <c r="K26" s="25">
        <f t="shared" si="16"/>
        <v>237543.8734</v>
      </c>
      <c r="L26" s="25">
        <f t="shared" si="16"/>
        <v>277602.5962</v>
      </c>
      <c r="M26" s="25">
        <f t="shared" si="16"/>
        <v>325757.3137</v>
      </c>
      <c r="N26" s="25">
        <f t="shared" si="16"/>
        <v>383411.1802</v>
      </c>
      <c r="O26" s="25">
        <f t="shared" si="16"/>
        <v>452212.3965</v>
      </c>
      <c r="P26" s="25">
        <f t="shared" si="16"/>
        <v>534097.2155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  <c r="K27" s="136">
        <v>2669.0</v>
      </c>
      <c r="L27" s="137">
        <v>2669.0</v>
      </c>
      <c r="M27" s="137">
        <v>2669.0</v>
      </c>
      <c r="N27" s="137">
        <v>2669.0</v>
      </c>
      <c r="O27" s="137">
        <v>2669.0</v>
      </c>
      <c r="P27" s="137">
        <v>2669.0</v>
      </c>
    </row>
    <row r="28" ht="15.75" customHeight="1">
      <c r="A28" s="113" t="s">
        <v>184</v>
      </c>
      <c r="B28" s="23">
        <f t="shared" ref="B28:P28" si="17">SUM(B26:B27)</f>
        <v>66296</v>
      </c>
      <c r="C28" s="23">
        <f t="shared" si="17"/>
        <v>101272</v>
      </c>
      <c r="D28" s="23">
        <f t="shared" si="17"/>
        <v>111669</v>
      </c>
      <c r="E28" s="23">
        <f t="shared" si="17"/>
        <v>102651</v>
      </c>
      <c r="F28" s="23">
        <f t="shared" si="17"/>
        <v>65427</v>
      </c>
      <c r="G28" s="23">
        <f t="shared" si="17"/>
        <v>56656</v>
      </c>
      <c r="H28" s="23">
        <f t="shared" si="17"/>
        <v>48482</v>
      </c>
      <c r="I28" s="23">
        <f t="shared" si="17"/>
        <v>103194</v>
      </c>
      <c r="J28" s="23">
        <f t="shared" si="17"/>
        <v>174373</v>
      </c>
      <c r="K28" s="54">
        <f t="shared" si="17"/>
        <v>240212.8734</v>
      </c>
      <c r="L28" s="54">
        <f t="shared" si="17"/>
        <v>280271.5962</v>
      </c>
      <c r="M28" s="54">
        <f t="shared" si="17"/>
        <v>328426.3137</v>
      </c>
      <c r="N28" s="54">
        <f t="shared" si="17"/>
        <v>386080.1802</v>
      </c>
      <c r="O28" s="54">
        <f t="shared" si="17"/>
        <v>454881.3965</v>
      </c>
      <c r="P28" s="54">
        <f t="shared" si="17"/>
        <v>536766.2155</v>
      </c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  <c r="K30" s="25">
        <f t="shared" ref="K30:P30" si="18">K28*K31</f>
        <v>72063.86202</v>
      </c>
      <c r="L30" s="25">
        <f t="shared" si="18"/>
        <v>84081.47885</v>
      </c>
      <c r="M30" s="25">
        <f t="shared" si="18"/>
        <v>98527.8941</v>
      </c>
      <c r="N30" s="25">
        <f t="shared" si="18"/>
        <v>115824.054</v>
      </c>
      <c r="O30" s="25">
        <f t="shared" si="18"/>
        <v>136464.4189</v>
      </c>
      <c r="P30" s="25">
        <f t="shared" si="18"/>
        <v>161029.8646</v>
      </c>
    </row>
    <row r="31" ht="15.75" customHeight="1">
      <c r="A31" s="7"/>
      <c r="K31" s="139">
        <v>0.3</v>
      </c>
      <c r="L31" s="140">
        <v>0.3</v>
      </c>
      <c r="M31" s="140">
        <v>0.3</v>
      </c>
      <c r="N31" s="140">
        <v>0.3</v>
      </c>
      <c r="O31" s="140">
        <v>0.3</v>
      </c>
      <c r="P31" s="140">
        <v>0.3</v>
      </c>
    </row>
    <row r="32" ht="15.75" customHeight="1">
      <c r="A32" s="7" t="s">
        <v>27</v>
      </c>
      <c r="B32" s="6">
        <f t="shared" ref="B32:P32" si="19">B28-B30</f>
        <v>46309</v>
      </c>
      <c r="C32" s="6">
        <f t="shared" si="19"/>
        <v>75110</v>
      </c>
      <c r="D32" s="6">
        <f t="shared" si="19"/>
        <v>78807</v>
      </c>
      <c r="E32" s="6">
        <f t="shared" si="19"/>
        <v>72919</v>
      </c>
      <c r="F32" s="6">
        <f t="shared" si="19"/>
        <v>51175</v>
      </c>
      <c r="G32" s="6">
        <f t="shared" si="19"/>
        <v>47337</v>
      </c>
      <c r="H32" s="6">
        <f t="shared" si="19"/>
        <v>40305</v>
      </c>
      <c r="I32" s="6">
        <f t="shared" si="19"/>
        <v>81449</v>
      </c>
      <c r="J32" s="6">
        <f t="shared" si="19"/>
        <v>135010</v>
      </c>
      <c r="K32" s="25">
        <f t="shared" si="19"/>
        <v>168149.0114</v>
      </c>
      <c r="L32" s="25">
        <f t="shared" si="19"/>
        <v>196190.1173</v>
      </c>
      <c r="M32" s="25">
        <f t="shared" si="19"/>
        <v>229898.4196</v>
      </c>
      <c r="N32" s="25">
        <f t="shared" si="19"/>
        <v>270256.1261</v>
      </c>
      <c r="O32" s="25">
        <f t="shared" si="19"/>
        <v>318416.9775</v>
      </c>
      <c r="P32" s="25">
        <f t="shared" si="19"/>
        <v>375736.3508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 t="shared" ref="J33:P33" si="20">2263+278</f>
        <v>2541</v>
      </c>
      <c r="K33" s="141">
        <f t="shared" si="20"/>
        <v>2541</v>
      </c>
      <c r="L33" s="137">
        <f t="shared" si="20"/>
        <v>2541</v>
      </c>
      <c r="M33" s="137">
        <f t="shared" si="20"/>
        <v>2541</v>
      </c>
      <c r="N33" s="137">
        <f t="shared" si="20"/>
        <v>2541</v>
      </c>
      <c r="O33" s="137">
        <f t="shared" si="20"/>
        <v>2541</v>
      </c>
      <c r="P33" s="137">
        <f t="shared" si="20"/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21">B32+B33</f>
        <v>46988</v>
      </c>
      <c r="C36" s="9">
        <f t="shared" si="21"/>
        <v>77326</v>
      </c>
      <c r="D36" s="9">
        <f t="shared" si="21"/>
        <v>82118</v>
      </c>
      <c r="E36" s="9">
        <f>E32+F33</f>
        <v>74103</v>
      </c>
      <c r="F36" s="9">
        <f t="shared" ref="F36:P36" si="22">F32+F33</f>
        <v>52359</v>
      </c>
      <c r="G36" s="9">
        <f t="shared" si="22"/>
        <v>49027</v>
      </c>
      <c r="H36" s="9">
        <f t="shared" si="22"/>
        <v>41924</v>
      </c>
      <c r="I36" s="9">
        <f t="shared" si="22"/>
        <v>83223</v>
      </c>
      <c r="J36" s="9">
        <f t="shared" si="22"/>
        <v>137551</v>
      </c>
      <c r="K36" s="134">
        <f t="shared" si="22"/>
        <v>170690.0114</v>
      </c>
      <c r="L36" s="134">
        <f t="shared" si="22"/>
        <v>198731.1173</v>
      </c>
      <c r="M36" s="134">
        <f t="shared" si="22"/>
        <v>232439.4196</v>
      </c>
      <c r="N36" s="134">
        <f t="shared" si="22"/>
        <v>272797.1261</v>
      </c>
      <c r="O36" s="134">
        <f t="shared" si="22"/>
        <v>320957.9775</v>
      </c>
      <c r="P36" s="134">
        <f t="shared" si="22"/>
        <v>378277.3508</v>
      </c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4" t="s">
        <v>31</v>
      </c>
      <c r="B41" s="27">
        <f t="shared" ref="B41:P41" si="23">sum(B42:B47)</f>
        <v>306304</v>
      </c>
      <c r="C41" s="27">
        <f t="shared" si="23"/>
        <v>370905</v>
      </c>
      <c r="D41" s="27">
        <f t="shared" si="23"/>
        <v>425755</v>
      </c>
      <c r="E41" s="27">
        <f t="shared" si="23"/>
        <v>471097</v>
      </c>
      <c r="F41" s="27">
        <f t="shared" si="23"/>
        <v>494322</v>
      </c>
      <c r="G41" s="27">
        <f t="shared" si="23"/>
        <v>525006</v>
      </c>
      <c r="H41" s="27">
        <f t="shared" si="23"/>
        <v>553335</v>
      </c>
      <c r="I41" s="27">
        <f t="shared" si="23"/>
        <v>746002</v>
      </c>
      <c r="J41" s="27">
        <f t="shared" si="23"/>
        <v>856360</v>
      </c>
      <c r="K41" s="142">
        <f t="shared" si="23"/>
        <v>1027050.011</v>
      </c>
      <c r="L41" s="142">
        <f t="shared" si="23"/>
        <v>1225781.129</v>
      </c>
      <c r="M41" s="142">
        <f t="shared" si="23"/>
        <v>1458220.548</v>
      </c>
      <c r="N41" s="142">
        <f t="shared" si="23"/>
        <v>1731017.674</v>
      </c>
      <c r="O41" s="142">
        <f t="shared" si="23"/>
        <v>2051975.652</v>
      </c>
      <c r="P41" s="142">
        <f t="shared" si="23"/>
        <v>2430253.003</v>
      </c>
    </row>
    <row r="42" ht="15.75" customHeight="1">
      <c r="A42" s="1" t="s">
        <v>32</v>
      </c>
      <c r="B42" s="22">
        <v>1510.0</v>
      </c>
      <c r="C42" s="22">
        <v>1510.0</v>
      </c>
      <c r="D42" s="22">
        <v>1510.0</v>
      </c>
      <c r="E42" s="22">
        <v>1510.0</v>
      </c>
      <c r="F42" s="22">
        <v>1510.0</v>
      </c>
      <c r="G42" s="22">
        <v>1510.0</v>
      </c>
      <c r="H42" s="22">
        <v>1510.0</v>
      </c>
      <c r="I42" s="22">
        <v>1572.0</v>
      </c>
      <c r="J42" s="22">
        <v>1572.0</v>
      </c>
      <c r="K42" s="143">
        <v>1572.0</v>
      </c>
      <c r="L42" s="143">
        <v>1572.0</v>
      </c>
      <c r="M42" s="143">
        <v>1572.0</v>
      </c>
      <c r="N42" s="143">
        <v>1572.0</v>
      </c>
      <c r="O42" s="143">
        <v>1572.0</v>
      </c>
      <c r="P42" s="143">
        <v>1572.0</v>
      </c>
    </row>
    <row r="43" ht="15.75" customHeight="1">
      <c r="A43" s="1" t="s">
        <v>33</v>
      </c>
      <c r="B43" s="22">
        <v>304650.0</v>
      </c>
      <c r="C43" s="22">
        <v>369241.0</v>
      </c>
      <c r="D43" s="22">
        <v>424084.0</v>
      </c>
      <c r="E43" s="22">
        <v>469411.0</v>
      </c>
      <c r="F43" s="22">
        <v>492620.0</v>
      </c>
      <c r="G43" s="22">
        <v>523496.0</v>
      </c>
      <c r="H43" s="22">
        <v>551825.0</v>
      </c>
      <c r="I43" s="22">
        <v>744430.0</v>
      </c>
      <c r="J43" s="22">
        <v>854788.0</v>
      </c>
      <c r="K43" s="144">
        <f t="shared" ref="K43:P43" si="24">J43+K36</f>
        <v>1025478.011</v>
      </c>
      <c r="L43" s="144">
        <f t="shared" si="24"/>
        <v>1224209.129</v>
      </c>
      <c r="M43" s="144">
        <f t="shared" si="24"/>
        <v>1456648.548</v>
      </c>
      <c r="N43" s="144">
        <f t="shared" si="24"/>
        <v>1729445.674</v>
      </c>
      <c r="O43" s="144">
        <f t="shared" si="24"/>
        <v>2050403.652</v>
      </c>
      <c r="P43" s="144">
        <f t="shared" si="24"/>
        <v>2428681.003</v>
      </c>
    </row>
    <row r="44" ht="15.75" customHeight="1">
      <c r="A44" s="1" t="s">
        <v>34</v>
      </c>
      <c r="B44" s="22">
        <v>0.0</v>
      </c>
      <c r="C44" s="22">
        <v>0.0</v>
      </c>
      <c r="D44" s="22">
        <v>0.0</v>
      </c>
      <c r="E44" s="22">
        <v>0.0</v>
      </c>
      <c r="F44" s="22">
        <v>0.0</v>
      </c>
      <c r="G44" s="22">
        <v>0.0</v>
      </c>
      <c r="H44" s="22">
        <v>0.0</v>
      </c>
      <c r="I44" s="22">
        <v>0.0</v>
      </c>
      <c r="J44" s="22">
        <v>0.0</v>
      </c>
      <c r="K44" s="21">
        <f t="shared" ref="K44:P44" si="25">J44</f>
        <v>0</v>
      </c>
      <c r="L44" s="21">
        <f t="shared" si="25"/>
        <v>0</v>
      </c>
      <c r="M44" s="21">
        <f t="shared" si="25"/>
        <v>0</v>
      </c>
      <c r="N44" s="21">
        <f t="shared" si="25"/>
        <v>0</v>
      </c>
      <c r="O44" s="21">
        <f t="shared" si="25"/>
        <v>0</v>
      </c>
      <c r="P44" s="21">
        <f t="shared" si="25"/>
        <v>0</v>
      </c>
    </row>
    <row r="45" ht="15.75" customHeight="1">
      <c r="A45" s="7"/>
      <c r="K45" s="138" t="str">
        <f t="shared" ref="K45:P45" si="26">J45</f>
        <v/>
      </c>
      <c r="L45" s="138" t="str">
        <f t="shared" si="26"/>
        <v/>
      </c>
      <c r="M45" s="138" t="str">
        <f t="shared" si="26"/>
        <v/>
      </c>
      <c r="N45" s="138" t="str">
        <f t="shared" si="26"/>
        <v/>
      </c>
      <c r="O45" s="138" t="str">
        <f t="shared" si="26"/>
        <v/>
      </c>
      <c r="P45" s="138" t="str">
        <f t="shared" si="26"/>
        <v/>
      </c>
    </row>
    <row r="46" ht="15.75" customHeight="1">
      <c r="A46" s="7" t="s">
        <v>35</v>
      </c>
      <c r="B46" s="22">
        <v>144.0</v>
      </c>
      <c r="C46" s="22">
        <v>154.0</v>
      </c>
      <c r="D46" s="22">
        <v>161.0</v>
      </c>
      <c r="E46" s="22">
        <v>176.0</v>
      </c>
      <c r="F46" s="22">
        <v>192.0</v>
      </c>
      <c r="G46" s="22">
        <v>0.0</v>
      </c>
      <c r="H46" s="22">
        <v>0.0</v>
      </c>
      <c r="I46" s="22">
        <v>0.0</v>
      </c>
      <c r="J46" s="22">
        <v>0.0</v>
      </c>
      <c r="K46" s="21">
        <f t="shared" ref="K46:P46" si="27">J46</f>
        <v>0</v>
      </c>
      <c r="L46" s="21">
        <f t="shared" si="27"/>
        <v>0</v>
      </c>
      <c r="M46" s="21">
        <f t="shared" si="27"/>
        <v>0</v>
      </c>
      <c r="N46" s="21">
        <f t="shared" si="27"/>
        <v>0</v>
      </c>
      <c r="O46" s="21">
        <f t="shared" si="27"/>
        <v>0</v>
      </c>
      <c r="P46" s="21">
        <f t="shared" si="27"/>
        <v>0</v>
      </c>
    </row>
    <row r="47" ht="15.75" customHeight="1">
      <c r="A47" s="7" t="s">
        <v>36</v>
      </c>
      <c r="B47" s="22">
        <v>0.0</v>
      </c>
      <c r="C47" s="22">
        <v>0.0</v>
      </c>
      <c r="D47" s="22">
        <v>0.0</v>
      </c>
      <c r="E47" s="22">
        <v>0.0</v>
      </c>
      <c r="F47" s="22">
        <v>0.0</v>
      </c>
      <c r="G47" s="22">
        <v>0.0</v>
      </c>
      <c r="H47" s="22">
        <v>0.0</v>
      </c>
      <c r="I47" s="22">
        <v>0.0</v>
      </c>
      <c r="J47" s="22">
        <v>0.0</v>
      </c>
      <c r="K47" s="21">
        <f t="shared" ref="K47:P47" si="28">J47</f>
        <v>0</v>
      </c>
      <c r="L47" s="21">
        <f t="shared" si="28"/>
        <v>0</v>
      </c>
      <c r="M47" s="21">
        <f t="shared" si="28"/>
        <v>0</v>
      </c>
      <c r="N47" s="21">
        <f t="shared" si="28"/>
        <v>0</v>
      </c>
      <c r="O47" s="21">
        <f t="shared" si="28"/>
        <v>0</v>
      </c>
      <c r="P47" s="21">
        <f t="shared" si="28"/>
        <v>0</v>
      </c>
    </row>
    <row r="48" ht="15.75" customHeight="1">
      <c r="A48" s="7"/>
    </row>
    <row r="49" ht="15.75" customHeight="1">
      <c r="A49" s="4" t="s">
        <v>37</v>
      </c>
      <c r="B49" s="27">
        <f t="shared" ref="B49:P49" si="29">sum(B50:B54)</f>
        <v>10510</v>
      </c>
      <c r="C49" s="27">
        <f t="shared" si="29"/>
        <v>16332</v>
      </c>
      <c r="D49" s="27">
        <f t="shared" si="29"/>
        <v>22244</v>
      </c>
      <c r="E49" s="27">
        <f t="shared" si="29"/>
        <v>26985</v>
      </c>
      <c r="F49" s="27">
        <f t="shared" si="29"/>
        <v>28901</v>
      </c>
      <c r="G49" s="27">
        <f t="shared" si="29"/>
        <v>26616</v>
      </c>
      <c r="H49" s="27">
        <f t="shared" si="29"/>
        <v>22985</v>
      </c>
      <c r="I49" s="27">
        <f t="shared" si="29"/>
        <v>30185</v>
      </c>
      <c r="J49" s="27">
        <f t="shared" si="29"/>
        <v>37630</v>
      </c>
      <c r="K49" s="27">
        <f t="shared" si="29"/>
        <v>37630</v>
      </c>
      <c r="L49" s="27">
        <f t="shared" si="29"/>
        <v>37630</v>
      </c>
      <c r="M49" s="27">
        <f t="shared" si="29"/>
        <v>37630</v>
      </c>
      <c r="N49" s="27">
        <f t="shared" si="29"/>
        <v>37630</v>
      </c>
      <c r="O49" s="27">
        <f t="shared" si="29"/>
        <v>37630</v>
      </c>
      <c r="P49" s="27">
        <f t="shared" si="29"/>
        <v>37630</v>
      </c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ht="15.75" customHeight="1">
      <c r="A50" s="1" t="s">
        <v>38</v>
      </c>
      <c r="B50" s="22">
        <v>0.0</v>
      </c>
      <c r="C50" s="22">
        <v>0.0</v>
      </c>
      <c r="D50" s="22">
        <v>100.0</v>
      </c>
      <c r="E50" s="22">
        <v>80.0</v>
      </c>
      <c r="F50" s="22">
        <v>652.0</v>
      </c>
      <c r="G50" s="22">
        <v>420.0</v>
      </c>
      <c r="H50" s="22">
        <v>329.0</v>
      </c>
      <c r="I50" s="22">
        <v>250.0</v>
      </c>
      <c r="J50" s="22">
        <v>677.0</v>
      </c>
      <c r="K50" s="143">
        <v>677.0</v>
      </c>
      <c r="L50" s="143">
        <v>677.0</v>
      </c>
      <c r="M50" s="143">
        <v>677.0</v>
      </c>
      <c r="N50" s="143">
        <v>677.0</v>
      </c>
      <c r="O50" s="143">
        <v>677.0</v>
      </c>
      <c r="P50" s="143">
        <v>677.0</v>
      </c>
    </row>
    <row r="51" ht="15.75" customHeight="1">
      <c r="A51" s="1" t="s">
        <v>39</v>
      </c>
      <c r="B51" s="22">
        <v>8075.0</v>
      </c>
      <c r="C51" s="22">
        <v>11055.0</v>
      </c>
      <c r="D51" s="22">
        <v>15859.0</v>
      </c>
      <c r="E51" s="22">
        <v>20371.0</v>
      </c>
      <c r="F51" s="22">
        <v>21158.0</v>
      </c>
      <c r="G51" s="22">
        <v>21295.0</v>
      </c>
      <c r="H51" s="22">
        <v>21812.0</v>
      </c>
      <c r="I51" s="22">
        <v>25850.0</v>
      </c>
      <c r="J51" s="22">
        <v>31617.0</v>
      </c>
      <c r="K51" s="143">
        <v>31617.0</v>
      </c>
      <c r="L51" s="143">
        <v>31617.0</v>
      </c>
      <c r="M51" s="143">
        <v>31617.0</v>
      </c>
      <c r="N51" s="143">
        <v>31617.0</v>
      </c>
      <c r="O51" s="143">
        <v>31617.0</v>
      </c>
      <c r="P51" s="143">
        <v>31617.0</v>
      </c>
    </row>
    <row r="52" ht="15.75" customHeight="1">
      <c r="A52" s="1" t="s">
        <v>40</v>
      </c>
      <c r="B52" s="22">
        <v>148.0</v>
      </c>
      <c r="C52" s="22">
        <v>219.0</v>
      </c>
      <c r="D52" s="22">
        <v>265.0</v>
      </c>
      <c r="E52" s="22">
        <v>395.0</v>
      </c>
      <c r="F52" s="22">
        <v>516.0</v>
      </c>
      <c r="G52" s="22">
        <v>447.0</v>
      </c>
      <c r="H52" s="22">
        <v>844.0</v>
      </c>
      <c r="I52" s="22">
        <v>875.0</v>
      </c>
      <c r="J52" s="22">
        <v>1448.0</v>
      </c>
      <c r="K52" s="143">
        <v>1448.0</v>
      </c>
      <c r="L52" s="143">
        <v>1448.0</v>
      </c>
      <c r="M52" s="143">
        <v>1448.0</v>
      </c>
      <c r="N52" s="143">
        <v>1448.0</v>
      </c>
      <c r="O52" s="143">
        <v>1448.0</v>
      </c>
      <c r="P52" s="143">
        <v>1448.0</v>
      </c>
    </row>
    <row r="53" ht="15.75" customHeight="1">
      <c r="A53" s="1" t="s">
        <v>41</v>
      </c>
      <c r="B53" s="22">
        <v>2287.0</v>
      </c>
      <c r="C53" s="22">
        <v>5058.0</v>
      </c>
      <c r="D53" s="22">
        <v>6020.0</v>
      </c>
      <c r="E53" s="22">
        <v>6139.0</v>
      </c>
      <c r="F53" s="22">
        <v>6575.0</v>
      </c>
      <c r="G53" s="22">
        <v>4454.0</v>
      </c>
      <c r="H53" s="22">
        <v>0.0</v>
      </c>
      <c r="I53" s="22">
        <v>3210.0</v>
      </c>
      <c r="J53" s="22">
        <v>3888.0</v>
      </c>
      <c r="K53" s="143">
        <v>3888.0</v>
      </c>
      <c r="L53" s="143">
        <v>3888.0</v>
      </c>
      <c r="M53" s="143">
        <v>3888.0</v>
      </c>
      <c r="N53" s="143">
        <v>3888.0</v>
      </c>
      <c r="O53" s="143">
        <v>3888.0</v>
      </c>
      <c r="P53" s="143">
        <v>3888.0</v>
      </c>
    </row>
    <row r="54" ht="15.75" customHeight="1">
      <c r="A54" s="7"/>
      <c r="K54" s="138" t="str">
        <f>J54</f>
        <v/>
      </c>
    </row>
    <row r="55" ht="15.75" customHeight="1">
      <c r="A55" s="18" t="s">
        <v>42</v>
      </c>
      <c r="B55" s="27">
        <f t="shared" ref="B55:P55" si="30">sum(B56:B62)</f>
        <v>110441</v>
      </c>
      <c r="C55" s="27">
        <f t="shared" si="30"/>
        <v>132368</v>
      </c>
      <c r="D55" s="27">
        <f t="shared" si="30"/>
        <v>154485</v>
      </c>
      <c r="E55" s="27">
        <f t="shared" si="30"/>
        <v>141605</v>
      </c>
      <c r="F55" s="27">
        <f t="shared" si="30"/>
        <v>113054</v>
      </c>
      <c r="G55" s="27">
        <f t="shared" si="30"/>
        <v>162139</v>
      </c>
      <c r="H55" s="27">
        <f t="shared" si="30"/>
        <v>170235</v>
      </c>
      <c r="I55" s="27">
        <f t="shared" si="30"/>
        <v>227667</v>
      </c>
      <c r="J55" s="27">
        <f t="shared" si="30"/>
        <v>259518</v>
      </c>
      <c r="K55" s="54">
        <f t="shared" si="30"/>
        <v>333413.6646</v>
      </c>
      <c r="L55" s="54">
        <f t="shared" si="30"/>
        <v>389551.2984</v>
      </c>
      <c r="M55" s="54">
        <f t="shared" si="30"/>
        <v>455305.9924</v>
      </c>
      <c r="N55" s="54">
        <f t="shared" si="30"/>
        <v>532344.524</v>
      </c>
      <c r="O55" s="54">
        <f t="shared" si="30"/>
        <v>622624.7559</v>
      </c>
      <c r="P55" s="54">
        <f t="shared" si="30"/>
        <v>728446.7217</v>
      </c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ht="15.75" customHeight="1">
      <c r="A56" s="1" t="s">
        <v>43</v>
      </c>
      <c r="B56" s="22">
        <v>7956.0</v>
      </c>
      <c r="C56" s="22">
        <v>8036.0</v>
      </c>
      <c r="D56" s="22">
        <v>8541.0</v>
      </c>
      <c r="E56" s="22">
        <v>6729.0</v>
      </c>
      <c r="F56" s="22">
        <v>6962.0</v>
      </c>
      <c r="G56" s="22">
        <v>8547.0</v>
      </c>
      <c r="H56" s="22">
        <v>11113.0</v>
      </c>
      <c r="I56" s="22">
        <v>11584.0</v>
      </c>
      <c r="J56" s="22">
        <v>12030.0</v>
      </c>
      <c r="K56" s="25">
        <f t="shared" ref="K56:P56" si="31">K165</f>
        <v>17456.21281</v>
      </c>
      <c r="L56" s="25">
        <f t="shared" si="31"/>
        <v>20395.35594</v>
      </c>
      <c r="M56" s="25">
        <f t="shared" si="31"/>
        <v>23838.01008</v>
      </c>
      <c r="N56" s="25">
        <f t="shared" si="31"/>
        <v>27871.44105</v>
      </c>
      <c r="O56" s="25">
        <f t="shared" si="31"/>
        <v>32598.15476</v>
      </c>
      <c r="P56" s="25">
        <f t="shared" si="31"/>
        <v>38138.57181</v>
      </c>
    </row>
    <row r="57" ht="15.75" customHeight="1">
      <c r="A57" s="1" t="s">
        <v>44</v>
      </c>
      <c r="B57" s="22">
        <v>774.0</v>
      </c>
      <c r="C57" s="22">
        <v>4838.0</v>
      </c>
      <c r="D57" s="22">
        <v>1108.0</v>
      </c>
      <c r="E57" s="22">
        <v>1496.0</v>
      </c>
      <c r="F57" s="22">
        <v>1063.0</v>
      </c>
      <c r="G57" s="22">
        <v>4962.0</v>
      </c>
      <c r="H57" s="22">
        <v>3819.0</v>
      </c>
      <c r="I57" s="22">
        <v>12226.0</v>
      </c>
      <c r="J57" s="22">
        <v>509.0</v>
      </c>
      <c r="K57" s="25">
        <f t="shared" ref="K57:P57" si="32">K166</f>
        <v>1745.621281</v>
      </c>
      <c r="L57" s="25">
        <f t="shared" si="32"/>
        <v>2039.535594</v>
      </c>
      <c r="M57" s="25">
        <f t="shared" si="32"/>
        <v>2383.801008</v>
      </c>
      <c r="N57" s="25">
        <f t="shared" si="32"/>
        <v>2787.144105</v>
      </c>
      <c r="O57" s="25">
        <f t="shared" si="32"/>
        <v>3259.815476</v>
      </c>
      <c r="P57" s="25">
        <f t="shared" si="32"/>
        <v>3813.857181</v>
      </c>
    </row>
    <row r="58" ht="15.75" customHeight="1">
      <c r="A58" s="29" t="s">
        <v>185</v>
      </c>
      <c r="B58" s="22">
        <v>74089.0</v>
      </c>
      <c r="C58" s="22">
        <v>83692.0</v>
      </c>
      <c r="D58" s="22">
        <v>104993.0</v>
      </c>
      <c r="E58" s="22">
        <v>96377.0</v>
      </c>
      <c r="F58" s="22">
        <v>75091.0</v>
      </c>
      <c r="G58" s="22">
        <v>101681.0</v>
      </c>
      <c r="H58" s="22">
        <v>97732.0</v>
      </c>
      <c r="I58" s="22">
        <v>1947.0</v>
      </c>
      <c r="J58" s="22">
        <v>2070.0</v>
      </c>
      <c r="K58" s="25">
        <f t="shared" ref="K58:P58" si="33">K167</f>
        <v>209474.5537</v>
      </c>
      <c r="L58" s="25">
        <f t="shared" si="33"/>
        <v>244744.2712</v>
      </c>
      <c r="M58" s="25">
        <f t="shared" si="33"/>
        <v>286056.1209</v>
      </c>
      <c r="N58" s="25">
        <f t="shared" si="33"/>
        <v>334457.2926</v>
      </c>
      <c r="O58" s="25">
        <f t="shared" si="33"/>
        <v>391177.8571</v>
      </c>
      <c r="P58" s="25">
        <f t="shared" si="33"/>
        <v>457662.8618</v>
      </c>
    </row>
    <row r="59" ht="15.75" customHeight="1">
      <c r="A59" s="29" t="s">
        <v>45</v>
      </c>
      <c r="B59" s="22">
        <v>0.0</v>
      </c>
      <c r="C59" s="22">
        <v>0.0</v>
      </c>
      <c r="D59" s="22">
        <v>0.0</v>
      </c>
      <c r="E59" s="22">
        <v>0.0</v>
      </c>
      <c r="F59" s="22">
        <v>0.0</v>
      </c>
      <c r="G59" s="22">
        <v>0.0</v>
      </c>
      <c r="H59" s="22">
        <v>0.0</v>
      </c>
      <c r="I59" s="22">
        <v>134808.0</v>
      </c>
      <c r="J59" s="22">
        <v>167814.0</v>
      </c>
      <c r="K59" s="145"/>
      <c r="L59" s="145"/>
      <c r="M59" s="145"/>
      <c r="N59" s="145"/>
      <c r="O59" s="145"/>
      <c r="P59" s="145"/>
    </row>
    <row r="60" ht="15.75" customHeight="1">
      <c r="A60" s="1" t="s">
        <v>46</v>
      </c>
      <c r="B60" s="22">
        <v>11650.0</v>
      </c>
      <c r="C60" s="22">
        <v>18278.0</v>
      </c>
      <c r="D60" s="22">
        <v>20896.0</v>
      </c>
      <c r="E60" s="22">
        <v>16329.0</v>
      </c>
      <c r="F60" s="22">
        <v>14091.0</v>
      </c>
      <c r="G60" s="22">
        <v>26801.0</v>
      </c>
      <c r="H60" s="22">
        <v>28686.0</v>
      </c>
      <c r="I60" s="22">
        <v>33372.0</v>
      </c>
      <c r="J60" s="22">
        <v>41739.0</v>
      </c>
      <c r="K60" s="25">
        <f t="shared" ref="K60:P60" si="34">K168</f>
        <v>52368.63842</v>
      </c>
      <c r="L60" s="25">
        <f t="shared" si="34"/>
        <v>61186.06781</v>
      </c>
      <c r="M60" s="25">
        <f t="shared" si="34"/>
        <v>71514.03023</v>
      </c>
      <c r="N60" s="25">
        <f t="shared" si="34"/>
        <v>83614.32315</v>
      </c>
      <c r="O60" s="25">
        <f t="shared" si="34"/>
        <v>97794.46428</v>
      </c>
      <c r="P60" s="25">
        <f t="shared" si="34"/>
        <v>114415.7154</v>
      </c>
    </row>
    <row r="61" ht="15.75" customHeight="1">
      <c r="A61" s="1" t="s">
        <v>47</v>
      </c>
      <c r="B61" s="22">
        <v>3994.0</v>
      </c>
      <c r="C61" s="22">
        <v>4496.0</v>
      </c>
      <c r="D61" s="22">
        <v>5609.0</v>
      </c>
      <c r="E61" s="22">
        <v>6254.0</v>
      </c>
      <c r="F61" s="22">
        <v>6807.0</v>
      </c>
      <c r="G61" s="22">
        <v>7428.0</v>
      </c>
      <c r="H61" s="22">
        <v>8613.0</v>
      </c>
      <c r="I61" s="22">
        <v>10830.0</v>
      </c>
      <c r="J61" s="22">
        <v>13119.0</v>
      </c>
      <c r="K61" s="25">
        <f t="shared" ref="K61:P61" si="35">K169</f>
        <v>17456.21281</v>
      </c>
      <c r="L61" s="25">
        <f t="shared" si="35"/>
        <v>20395.35594</v>
      </c>
      <c r="M61" s="25">
        <f t="shared" si="35"/>
        <v>23838.01008</v>
      </c>
      <c r="N61" s="25">
        <f t="shared" si="35"/>
        <v>27871.44105</v>
      </c>
      <c r="O61" s="25">
        <f t="shared" si="35"/>
        <v>32598.15476</v>
      </c>
      <c r="P61" s="25">
        <f t="shared" si="35"/>
        <v>38138.57181</v>
      </c>
    </row>
    <row r="62" ht="15.75" customHeight="1">
      <c r="A62" s="1" t="s">
        <v>48</v>
      </c>
      <c r="B62" s="22">
        <v>11978.0</v>
      </c>
      <c r="C62" s="22">
        <v>13028.0</v>
      </c>
      <c r="D62" s="22">
        <v>13338.0</v>
      </c>
      <c r="E62" s="22">
        <v>14420.0</v>
      </c>
      <c r="F62" s="22">
        <v>9040.0</v>
      </c>
      <c r="G62" s="22">
        <v>12720.0</v>
      </c>
      <c r="H62" s="22">
        <v>20272.0</v>
      </c>
      <c r="I62" s="22">
        <v>22900.0</v>
      </c>
      <c r="J62" s="22">
        <v>22237.0</v>
      </c>
      <c r="K62" s="25">
        <f t="shared" ref="K62:P62" si="36">K170</f>
        <v>34912.42561</v>
      </c>
      <c r="L62" s="25">
        <f t="shared" si="36"/>
        <v>40790.71187</v>
      </c>
      <c r="M62" s="25">
        <f t="shared" si="36"/>
        <v>47676.02015</v>
      </c>
      <c r="N62" s="25">
        <f t="shared" si="36"/>
        <v>55742.8821</v>
      </c>
      <c r="O62" s="25">
        <f t="shared" si="36"/>
        <v>65196.30952</v>
      </c>
      <c r="P62" s="25">
        <f t="shared" si="36"/>
        <v>76277.14363</v>
      </c>
    </row>
    <row r="63" ht="15.75" customHeight="1">
      <c r="A63" s="8" t="s">
        <v>49</v>
      </c>
      <c r="B63" s="146">
        <f t="shared" ref="B63:P63" si="37">sum(B41,B49,B55)</f>
        <v>427255</v>
      </c>
      <c r="C63" s="146">
        <f t="shared" si="37"/>
        <v>519605</v>
      </c>
      <c r="D63" s="146">
        <f t="shared" si="37"/>
        <v>602484</v>
      </c>
      <c r="E63" s="146">
        <f t="shared" si="37"/>
        <v>639687</v>
      </c>
      <c r="F63" s="146">
        <f t="shared" si="37"/>
        <v>636277</v>
      </c>
      <c r="G63" s="146">
        <f t="shared" si="37"/>
        <v>713761</v>
      </c>
      <c r="H63" s="146">
        <f t="shared" si="37"/>
        <v>746555</v>
      </c>
      <c r="I63" s="146">
        <f t="shared" si="37"/>
        <v>1003854</v>
      </c>
      <c r="J63" s="146">
        <f t="shared" si="37"/>
        <v>1153508</v>
      </c>
      <c r="K63" s="146">
        <f t="shared" si="37"/>
        <v>1398093.676</v>
      </c>
      <c r="L63" s="146">
        <f t="shared" si="37"/>
        <v>1652962.427</v>
      </c>
      <c r="M63" s="146">
        <f t="shared" si="37"/>
        <v>1951156.541</v>
      </c>
      <c r="N63" s="146">
        <f t="shared" si="37"/>
        <v>2300992.198</v>
      </c>
      <c r="O63" s="146">
        <f t="shared" si="37"/>
        <v>2712230.408</v>
      </c>
      <c r="P63" s="146">
        <f t="shared" si="37"/>
        <v>3196329.724</v>
      </c>
    </row>
    <row r="64" ht="15.75" customHeight="1">
      <c r="A64" s="7"/>
    </row>
    <row r="65" ht="15.75" customHeight="1">
      <c r="A65" s="7"/>
    </row>
    <row r="66" ht="15.75" customHeight="1">
      <c r="A66" s="4" t="s">
        <v>50</v>
      </c>
    </row>
    <row r="67" ht="15.75" customHeight="1">
      <c r="A67" s="7"/>
      <c r="K67" s="15" t="s">
        <v>186</v>
      </c>
    </row>
    <row r="68" ht="15.75" customHeight="1">
      <c r="A68" s="18" t="s">
        <v>51</v>
      </c>
      <c r="B68" s="52">
        <f t="shared" ref="B68:P68" si="38">sum(B69:B79)</f>
        <v>347744</v>
      </c>
      <c r="C68" s="52">
        <f t="shared" si="38"/>
        <v>431625</v>
      </c>
      <c r="D68" s="52">
        <f t="shared" si="38"/>
        <v>523184</v>
      </c>
      <c r="E68" s="52">
        <f t="shared" si="38"/>
        <v>515960</v>
      </c>
      <c r="F68" s="52">
        <f t="shared" si="38"/>
        <v>551871</v>
      </c>
      <c r="G68" s="52">
        <f t="shared" si="38"/>
        <v>532791</v>
      </c>
      <c r="H68" s="52">
        <f t="shared" si="38"/>
        <v>578621</v>
      </c>
      <c r="I68" s="52">
        <f t="shared" si="38"/>
        <v>847162</v>
      </c>
      <c r="J68" s="52">
        <f t="shared" si="38"/>
        <v>927170</v>
      </c>
      <c r="K68" s="52">
        <f t="shared" si="38"/>
        <v>966528</v>
      </c>
      <c r="L68" s="52">
        <f t="shared" si="38"/>
        <v>1007328</v>
      </c>
      <c r="M68" s="52">
        <f t="shared" si="38"/>
        <v>1048128</v>
      </c>
      <c r="N68" s="52">
        <f t="shared" si="38"/>
        <v>1088928</v>
      </c>
      <c r="O68" s="52">
        <f t="shared" si="38"/>
        <v>1129728</v>
      </c>
      <c r="P68" s="52">
        <f t="shared" si="38"/>
        <v>1170528</v>
      </c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ht="15.75" customHeight="1">
      <c r="A69" s="16" t="s">
        <v>52</v>
      </c>
      <c r="B69" s="22">
        <v>121827.0</v>
      </c>
      <c r="C69" s="22">
        <v>129377.0</v>
      </c>
      <c r="D69" s="22">
        <v>130771.0</v>
      </c>
      <c r="E69" s="22">
        <v>149862.0</v>
      </c>
      <c r="F69" s="22">
        <v>147905.0</v>
      </c>
      <c r="G69" s="22">
        <v>141785.0</v>
      </c>
      <c r="H69" s="22">
        <v>128261.0</v>
      </c>
      <c r="I69" s="22">
        <v>268028.0</v>
      </c>
      <c r="J69" s="22">
        <v>267982.0</v>
      </c>
      <c r="K69" s="19">
        <f t="shared" ref="K69:P69" si="39">sum(J69:J73,K205)-K207</f>
        <v>395354</v>
      </c>
      <c r="L69" s="19">
        <f t="shared" si="39"/>
        <v>436154</v>
      </c>
      <c r="M69" s="19">
        <f t="shared" si="39"/>
        <v>476954</v>
      </c>
      <c r="N69" s="19">
        <f t="shared" si="39"/>
        <v>517754</v>
      </c>
      <c r="O69" s="19">
        <f t="shared" si="39"/>
        <v>558554</v>
      </c>
      <c r="P69" s="19">
        <f t="shared" si="39"/>
        <v>599354</v>
      </c>
    </row>
    <row r="70" ht="15.75" customHeight="1">
      <c r="A70" s="16" t="s">
        <v>53</v>
      </c>
      <c r="B70" s="22">
        <v>3469.0</v>
      </c>
      <c r="C70" s="22">
        <v>3730.0</v>
      </c>
      <c r="D70" s="22">
        <v>3117.0</v>
      </c>
      <c r="E70" s="22">
        <v>4511.0</v>
      </c>
      <c r="F70" s="22">
        <v>4067.0</v>
      </c>
      <c r="G70" s="22">
        <v>2242.0</v>
      </c>
      <c r="H70" s="22">
        <v>3499.0</v>
      </c>
      <c r="I70" s="22">
        <v>5479.0</v>
      </c>
      <c r="J70" s="22">
        <v>4537.0</v>
      </c>
      <c r="K70" s="147"/>
      <c r="L70" s="147"/>
      <c r="M70" s="147"/>
      <c r="N70" s="147"/>
      <c r="O70" s="147"/>
      <c r="P70" s="147"/>
    </row>
    <row r="71" ht="15.75" customHeight="1">
      <c r="A71" s="16" t="s">
        <v>54</v>
      </c>
      <c r="B71" s="22">
        <v>10069.0</v>
      </c>
      <c r="C71" s="22">
        <v>12523.0</v>
      </c>
      <c r="D71" s="22">
        <v>21321.0</v>
      </c>
      <c r="E71" s="22">
        <v>16069.0</v>
      </c>
      <c r="F71" s="22">
        <v>13443.0</v>
      </c>
      <c r="G71" s="22">
        <v>11993.0</v>
      </c>
      <c r="H71" s="22">
        <v>26462.0</v>
      </c>
      <c r="I71" s="22">
        <v>40541.0</v>
      </c>
      <c r="J71" s="22">
        <v>75043.0</v>
      </c>
      <c r="K71" s="147"/>
      <c r="L71" s="147"/>
      <c r="M71" s="147"/>
      <c r="N71" s="147"/>
      <c r="O71" s="147"/>
      <c r="P71" s="147"/>
    </row>
    <row r="72" ht="15.75" customHeight="1">
      <c r="A72" s="16" t="s">
        <v>55</v>
      </c>
      <c r="B72" s="22">
        <v>0.0</v>
      </c>
      <c r="C72" s="22">
        <v>0.0</v>
      </c>
      <c r="D72" s="22">
        <v>0.0</v>
      </c>
      <c r="E72" s="22">
        <v>0.0</v>
      </c>
      <c r="F72" s="22">
        <v>0.0</v>
      </c>
      <c r="G72" s="22">
        <v>2975.0</v>
      </c>
      <c r="H72" s="22">
        <v>2903.0</v>
      </c>
      <c r="I72" s="15">
        <v>889.0</v>
      </c>
      <c r="J72" s="22">
        <v>2305.0</v>
      </c>
      <c r="K72" s="147"/>
      <c r="L72" s="147"/>
      <c r="M72" s="147"/>
      <c r="N72" s="147"/>
      <c r="O72" s="147"/>
      <c r="P72" s="147"/>
    </row>
    <row r="73" ht="15.75" customHeight="1">
      <c r="A73" s="29" t="s">
        <v>102</v>
      </c>
      <c r="B73" s="22">
        <v>0.0</v>
      </c>
      <c r="C73" s="22">
        <v>0.0</v>
      </c>
      <c r="D73" s="22">
        <v>0.0</v>
      </c>
      <c r="E73" s="22">
        <v>0.0</v>
      </c>
      <c r="F73" s="22">
        <v>6181.0</v>
      </c>
      <c r="G73" s="22">
        <v>5860.0</v>
      </c>
      <c r="H73" s="22">
        <v>5712.0</v>
      </c>
      <c r="I73" s="22">
        <v>5907.0</v>
      </c>
      <c r="J73" s="22">
        <v>6129.0</v>
      </c>
      <c r="K73" s="147"/>
      <c r="L73" s="147"/>
      <c r="M73" s="147"/>
      <c r="N73" s="147"/>
      <c r="O73" s="147"/>
      <c r="P73" s="147"/>
    </row>
    <row r="74" ht="15.75" customHeight="1">
      <c r="A74" s="1" t="s">
        <v>56</v>
      </c>
      <c r="B74" s="22">
        <v>195345.0</v>
      </c>
      <c r="C74" s="22">
        <v>269718.0</v>
      </c>
      <c r="D74" s="22">
        <v>349058.0</v>
      </c>
      <c r="E74" s="22">
        <v>324581.0</v>
      </c>
      <c r="F74" s="22">
        <v>362692.0</v>
      </c>
      <c r="G74" s="22">
        <v>345291.0</v>
      </c>
      <c r="H74" s="22">
        <v>379348.0</v>
      </c>
      <c r="I74" s="22">
        <v>491843.0</v>
      </c>
      <c r="J74" s="22">
        <v>533838.0</v>
      </c>
      <c r="K74" s="148">
        <f t="shared" ref="K74:P74" si="40">J74</f>
        <v>533838</v>
      </c>
      <c r="L74" s="148">
        <f t="shared" si="40"/>
        <v>533838</v>
      </c>
      <c r="M74" s="148">
        <f t="shared" si="40"/>
        <v>533838</v>
      </c>
      <c r="N74" s="148">
        <f t="shared" si="40"/>
        <v>533838</v>
      </c>
      <c r="O74" s="148">
        <f t="shared" si="40"/>
        <v>533838</v>
      </c>
      <c r="P74" s="148">
        <f t="shared" si="40"/>
        <v>533838</v>
      </c>
    </row>
    <row r="75" ht="15.75" customHeight="1">
      <c r="A75" s="1" t="s">
        <v>57</v>
      </c>
      <c r="B75" s="22">
        <v>234.0</v>
      </c>
      <c r="C75" s="22">
        <v>241.0</v>
      </c>
      <c r="D75" s="22">
        <v>328.0</v>
      </c>
      <c r="E75" s="22">
        <v>344.0</v>
      </c>
      <c r="F75" s="22">
        <v>365.0</v>
      </c>
      <c r="G75" s="22">
        <v>369.0</v>
      </c>
      <c r="H75" s="22">
        <v>375.0</v>
      </c>
      <c r="I75" s="22">
        <v>2398.0</v>
      </c>
      <c r="J75" s="22">
        <v>2981.0</v>
      </c>
      <c r="K75" s="148">
        <f t="shared" ref="K75:P75" si="41">J75</f>
        <v>2981</v>
      </c>
      <c r="L75" s="148">
        <f t="shared" si="41"/>
        <v>2981</v>
      </c>
      <c r="M75" s="148">
        <f t="shared" si="41"/>
        <v>2981</v>
      </c>
      <c r="N75" s="148">
        <f t="shared" si="41"/>
        <v>2981</v>
      </c>
      <c r="O75" s="148">
        <f t="shared" si="41"/>
        <v>2981</v>
      </c>
      <c r="P75" s="148">
        <f t="shared" si="41"/>
        <v>2981</v>
      </c>
    </row>
    <row r="76" ht="15.75" customHeight="1">
      <c r="A76" s="1" t="s">
        <v>58</v>
      </c>
      <c r="B76" s="22">
        <v>4.0</v>
      </c>
      <c r="C76" s="22">
        <v>3.0</v>
      </c>
      <c r="D76" s="22">
        <v>2.0</v>
      </c>
      <c r="E76" s="22">
        <v>2.0</v>
      </c>
      <c r="F76" s="22">
        <v>2.0</v>
      </c>
      <c r="G76" s="22">
        <v>2.0</v>
      </c>
      <c r="H76" s="22">
        <v>5446.0</v>
      </c>
      <c r="I76" s="22">
        <v>2.0</v>
      </c>
      <c r="J76" s="22">
        <v>1.0</v>
      </c>
      <c r="K76" s="148">
        <f t="shared" ref="K76:P76" si="42">J76</f>
        <v>1</v>
      </c>
      <c r="L76" s="148">
        <f t="shared" si="42"/>
        <v>1</v>
      </c>
      <c r="M76" s="148">
        <f t="shared" si="42"/>
        <v>1</v>
      </c>
      <c r="N76" s="148">
        <f t="shared" si="42"/>
        <v>1</v>
      </c>
      <c r="O76" s="148">
        <f t="shared" si="42"/>
        <v>1</v>
      </c>
      <c r="P76" s="148">
        <f t="shared" si="42"/>
        <v>1</v>
      </c>
    </row>
    <row r="77" ht="15.75" customHeight="1">
      <c r="A77" s="1" t="s">
        <v>59</v>
      </c>
      <c r="B77" s="22">
        <v>16796.0</v>
      </c>
      <c r="C77" s="22">
        <v>16033.0</v>
      </c>
      <c r="D77" s="22">
        <v>18587.0</v>
      </c>
      <c r="E77" s="22">
        <v>20591.0</v>
      </c>
      <c r="F77" s="22">
        <v>17216.0</v>
      </c>
      <c r="G77" s="22">
        <v>16867.0</v>
      </c>
      <c r="H77" s="22">
        <v>1411.0</v>
      </c>
      <c r="I77" s="22">
        <v>23226.0</v>
      </c>
      <c r="J77" s="22">
        <v>28049.0</v>
      </c>
      <c r="K77" s="148">
        <f t="shared" ref="K77:P77" si="43">J77</f>
        <v>28049</v>
      </c>
      <c r="L77" s="148">
        <f t="shared" si="43"/>
        <v>28049</v>
      </c>
      <c r="M77" s="148">
        <f t="shared" si="43"/>
        <v>28049</v>
      </c>
      <c r="N77" s="148">
        <f t="shared" si="43"/>
        <v>28049</v>
      </c>
      <c r="O77" s="148">
        <f t="shared" si="43"/>
        <v>28049</v>
      </c>
      <c r="P77" s="148">
        <f t="shared" si="43"/>
        <v>28049</v>
      </c>
    </row>
    <row r="78" ht="15.75" customHeight="1">
      <c r="A78" s="29" t="s">
        <v>187</v>
      </c>
      <c r="B78" s="22">
        <v>0.0</v>
      </c>
      <c r="C78" s="22">
        <v>0.0</v>
      </c>
      <c r="D78" s="22">
        <v>0.0</v>
      </c>
      <c r="E78" s="22">
        <v>0.0</v>
      </c>
      <c r="F78" s="22">
        <v>0.0</v>
      </c>
      <c r="G78" s="22">
        <v>0.0</v>
      </c>
      <c r="H78" s="22">
        <v>0.0</v>
      </c>
      <c r="I78" s="22">
        <v>6055.0</v>
      </c>
      <c r="J78" s="22">
        <v>5838.0</v>
      </c>
      <c r="K78" s="148">
        <f t="shared" ref="K78:P78" si="44">J78</f>
        <v>5838</v>
      </c>
      <c r="L78" s="148">
        <f t="shared" si="44"/>
        <v>5838</v>
      </c>
      <c r="M78" s="148">
        <f t="shared" si="44"/>
        <v>5838</v>
      </c>
      <c r="N78" s="148">
        <f t="shared" si="44"/>
        <v>5838</v>
      </c>
      <c r="O78" s="148">
        <f t="shared" si="44"/>
        <v>5838</v>
      </c>
      <c r="P78" s="148">
        <f t="shared" si="44"/>
        <v>5838</v>
      </c>
    </row>
    <row r="79" ht="15.75" customHeight="1">
      <c r="A79" s="29" t="s">
        <v>188</v>
      </c>
      <c r="B79" s="22">
        <v>0.0</v>
      </c>
      <c r="C79" s="22">
        <v>0.0</v>
      </c>
      <c r="D79" s="22">
        <v>0.0</v>
      </c>
      <c r="E79" s="22">
        <v>0.0</v>
      </c>
      <c r="F79" s="22">
        <v>0.0</v>
      </c>
      <c r="G79" s="22">
        <v>5407.0</v>
      </c>
      <c r="H79" s="22">
        <v>25204.0</v>
      </c>
      <c r="I79" s="22">
        <v>2794.0</v>
      </c>
      <c r="J79" s="22">
        <v>467.0</v>
      </c>
      <c r="K79" s="148">
        <f t="shared" ref="K79:P79" si="45">J79</f>
        <v>467</v>
      </c>
      <c r="L79" s="148">
        <f t="shared" si="45"/>
        <v>467</v>
      </c>
      <c r="M79" s="148">
        <f t="shared" si="45"/>
        <v>467</v>
      </c>
      <c r="N79" s="148">
        <f t="shared" si="45"/>
        <v>467</v>
      </c>
      <c r="O79" s="148">
        <f t="shared" si="45"/>
        <v>467</v>
      </c>
      <c r="P79" s="148">
        <f t="shared" si="45"/>
        <v>467</v>
      </c>
    </row>
    <row r="80" ht="15.75" customHeight="1">
      <c r="A80" s="1"/>
    </row>
    <row r="81" ht="15.75" customHeight="1">
      <c r="A81" s="18" t="s">
        <v>60</v>
      </c>
      <c r="B81" s="27">
        <f t="shared" ref="B81:P81" si="46">sum(B83:B91)</f>
        <v>79511</v>
      </c>
      <c r="C81" s="27">
        <f t="shared" si="46"/>
        <v>87980</v>
      </c>
      <c r="D81" s="27">
        <f t="shared" si="46"/>
        <v>79300</v>
      </c>
      <c r="E81" s="27">
        <f t="shared" si="46"/>
        <v>123727</v>
      </c>
      <c r="F81" s="27">
        <f t="shared" si="46"/>
        <v>84406</v>
      </c>
      <c r="G81" s="27">
        <f t="shared" si="46"/>
        <v>180970</v>
      </c>
      <c r="H81" s="27">
        <f t="shared" si="46"/>
        <v>167934</v>
      </c>
      <c r="I81" s="27">
        <f t="shared" si="46"/>
        <v>156692</v>
      </c>
      <c r="J81" s="27">
        <f t="shared" si="46"/>
        <v>226338</v>
      </c>
      <c r="K81" s="54">
        <f t="shared" si="46"/>
        <v>431565.676</v>
      </c>
      <c r="L81" s="54">
        <f t="shared" si="46"/>
        <v>645634.4271</v>
      </c>
      <c r="M81" s="54">
        <f t="shared" si="46"/>
        <v>903028.5407</v>
      </c>
      <c r="N81" s="54">
        <f t="shared" si="46"/>
        <v>1212064.198</v>
      </c>
      <c r="O81" s="54">
        <f t="shared" si="46"/>
        <v>1582502.408</v>
      </c>
      <c r="P81" s="54">
        <f t="shared" si="46"/>
        <v>2025801.724</v>
      </c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ht="15.75" customHeight="1">
      <c r="A82" s="1"/>
    </row>
    <row r="83" ht="15.75" customHeight="1">
      <c r="A83" s="16" t="s">
        <v>61</v>
      </c>
      <c r="B83" s="22">
        <v>31326.0</v>
      </c>
      <c r="C83" s="22">
        <v>32637.0</v>
      </c>
      <c r="D83" s="22">
        <v>31602.0</v>
      </c>
      <c r="E83" s="22">
        <v>33226.0</v>
      </c>
      <c r="F83" s="22">
        <v>32139.0</v>
      </c>
      <c r="G83" s="22">
        <v>30490.0</v>
      </c>
      <c r="H83" s="22">
        <v>35323.0</v>
      </c>
      <c r="I83" s="22">
        <v>54435.0</v>
      </c>
      <c r="J83" s="22">
        <v>53181.0</v>
      </c>
      <c r="K83" s="25">
        <f t="shared" ref="K83:P83" si="47">K157</f>
        <v>69824.85122</v>
      </c>
      <c r="L83" s="25">
        <f t="shared" si="47"/>
        <v>81581.42375</v>
      </c>
      <c r="M83" s="25">
        <f t="shared" si="47"/>
        <v>95352.0403</v>
      </c>
      <c r="N83" s="25">
        <f t="shared" si="47"/>
        <v>111485.7642</v>
      </c>
      <c r="O83" s="25">
        <f t="shared" si="47"/>
        <v>130392.619</v>
      </c>
      <c r="P83" s="25">
        <f t="shared" si="47"/>
        <v>152554.2873</v>
      </c>
    </row>
    <row r="84" ht="15.75" customHeight="1">
      <c r="A84" s="16" t="s">
        <v>62</v>
      </c>
      <c r="B84" s="22">
        <v>13234.0</v>
      </c>
      <c r="C84" s="22">
        <v>12026.0</v>
      </c>
      <c r="D84" s="22">
        <v>14654.0</v>
      </c>
      <c r="E84" s="22">
        <v>23128.0</v>
      </c>
      <c r="F84" s="22">
        <v>21298.0</v>
      </c>
      <c r="G84" s="22">
        <v>12799.0</v>
      </c>
      <c r="H84" s="22">
        <v>20345.0</v>
      </c>
      <c r="I84" s="22">
        <v>32848.0</v>
      </c>
      <c r="J84" s="22">
        <v>45968.0</v>
      </c>
      <c r="K84" s="25">
        <f t="shared" ref="K84:P84" si="48">K158</f>
        <v>52368.63842</v>
      </c>
      <c r="L84" s="25">
        <f t="shared" si="48"/>
        <v>61186.06781</v>
      </c>
      <c r="M84" s="25">
        <f t="shared" si="48"/>
        <v>71514.03023</v>
      </c>
      <c r="N84" s="25">
        <f t="shared" si="48"/>
        <v>83614.32315</v>
      </c>
      <c r="O84" s="25">
        <f t="shared" si="48"/>
        <v>97794.46428</v>
      </c>
      <c r="P84" s="25">
        <f t="shared" si="48"/>
        <v>114415.7154</v>
      </c>
    </row>
    <row r="85" ht="15.75" customHeight="1">
      <c r="A85" s="16" t="s">
        <v>63</v>
      </c>
      <c r="B85" s="22">
        <v>507.0</v>
      </c>
      <c r="C85" s="22">
        <v>235.0</v>
      </c>
      <c r="D85" s="22">
        <v>740.0</v>
      </c>
      <c r="E85" s="22">
        <v>1878.0</v>
      </c>
      <c r="F85" s="22">
        <v>290.0</v>
      </c>
      <c r="G85" s="22">
        <v>30471.0</v>
      </c>
      <c r="H85" s="22">
        <v>30422.0</v>
      </c>
      <c r="I85" s="22">
        <v>27485.0</v>
      </c>
      <c r="J85" s="22">
        <v>28274.0</v>
      </c>
      <c r="K85" s="149">
        <f t="shared" ref="K85:P85" si="49">K219</f>
        <v>221688.7359</v>
      </c>
      <c r="L85" s="149">
        <f t="shared" si="49"/>
        <v>400420.0187</v>
      </c>
      <c r="M85" s="149">
        <f t="shared" si="49"/>
        <v>616422.9254</v>
      </c>
      <c r="N85" s="149">
        <f t="shared" si="49"/>
        <v>876964.436</v>
      </c>
      <c r="O85" s="149">
        <f t="shared" si="49"/>
        <v>1190573.125</v>
      </c>
      <c r="P85" s="149">
        <f t="shared" si="49"/>
        <v>1567259.723</v>
      </c>
    </row>
    <row r="86" ht="15.75" customHeight="1">
      <c r="A86" s="16" t="s">
        <v>64</v>
      </c>
      <c r="B86" s="22">
        <v>31.0</v>
      </c>
      <c r="C86" s="22">
        <v>25.0</v>
      </c>
      <c r="D86" s="22">
        <v>30.0</v>
      </c>
      <c r="E86" s="22">
        <v>161.0</v>
      </c>
      <c r="F86" s="22">
        <v>170.0</v>
      </c>
      <c r="G86" s="22">
        <v>230.0</v>
      </c>
      <c r="H86" s="22">
        <v>305.0</v>
      </c>
      <c r="I86" s="22">
        <v>297.0</v>
      </c>
      <c r="J86" s="22">
        <v>327.0</v>
      </c>
      <c r="K86" s="25">
        <f t="shared" ref="K86:P86" si="50">K159</f>
        <v>402.3864385</v>
      </c>
      <c r="L86" s="25">
        <f t="shared" si="50"/>
        <v>470.1371786</v>
      </c>
      <c r="M86" s="25">
        <f t="shared" si="50"/>
        <v>549.4944455</v>
      </c>
      <c r="N86" s="25">
        <f t="shared" si="50"/>
        <v>642.4698201</v>
      </c>
      <c r="O86" s="25">
        <f t="shared" si="50"/>
        <v>751.4261852</v>
      </c>
      <c r="P86" s="25">
        <f t="shared" si="50"/>
        <v>879.1393789</v>
      </c>
    </row>
    <row r="87" ht="15.75" customHeight="1">
      <c r="A87" s="16" t="s">
        <v>65</v>
      </c>
      <c r="B87" s="22">
        <v>16611.0</v>
      </c>
      <c r="C87" s="22">
        <v>15408.0</v>
      </c>
      <c r="D87" s="22">
        <v>13140.0</v>
      </c>
      <c r="E87" s="22">
        <v>5638.0</v>
      </c>
      <c r="F87" s="22">
        <v>7974.0</v>
      </c>
      <c r="G87" s="22">
        <v>9581.0</v>
      </c>
      <c r="H87" s="22">
        <v>14608.0</v>
      </c>
      <c r="I87" s="22">
        <v>15602.0</v>
      </c>
      <c r="J87" s="22">
        <v>25077.0</v>
      </c>
      <c r="K87" s="25">
        <f t="shared" ref="K87:P87" si="51">K160</f>
        <v>34912.42561</v>
      </c>
      <c r="L87" s="25">
        <f t="shared" si="51"/>
        <v>40790.71187</v>
      </c>
      <c r="M87" s="25">
        <f t="shared" si="51"/>
        <v>47676.02015</v>
      </c>
      <c r="N87" s="25">
        <f t="shared" si="51"/>
        <v>55742.8821</v>
      </c>
      <c r="O87" s="25">
        <f t="shared" si="51"/>
        <v>65196.30952</v>
      </c>
      <c r="P87" s="25">
        <f t="shared" si="51"/>
        <v>76277.14363</v>
      </c>
    </row>
    <row r="88" ht="15.75" customHeight="1">
      <c r="A88" s="16" t="s">
        <v>66</v>
      </c>
      <c r="B88" s="22">
        <v>4906.0</v>
      </c>
      <c r="C88" s="22">
        <v>4910.0</v>
      </c>
      <c r="D88" s="22">
        <v>4115.0</v>
      </c>
      <c r="E88" s="22">
        <v>4277.0</v>
      </c>
      <c r="F88" s="22">
        <v>5272.0</v>
      </c>
      <c r="G88" s="22">
        <v>0.0</v>
      </c>
      <c r="H88" s="22">
        <v>0.0</v>
      </c>
      <c r="I88" s="22">
        <v>0.0</v>
      </c>
      <c r="J88" s="22">
        <v>0.0</v>
      </c>
      <c r="K88" s="25">
        <f t="shared" ref="K88:P88" si="52">K161</f>
        <v>0</v>
      </c>
      <c r="L88" s="25">
        <f t="shared" si="52"/>
        <v>0</v>
      </c>
      <c r="M88" s="25">
        <f t="shared" si="52"/>
        <v>0</v>
      </c>
      <c r="N88" s="25">
        <f t="shared" si="52"/>
        <v>0</v>
      </c>
      <c r="O88" s="25">
        <f t="shared" si="52"/>
        <v>0</v>
      </c>
      <c r="P88" s="25">
        <f t="shared" si="52"/>
        <v>0</v>
      </c>
    </row>
    <row r="89" ht="15.75" customHeight="1">
      <c r="A89" s="16" t="s">
        <v>67</v>
      </c>
      <c r="B89" s="22">
        <v>11413.0</v>
      </c>
      <c r="C89" s="22">
        <v>21788.0</v>
      </c>
      <c r="D89" s="22">
        <v>12173.0</v>
      </c>
      <c r="E89" s="22">
        <v>50455.0</v>
      </c>
      <c r="F89" s="22">
        <v>12188.0</v>
      </c>
      <c r="G89" s="22">
        <v>84157.0</v>
      </c>
      <c r="H89" s="22">
        <v>41001.0</v>
      </c>
      <c r="I89" s="22">
        <v>0.0</v>
      </c>
      <c r="J89" s="22">
        <v>39122.0</v>
      </c>
      <c r="K89" s="25">
        <f t="shared" ref="K89:P89" si="53">K162</f>
        <v>52368.63842</v>
      </c>
      <c r="L89" s="25">
        <f t="shared" si="53"/>
        <v>61186.06781</v>
      </c>
      <c r="M89" s="25">
        <f t="shared" si="53"/>
        <v>71514.03023</v>
      </c>
      <c r="N89" s="25">
        <f t="shared" si="53"/>
        <v>83614.32315</v>
      </c>
      <c r="O89" s="25">
        <f t="shared" si="53"/>
        <v>97794.46428</v>
      </c>
      <c r="P89" s="25">
        <f t="shared" si="53"/>
        <v>114415.7154</v>
      </c>
    </row>
    <row r="90" ht="15.75" customHeight="1">
      <c r="A90" s="1" t="s">
        <v>57</v>
      </c>
      <c r="B90" s="22">
        <v>1483.0</v>
      </c>
      <c r="C90" s="22">
        <v>951.0</v>
      </c>
      <c r="D90" s="22">
        <v>2846.0</v>
      </c>
      <c r="E90" s="22">
        <v>4964.0</v>
      </c>
      <c r="F90" s="22">
        <v>5075.0</v>
      </c>
      <c r="G90" s="22">
        <v>13242.0</v>
      </c>
      <c r="H90" s="22">
        <v>25930.0</v>
      </c>
      <c r="I90" s="22">
        <v>26025.0</v>
      </c>
      <c r="J90" s="22">
        <v>34186.0</v>
      </c>
      <c r="K90" s="145"/>
      <c r="L90" s="145"/>
      <c r="M90" s="145"/>
      <c r="N90" s="145"/>
      <c r="O90" s="145"/>
      <c r="P90" s="145"/>
    </row>
    <row r="91" ht="15.75" customHeight="1">
      <c r="A91" s="29" t="s">
        <v>189</v>
      </c>
      <c r="B91" s="22">
        <v>0.0</v>
      </c>
      <c r="C91" s="22">
        <v>0.0</v>
      </c>
      <c r="D91" s="22">
        <v>0.0</v>
      </c>
      <c r="E91" s="22">
        <v>0.0</v>
      </c>
      <c r="F91" s="22">
        <v>0.0</v>
      </c>
      <c r="G91" s="22">
        <v>0.0</v>
      </c>
      <c r="H91" s="22">
        <v>0.0</v>
      </c>
      <c r="I91" s="22">
        <v>0.0</v>
      </c>
      <c r="J91" s="22">
        <v>203.0</v>
      </c>
      <c r="K91" s="145"/>
      <c r="L91" s="145"/>
      <c r="M91" s="145"/>
      <c r="N91" s="145"/>
      <c r="O91" s="145"/>
      <c r="P91" s="145"/>
    </row>
    <row r="92" ht="15.75" customHeight="1">
      <c r="A92" s="8" t="s">
        <v>49</v>
      </c>
      <c r="B92" s="146">
        <f t="shared" ref="B92:P92" si="54">sum(B68,B81)</f>
        <v>427255</v>
      </c>
      <c r="C92" s="146">
        <f t="shared" si="54"/>
        <v>519605</v>
      </c>
      <c r="D92" s="146">
        <f t="shared" si="54"/>
        <v>602484</v>
      </c>
      <c r="E92" s="146">
        <f t="shared" si="54"/>
        <v>639687</v>
      </c>
      <c r="F92" s="146">
        <f t="shared" si="54"/>
        <v>636277</v>
      </c>
      <c r="G92" s="146">
        <f t="shared" si="54"/>
        <v>713761</v>
      </c>
      <c r="H92" s="146">
        <f t="shared" si="54"/>
        <v>746555</v>
      </c>
      <c r="I92" s="146">
        <f t="shared" si="54"/>
        <v>1003854</v>
      </c>
      <c r="J92" s="146">
        <f t="shared" si="54"/>
        <v>1153508</v>
      </c>
      <c r="K92" s="146">
        <f t="shared" si="54"/>
        <v>1398093.676</v>
      </c>
      <c r="L92" s="146">
        <f t="shared" si="54"/>
        <v>1652962.427</v>
      </c>
      <c r="M92" s="146">
        <f t="shared" si="54"/>
        <v>1951156.541</v>
      </c>
      <c r="N92" s="146">
        <f t="shared" si="54"/>
        <v>2300992.198</v>
      </c>
      <c r="O92" s="146">
        <f t="shared" si="54"/>
        <v>2712230.408</v>
      </c>
      <c r="P92" s="146">
        <f t="shared" si="54"/>
        <v>3196329.724</v>
      </c>
    </row>
    <row r="93" ht="15.75" customHeight="1">
      <c r="A93" s="32" t="s">
        <v>106</v>
      </c>
      <c r="B93" s="19">
        <f t="shared" ref="B93:P93" si="55">B92-B63</f>
        <v>0</v>
      </c>
      <c r="C93" s="19">
        <f t="shared" si="55"/>
        <v>0</v>
      </c>
      <c r="D93" s="19">
        <f t="shared" si="55"/>
        <v>0</v>
      </c>
      <c r="E93" s="19">
        <f t="shared" si="55"/>
        <v>0</v>
      </c>
      <c r="F93" s="19">
        <f t="shared" si="55"/>
        <v>0</v>
      </c>
      <c r="G93" s="19">
        <f t="shared" si="55"/>
        <v>0</v>
      </c>
      <c r="H93" s="19">
        <f t="shared" si="55"/>
        <v>0</v>
      </c>
      <c r="I93" s="19">
        <f t="shared" si="55"/>
        <v>0</v>
      </c>
      <c r="J93" s="19">
        <f t="shared" si="55"/>
        <v>0</v>
      </c>
      <c r="K93" s="19">
        <f t="shared" si="55"/>
        <v>0</v>
      </c>
      <c r="L93" s="19">
        <f t="shared" si="55"/>
        <v>0</v>
      </c>
      <c r="M93" s="19">
        <f t="shared" si="55"/>
        <v>-0.0000000002328306437</v>
      </c>
      <c r="N93" s="19">
        <f t="shared" si="55"/>
        <v>0</v>
      </c>
      <c r="O93" s="19">
        <f t="shared" si="55"/>
        <v>-0.0000000004656612873</v>
      </c>
      <c r="P93" s="19">
        <f t="shared" si="55"/>
        <v>0</v>
      </c>
    </row>
    <row r="94" ht="15.75" customHeight="1">
      <c r="A94" s="1"/>
    </row>
    <row r="95" ht="15.75" customHeight="1">
      <c r="A95" s="5" t="s">
        <v>68</v>
      </c>
      <c r="B95" s="15">
        <v>1500000.0</v>
      </c>
      <c r="C95" s="15">
        <v>1550000.0</v>
      </c>
      <c r="D95" s="15">
        <v>1560000.0</v>
      </c>
      <c r="E95" s="15">
        <v>1580000.0</v>
      </c>
      <c r="F95" s="22">
        <v>2000000.0</v>
      </c>
      <c r="G95" s="22">
        <v>2250000.0</v>
      </c>
      <c r="H95" s="22">
        <v>2250000.0</v>
      </c>
      <c r="I95" s="22">
        <v>2250000.0</v>
      </c>
      <c r="J95" s="22">
        <v>2250000.0</v>
      </c>
      <c r="K95" s="22">
        <f>2250000+K96</f>
        <v>2550000</v>
      </c>
      <c r="L95" s="19">
        <f t="shared" ref="L95:P95" si="56">K95+L96</f>
        <v>2850000</v>
      </c>
      <c r="M95" s="19">
        <f t="shared" si="56"/>
        <v>3150000</v>
      </c>
      <c r="N95" s="19">
        <f t="shared" si="56"/>
        <v>3450000</v>
      </c>
      <c r="O95" s="19">
        <f t="shared" si="56"/>
        <v>3750000</v>
      </c>
      <c r="P95" s="19">
        <f t="shared" si="56"/>
        <v>4050000</v>
      </c>
    </row>
    <row r="96" ht="15.75" customHeight="1">
      <c r="A96" s="5" t="s">
        <v>69</v>
      </c>
      <c r="C96" s="44">
        <f t="shared" ref="C96:J96" si="57">C95-B95</f>
        <v>50000</v>
      </c>
      <c r="D96" s="44">
        <f t="shared" si="57"/>
        <v>10000</v>
      </c>
      <c r="E96" s="44">
        <f t="shared" si="57"/>
        <v>20000</v>
      </c>
      <c r="F96" s="19">
        <f t="shared" si="57"/>
        <v>420000</v>
      </c>
      <c r="G96" s="19">
        <f t="shared" si="57"/>
        <v>250000</v>
      </c>
      <c r="H96" s="19">
        <f t="shared" si="57"/>
        <v>0</v>
      </c>
      <c r="I96" s="19">
        <f t="shared" si="57"/>
        <v>0</v>
      </c>
      <c r="J96" s="19">
        <f t="shared" si="57"/>
        <v>0</v>
      </c>
      <c r="K96" s="132">
        <v>300000.0</v>
      </c>
      <c r="L96" s="150">
        <v>300000.0</v>
      </c>
      <c r="M96" s="150">
        <v>300000.0</v>
      </c>
      <c r="N96" s="150">
        <v>300000.0</v>
      </c>
      <c r="O96" s="150">
        <v>300000.0</v>
      </c>
      <c r="P96" s="150">
        <v>300000.0</v>
      </c>
    </row>
    <row r="97" ht="15.75" customHeight="1">
      <c r="A97" s="5"/>
    </row>
    <row r="98" ht="15.75" customHeight="1">
      <c r="A98" s="5" t="s">
        <v>70</v>
      </c>
      <c r="B98" s="22">
        <v>1305351.0</v>
      </c>
      <c r="C98" s="22">
        <v>1444541.0</v>
      </c>
      <c r="D98" s="22">
        <v>1653500.0</v>
      </c>
      <c r="E98" s="22">
        <v>1753700.0</v>
      </c>
      <c r="F98" s="22">
        <v>1461126.0</v>
      </c>
      <c r="G98" s="22">
        <v>1361722.0</v>
      </c>
      <c r="H98" s="22">
        <v>1414277.0</v>
      </c>
      <c r="I98" s="15">
        <v>1706831.0</v>
      </c>
      <c r="J98" s="15">
        <v>1852256.0</v>
      </c>
      <c r="K98" s="151"/>
      <c r="L98" s="151"/>
      <c r="M98" s="151"/>
      <c r="N98" s="151"/>
      <c r="O98" s="151"/>
      <c r="P98" s="151"/>
    </row>
    <row r="99" ht="15.75" customHeight="1">
      <c r="A99" s="5" t="s">
        <v>71</v>
      </c>
      <c r="B99" s="22">
        <v>123897.0</v>
      </c>
      <c r="C99" s="22">
        <v>124062.0</v>
      </c>
      <c r="D99" s="15">
        <v>126074.0</v>
      </c>
      <c r="E99" s="22">
        <v>108749.0</v>
      </c>
      <c r="F99" s="22">
        <v>102171.0</v>
      </c>
      <c r="G99" s="15">
        <v>96139.0</v>
      </c>
      <c r="H99" s="22">
        <v>238376.0</v>
      </c>
      <c r="I99" s="15">
        <v>259333.0</v>
      </c>
      <c r="J99" s="15">
        <v>283067.0</v>
      </c>
      <c r="K99" s="151"/>
      <c r="L99" s="151"/>
      <c r="M99" s="151"/>
      <c r="N99" s="151"/>
      <c r="O99" s="151"/>
      <c r="P99" s="151"/>
    </row>
    <row r="100" ht="15.75" customHeight="1">
      <c r="A100" s="17" t="s">
        <v>49</v>
      </c>
      <c r="B100" s="27">
        <f t="shared" ref="B100:J100" si="58">SUM(B98:B99)</f>
        <v>1429248</v>
      </c>
      <c r="C100" s="27">
        <f t="shared" si="58"/>
        <v>1568603</v>
      </c>
      <c r="D100" s="27">
        <f t="shared" si="58"/>
        <v>1779574</v>
      </c>
      <c r="E100" s="27">
        <f t="shared" si="58"/>
        <v>1862449</v>
      </c>
      <c r="F100" s="27">
        <f t="shared" si="58"/>
        <v>1563297</v>
      </c>
      <c r="G100" s="27">
        <f t="shared" si="58"/>
        <v>1457861</v>
      </c>
      <c r="H100" s="27">
        <f t="shared" si="58"/>
        <v>1652653</v>
      </c>
      <c r="I100" s="34">
        <f t="shared" si="58"/>
        <v>1966164</v>
      </c>
      <c r="J100" s="34">
        <f t="shared" si="58"/>
        <v>2135323</v>
      </c>
      <c r="K100" s="54">
        <f t="shared" ref="K100:P100" si="59">K111*K118</f>
        <v>2388726.764</v>
      </c>
      <c r="L100" s="54">
        <f t="shared" si="59"/>
        <v>2537202.039</v>
      </c>
      <c r="M100" s="54">
        <f t="shared" si="59"/>
        <v>2695883.226</v>
      </c>
      <c r="N100" s="54">
        <f t="shared" si="59"/>
        <v>2865482.868</v>
      </c>
      <c r="O100" s="54">
        <f t="shared" si="59"/>
        <v>3046763.362</v>
      </c>
      <c r="P100" s="54">
        <f t="shared" si="59"/>
        <v>3240540.458</v>
      </c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ht="15.75" customHeight="1">
      <c r="A101" s="5"/>
    </row>
    <row r="102" ht="15.75" customHeight="1">
      <c r="A102" s="5" t="s">
        <v>72</v>
      </c>
      <c r="B102" s="39">
        <f t="shared" ref="B102:P102" si="60">B100/B95</f>
        <v>0.952832</v>
      </c>
      <c r="C102" s="39">
        <f t="shared" si="60"/>
        <v>1.012001935</v>
      </c>
      <c r="D102" s="39">
        <f t="shared" si="60"/>
        <v>1.140752564</v>
      </c>
      <c r="E102" s="39">
        <f t="shared" si="60"/>
        <v>1.17876519</v>
      </c>
      <c r="F102" s="39">
        <f t="shared" si="60"/>
        <v>0.7816485</v>
      </c>
      <c r="G102" s="39">
        <f t="shared" si="60"/>
        <v>0.6479382222</v>
      </c>
      <c r="H102" s="39">
        <f t="shared" si="60"/>
        <v>0.7345124444</v>
      </c>
      <c r="I102" s="39">
        <f t="shared" si="60"/>
        <v>0.8738506667</v>
      </c>
      <c r="J102" s="39">
        <f t="shared" si="60"/>
        <v>0.9490324444</v>
      </c>
      <c r="K102" s="39">
        <f t="shared" si="60"/>
        <v>0.9367555938</v>
      </c>
      <c r="L102" s="39">
        <f t="shared" si="60"/>
        <v>0.8902463294</v>
      </c>
      <c r="M102" s="39">
        <f t="shared" si="60"/>
        <v>0.8558359449</v>
      </c>
      <c r="N102" s="39">
        <f t="shared" si="60"/>
        <v>0.8305747443</v>
      </c>
      <c r="O102" s="39">
        <f t="shared" si="60"/>
        <v>0.8124702299</v>
      </c>
      <c r="P102" s="39">
        <f t="shared" si="60"/>
        <v>0.8001334464</v>
      </c>
    </row>
    <row r="103" ht="15.75" customHeight="1">
      <c r="A103" s="5"/>
    </row>
    <row r="104" ht="15.75" customHeight="1">
      <c r="A104" s="17" t="s">
        <v>73</v>
      </c>
      <c r="C104" s="39">
        <f t="shared" ref="C104:E104" si="61">C98/B98-1</f>
        <v>0.106630324</v>
      </c>
      <c r="D104" s="39">
        <f t="shared" si="61"/>
        <v>0.1446542535</v>
      </c>
      <c r="E104" s="39">
        <f t="shared" si="61"/>
        <v>0.06059872997</v>
      </c>
      <c r="F104" s="39">
        <f>F95/E98-1</f>
        <v>0.1404459144</v>
      </c>
      <c r="G104" s="39">
        <f>G98/F95-1</f>
        <v>-0.319139</v>
      </c>
      <c r="H104" s="39">
        <f t="shared" ref="H104:J104" si="62">H98/G98-1</f>
        <v>0.03859451489</v>
      </c>
      <c r="I104" s="39">
        <f t="shared" si="62"/>
        <v>0.2068576382</v>
      </c>
      <c r="J104" s="39">
        <f t="shared" si="62"/>
        <v>0.08520175694</v>
      </c>
    </row>
    <row r="105" ht="15.75" customHeight="1">
      <c r="A105" s="5" t="s">
        <v>74</v>
      </c>
      <c r="C105" s="39">
        <f t="shared" ref="C105:J105" si="63">C99/B99-1</f>
        <v>0.001331751374</v>
      </c>
      <c r="D105" s="39">
        <f t="shared" si="63"/>
        <v>0.0162176976</v>
      </c>
      <c r="E105" s="39">
        <f t="shared" si="63"/>
        <v>-0.1374192934</v>
      </c>
      <c r="F105" s="39">
        <f t="shared" si="63"/>
        <v>-0.06048791253</v>
      </c>
      <c r="G105" s="39">
        <f t="shared" si="63"/>
        <v>-0.05903827896</v>
      </c>
      <c r="H105" s="39">
        <f t="shared" si="63"/>
        <v>1.479493234</v>
      </c>
      <c r="I105" s="39">
        <f t="shared" si="63"/>
        <v>0.08791572977</v>
      </c>
      <c r="J105" s="39">
        <f t="shared" si="63"/>
        <v>0.09151939784</v>
      </c>
    </row>
    <row r="106" ht="15.75" customHeight="1">
      <c r="A106" s="5" t="s">
        <v>75</v>
      </c>
      <c r="C106" s="39">
        <f t="shared" ref="C106:J106" si="64">C100/B100-1</f>
        <v>0.0975023229</v>
      </c>
      <c r="D106" s="39">
        <f t="shared" si="64"/>
        <v>0.134496109</v>
      </c>
      <c r="E106" s="39">
        <f t="shared" si="64"/>
        <v>0.0465701342</v>
      </c>
      <c r="F106" s="39">
        <f t="shared" si="64"/>
        <v>-0.1606229218</v>
      </c>
      <c r="G106" s="39">
        <f t="shared" si="64"/>
        <v>-0.06744463784</v>
      </c>
      <c r="H106" s="39">
        <f t="shared" si="64"/>
        <v>0.1336149331</v>
      </c>
      <c r="I106" s="39">
        <f t="shared" si="64"/>
        <v>0.1897016494</v>
      </c>
      <c r="J106" s="39">
        <f t="shared" si="64"/>
        <v>0.08603504082</v>
      </c>
    </row>
    <row r="107" ht="15.75" customHeight="1">
      <c r="A107" s="5"/>
    </row>
    <row r="108" ht="15.75" customHeight="1">
      <c r="A108" s="17" t="s">
        <v>76</v>
      </c>
    </row>
    <row r="109" ht="15.75" customHeight="1">
      <c r="A109" s="5" t="s">
        <v>77</v>
      </c>
      <c r="B109" s="22">
        <v>2789208.0</v>
      </c>
      <c r="C109" s="22">
        <v>3047582.0</v>
      </c>
      <c r="D109" s="22">
        <v>3288581.0</v>
      </c>
      <c r="E109" s="22">
        <v>3377389.0</v>
      </c>
      <c r="F109" s="22">
        <v>2773519.0</v>
      </c>
      <c r="G109" s="22">
        <v>2711457.0</v>
      </c>
      <c r="H109" s="22">
        <v>3069523.0</v>
      </c>
      <c r="I109" s="22">
        <v>3890114.0</v>
      </c>
      <c r="J109" s="22">
        <v>4218746.0</v>
      </c>
      <c r="K109" s="22">
        <f t="shared" ref="K109:P109" si="65">J109*(1+K112)</f>
        <v>4514058.22</v>
      </c>
      <c r="L109" s="22">
        <f t="shared" si="65"/>
        <v>4830042.295</v>
      </c>
      <c r="M109" s="22">
        <f t="shared" si="65"/>
        <v>5168145.256</v>
      </c>
      <c r="N109" s="22">
        <f t="shared" si="65"/>
        <v>5529915.424</v>
      </c>
      <c r="O109" s="22">
        <f t="shared" si="65"/>
        <v>5917009.504</v>
      </c>
      <c r="P109" s="22">
        <f t="shared" si="65"/>
        <v>6331200.169</v>
      </c>
    </row>
    <row r="110" ht="15.75" customHeight="1">
      <c r="A110" s="5" t="s">
        <v>71</v>
      </c>
      <c r="B110" s="22">
        <v>653053.0</v>
      </c>
      <c r="C110" s="22">
        <v>758727.0</v>
      </c>
      <c r="D110" s="22">
        <v>748366.0</v>
      </c>
      <c r="E110" s="22">
        <v>676192.0</v>
      </c>
      <c r="F110" s="22">
        <v>662118.0</v>
      </c>
      <c r="G110" s="22">
        <v>404397.0</v>
      </c>
      <c r="H110" s="22">
        <v>577875.0</v>
      </c>
      <c r="I110" s="22">
        <v>662891.0</v>
      </c>
      <c r="J110" s="22">
        <v>672105.0</v>
      </c>
      <c r="K110" s="22">
        <f t="shared" ref="K110:P110" si="66">J110*(1+K113)</f>
        <v>678826.05</v>
      </c>
      <c r="L110" s="22">
        <f t="shared" si="66"/>
        <v>685614.3105</v>
      </c>
      <c r="M110" s="22">
        <f t="shared" si="66"/>
        <v>692470.4536</v>
      </c>
      <c r="N110" s="22">
        <f t="shared" si="66"/>
        <v>699395.1581</v>
      </c>
      <c r="O110" s="22">
        <f t="shared" si="66"/>
        <v>706389.1097</v>
      </c>
      <c r="P110" s="22">
        <f t="shared" si="66"/>
        <v>713453.0008</v>
      </c>
    </row>
    <row r="111" ht="15.75" customHeight="1">
      <c r="A111" s="17" t="s">
        <v>49</v>
      </c>
      <c r="B111" s="27">
        <f t="shared" ref="B111:P111" si="67">sum(B109:B110)</f>
        <v>3442261</v>
      </c>
      <c r="C111" s="27">
        <f t="shared" si="67"/>
        <v>3806309</v>
      </c>
      <c r="D111" s="27">
        <f t="shared" si="67"/>
        <v>4036947</v>
      </c>
      <c r="E111" s="27">
        <f t="shared" si="67"/>
        <v>4053581</v>
      </c>
      <c r="F111" s="27">
        <f t="shared" si="67"/>
        <v>3435637</v>
      </c>
      <c r="G111" s="27">
        <f t="shared" si="67"/>
        <v>3115854</v>
      </c>
      <c r="H111" s="27">
        <f t="shared" si="67"/>
        <v>3647398</v>
      </c>
      <c r="I111" s="27">
        <f t="shared" si="67"/>
        <v>4553005</v>
      </c>
      <c r="J111" s="27">
        <f t="shared" si="67"/>
        <v>4890851</v>
      </c>
      <c r="K111" s="52">
        <f t="shared" si="67"/>
        <v>5192884.27</v>
      </c>
      <c r="L111" s="52">
        <f t="shared" si="67"/>
        <v>5515656.606</v>
      </c>
      <c r="M111" s="52">
        <f t="shared" si="67"/>
        <v>5860615.71</v>
      </c>
      <c r="N111" s="52">
        <f t="shared" si="67"/>
        <v>6229310.582</v>
      </c>
      <c r="O111" s="52">
        <f t="shared" si="67"/>
        <v>6623398.613</v>
      </c>
      <c r="P111" s="52">
        <f t="shared" si="67"/>
        <v>7044653.17</v>
      </c>
      <c r="Q111" s="34"/>
      <c r="R111" s="34"/>
    </row>
    <row r="112" ht="15.75" customHeight="1">
      <c r="A112" s="5" t="s">
        <v>78</v>
      </c>
      <c r="C112" s="35">
        <f t="shared" ref="C112:J112" si="68">C109/B109-1</f>
        <v>0.09263346441</v>
      </c>
      <c r="D112" s="35">
        <f t="shared" si="68"/>
        <v>0.07907875818</v>
      </c>
      <c r="E112" s="35">
        <f t="shared" si="68"/>
        <v>0.0270049605</v>
      </c>
      <c r="F112" s="35">
        <f t="shared" si="68"/>
        <v>-0.178797882</v>
      </c>
      <c r="G112" s="35">
        <f t="shared" si="68"/>
        <v>-0.02237662695</v>
      </c>
      <c r="H112" s="35">
        <f t="shared" si="68"/>
        <v>0.1320566765</v>
      </c>
      <c r="I112" s="35">
        <f t="shared" si="68"/>
        <v>0.2673350224</v>
      </c>
      <c r="J112" s="35">
        <f t="shared" si="68"/>
        <v>0.08447875821</v>
      </c>
      <c r="K112" s="37">
        <v>0.07</v>
      </c>
      <c r="L112" s="152">
        <v>0.07</v>
      </c>
      <c r="M112" s="152">
        <v>0.07</v>
      </c>
      <c r="N112" s="152">
        <v>0.07</v>
      </c>
      <c r="O112" s="152">
        <v>0.07</v>
      </c>
      <c r="P112" s="152">
        <v>0.07</v>
      </c>
    </row>
    <row r="113" ht="15.75" customHeight="1">
      <c r="A113" s="5" t="s">
        <v>79</v>
      </c>
      <c r="C113" s="35">
        <f t="shared" ref="C113:J113" si="69">C110/B110-1</f>
        <v>0.1618153504</v>
      </c>
      <c r="D113" s="35">
        <f t="shared" si="69"/>
        <v>-0.01365576815</v>
      </c>
      <c r="E113" s="35">
        <f t="shared" si="69"/>
        <v>-0.09644211522</v>
      </c>
      <c r="F113" s="35">
        <f t="shared" si="69"/>
        <v>-0.02081361507</v>
      </c>
      <c r="G113" s="35">
        <f t="shared" si="69"/>
        <v>-0.3892372659</v>
      </c>
      <c r="H113" s="35">
        <f t="shared" si="69"/>
        <v>0.4289794435</v>
      </c>
      <c r="I113" s="35">
        <f t="shared" si="69"/>
        <v>0.1471183214</v>
      </c>
      <c r="J113" s="35">
        <f t="shared" si="69"/>
        <v>0.01389972107</v>
      </c>
      <c r="K113" s="37">
        <v>0.01</v>
      </c>
      <c r="L113" s="152">
        <v>0.01</v>
      </c>
      <c r="M113" s="152">
        <v>0.01</v>
      </c>
      <c r="N113" s="152">
        <v>0.01</v>
      </c>
      <c r="O113" s="152">
        <v>0.01</v>
      </c>
      <c r="P113" s="152">
        <v>0.01</v>
      </c>
    </row>
    <row r="114" ht="15.75" customHeight="1">
      <c r="A114" s="5"/>
    </row>
    <row r="115" ht="15.75" customHeight="1">
      <c r="A115" s="17" t="s">
        <v>80</v>
      </c>
    </row>
    <row r="116" ht="15.75" customHeight="1">
      <c r="A116" s="5" t="s">
        <v>70</v>
      </c>
      <c r="B116" s="39">
        <f t="shared" ref="B116:J116" si="70">B98/B109</f>
        <v>0.4680005937</v>
      </c>
      <c r="C116" s="39">
        <f t="shared" si="70"/>
        <v>0.4739957776</v>
      </c>
      <c r="D116" s="39">
        <f t="shared" si="70"/>
        <v>0.502800448</v>
      </c>
      <c r="E116" s="39">
        <f t="shared" si="70"/>
        <v>0.5192472647</v>
      </c>
      <c r="F116" s="39">
        <f t="shared" si="70"/>
        <v>0.5268130487</v>
      </c>
      <c r="G116" s="39">
        <f t="shared" si="70"/>
        <v>0.5022104352</v>
      </c>
      <c r="H116" s="39">
        <f t="shared" si="70"/>
        <v>0.4607481358</v>
      </c>
      <c r="I116" s="39">
        <f t="shared" si="70"/>
        <v>0.4387611777</v>
      </c>
      <c r="J116" s="39">
        <f t="shared" si="70"/>
        <v>0.4390536904</v>
      </c>
    </row>
    <row r="117" ht="15.75" customHeight="1">
      <c r="A117" s="5" t="s">
        <v>71</v>
      </c>
      <c r="B117" s="39">
        <f t="shared" ref="B117:J117" si="71">B99/B110</f>
        <v>0.1897196705</v>
      </c>
      <c r="C117" s="39">
        <f t="shared" si="71"/>
        <v>0.1635133586</v>
      </c>
      <c r="D117" s="39">
        <f t="shared" si="71"/>
        <v>0.1684656973</v>
      </c>
      <c r="E117" s="39">
        <f t="shared" si="71"/>
        <v>0.1608256235</v>
      </c>
      <c r="F117" s="39">
        <f t="shared" si="71"/>
        <v>0.1543093527</v>
      </c>
      <c r="G117" s="39">
        <f t="shared" si="71"/>
        <v>0.2377342067</v>
      </c>
      <c r="H117" s="39">
        <f t="shared" si="71"/>
        <v>0.4125044343</v>
      </c>
      <c r="I117" s="39">
        <f t="shared" si="71"/>
        <v>0.391215147</v>
      </c>
      <c r="J117" s="39">
        <f t="shared" si="71"/>
        <v>0.4211648478</v>
      </c>
    </row>
    <row r="118" ht="15.75" customHeight="1">
      <c r="A118" s="5" t="s">
        <v>81</v>
      </c>
      <c r="B118" s="39">
        <f t="shared" ref="B118:J118" si="72">B100/B111</f>
        <v>0.4152061683</v>
      </c>
      <c r="C118" s="39">
        <f t="shared" si="72"/>
        <v>0.4121060587</v>
      </c>
      <c r="D118" s="39">
        <f t="shared" si="72"/>
        <v>0.4408217398</v>
      </c>
      <c r="E118" s="39">
        <f t="shared" si="72"/>
        <v>0.4594576993</v>
      </c>
      <c r="F118" s="39">
        <f t="shared" si="72"/>
        <v>0.4550239155</v>
      </c>
      <c r="G118" s="39">
        <f t="shared" si="72"/>
        <v>0.4678848881</v>
      </c>
      <c r="H118" s="39">
        <f t="shared" si="72"/>
        <v>0.4531046516</v>
      </c>
      <c r="I118" s="39">
        <f t="shared" si="72"/>
        <v>0.4318387526</v>
      </c>
      <c r="J118" s="39">
        <f t="shared" si="72"/>
        <v>0.43659539</v>
      </c>
      <c r="K118" s="37">
        <v>0.46</v>
      </c>
      <c r="L118" s="152">
        <v>0.46</v>
      </c>
      <c r="M118" s="152">
        <v>0.46</v>
      </c>
      <c r="N118" s="152">
        <v>0.46</v>
      </c>
      <c r="O118" s="152">
        <v>0.46</v>
      </c>
      <c r="P118" s="152">
        <v>0.46</v>
      </c>
    </row>
    <row r="119" ht="15.75" customHeight="1">
      <c r="A119" s="5"/>
    </row>
    <row r="120" ht="15.75" customHeight="1">
      <c r="A120" s="5"/>
    </row>
    <row r="121" ht="15.75" customHeight="1">
      <c r="A121" s="5" t="s">
        <v>82</v>
      </c>
      <c r="B121" s="25">
        <f t="shared" ref="B121:J121" si="73">(B3/B100)*10^6</f>
        <v>399241.4193</v>
      </c>
      <c r="C121" s="25">
        <f t="shared" si="73"/>
        <v>434048.6407</v>
      </c>
      <c r="D121" s="25">
        <f t="shared" si="73"/>
        <v>448474.7473</v>
      </c>
      <c r="E121" s="25">
        <f t="shared" si="73"/>
        <v>462125.4059</v>
      </c>
      <c r="F121" s="25">
        <f t="shared" si="73"/>
        <v>483977.1329</v>
      </c>
      <c r="G121" s="25">
        <f t="shared" si="73"/>
        <v>482707.1991</v>
      </c>
      <c r="H121" s="25">
        <f t="shared" si="73"/>
        <v>534472.7538</v>
      </c>
      <c r="I121" s="25">
        <f t="shared" si="73"/>
        <v>602238.1653</v>
      </c>
      <c r="J121" s="25">
        <f t="shared" si="73"/>
        <v>664340.711</v>
      </c>
      <c r="K121" s="153">
        <f t="shared" ref="K121:P121" si="74">J121*(1+K122)</f>
        <v>730774.7821</v>
      </c>
      <c r="L121" s="153">
        <f t="shared" si="74"/>
        <v>803852.2603</v>
      </c>
      <c r="M121" s="153">
        <f t="shared" si="74"/>
        <v>884237.4863</v>
      </c>
      <c r="N121" s="153">
        <f t="shared" si="74"/>
        <v>972661.235</v>
      </c>
      <c r="O121" s="153">
        <f t="shared" si="74"/>
        <v>1069927.358</v>
      </c>
      <c r="P121" s="153">
        <f t="shared" si="74"/>
        <v>1176920.094</v>
      </c>
    </row>
    <row r="122" ht="15.75" customHeight="1">
      <c r="A122" s="5" t="s">
        <v>83</v>
      </c>
      <c r="C122" s="35">
        <f t="shared" ref="C122:J122" si="75">C121/B121-1</f>
        <v>0.08718339278</v>
      </c>
      <c r="D122" s="35">
        <f t="shared" si="75"/>
        <v>0.03323615199</v>
      </c>
      <c r="E122" s="35">
        <f t="shared" si="75"/>
        <v>0.03043796469</v>
      </c>
      <c r="F122" s="35">
        <f t="shared" si="75"/>
        <v>0.04728527542</v>
      </c>
      <c r="G122" s="35">
        <f t="shared" si="75"/>
        <v>-0.002623954209</v>
      </c>
      <c r="H122" s="35">
        <f t="shared" si="75"/>
        <v>0.1072400718</v>
      </c>
      <c r="I122" s="35">
        <f t="shared" si="75"/>
        <v>0.1267892722</v>
      </c>
      <c r="J122" s="35">
        <f t="shared" si="75"/>
        <v>0.1031195784</v>
      </c>
      <c r="K122" s="37">
        <v>0.1</v>
      </c>
      <c r="L122" s="152">
        <v>0.1</v>
      </c>
      <c r="M122" s="152">
        <v>0.1</v>
      </c>
      <c r="N122" s="152">
        <v>0.1</v>
      </c>
      <c r="O122" s="152">
        <v>0.1</v>
      </c>
      <c r="P122" s="152">
        <v>0.1</v>
      </c>
    </row>
    <row r="123" ht="15.75" customHeight="1">
      <c r="A123" s="5"/>
    </row>
    <row r="124" ht="15.75" customHeight="1">
      <c r="A124" s="17" t="s">
        <v>84</v>
      </c>
    </row>
    <row r="125" ht="15.75" customHeight="1">
      <c r="A125" s="5"/>
    </row>
    <row r="126" ht="15.75" customHeight="1">
      <c r="A126" s="1" t="s">
        <v>5</v>
      </c>
      <c r="B126" s="39">
        <f t="shared" ref="B126:J126" si="76">B9/B$3</f>
        <v>0.6344154991</v>
      </c>
      <c r="C126" s="39">
        <f t="shared" si="76"/>
        <v>0.6260982595</v>
      </c>
      <c r="D126" s="39">
        <f t="shared" si="76"/>
        <v>0.5631316612</v>
      </c>
      <c r="E126" s="39">
        <f t="shared" si="76"/>
        <v>0.5231379657</v>
      </c>
      <c r="F126" s="39">
        <f t="shared" si="76"/>
        <v>0.4577689664</v>
      </c>
      <c r="G126" s="39">
        <f t="shared" si="76"/>
        <v>0.4731484113</v>
      </c>
      <c r="H126" s="39">
        <f t="shared" si="76"/>
        <v>0.4499002602</v>
      </c>
      <c r="I126" s="39">
        <f t="shared" si="76"/>
        <v>0.6194769187</v>
      </c>
      <c r="J126" s="39">
        <f t="shared" si="76"/>
        <v>0.5562970628</v>
      </c>
      <c r="K126" s="37">
        <v>0.6</v>
      </c>
      <c r="L126" s="152">
        <v>0.6</v>
      </c>
      <c r="M126" s="152">
        <v>0.6</v>
      </c>
      <c r="N126" s="152">
        <v>0.6</v>
      </c>
      <c r="O126" s="152">
        <v>0.6</v>
      </c>
      <c r="P126" s="152">
        <v>0.6</v>
      </c>
    </row>
    <row r="127" ht="15.75" customHeight="1">
      <c r="A127" s="1" t="s">
        <v>6</v>
      </c>
      <c r="B127" s="39">
        <f t="shared" ref="B127:J127" si="77">B10/B$3</f>
        <v>0.05558038257</v>
      </c>
      <c r="C127" s="39">
        <f t="shared" si="77"/>
        <v>0.06599985312</v>
      </c>
      <c r="D127" s="39">
        <f t="shared" si="77"/>
        <v>0.1253248364</v>
      </c>
      <c r="E127" s="39">
        <f t="shared" si="77"/>
        <v>0.1663895618</v>
      </c>
      <c r="F127" s="39">
        <f t="shared" si="77"/>
        <v>0.2480465239</v>
      </c>
      <c r="G127" s="39">
        <f t="shared" si="77"/>
        <v>0.2451841642</v>
      </c>
      <c r="H127" s="39">
        <f t="shared" si="77"/>
        <v>0.2988515767</v>
      </c>
      <c r="I127" s="39">
        <f t="shared" si="77"/>
        <v>0.1073786905</v>
      </c>
      <c r="J127" s="39">
        <f t="shared" si="77"/>
        <v>0.1494746162</v>
      </c>
      <c r="K127" s="37">
        <v>0.08</v>
      </c>
      <c r="L127" s="152">
        <v>0.08</v>
      </c>
      <c r="M127" s="152">
        <v>0.08</v>
      </c>
      <c r="N127" s="152">
        <v>0.08</v>
      </c>
      <c r="O127" s="152">
        <v>0.08</v>
      </c>
      <c r="P127" s="152">
        <v>0.08</v>
      </c>
    </row>
    <row r="128" ht="15.75" customHeight="1">
      <c r="A128" s="1" t="s">
        <v>8</v>
      </c>
      <c r="B128" s="39">
        <f t="shared" ref="B128:J128" si="78">B11/B$3</f>
        <v>0.0001104071922</v>
      </c>
      <c r="C128" s="39">
        <f t="shared" si="78"/>
        <v>-0.005570977455</v>
      </c>
      <c r="D128" s="39">
        <f t="shared" si="78"/>
        <v>0.0005112179768</v>
      </c>
      <c r="E128" s="39">
        <f t="shared" si="78"/>
        <v>0.002458506887</v>
      </c>
      <c r="F128" s="39">
        <f t="shared" si="78"/>
        <v>-0.003154903516</v>
      </c>
      <c r="G128" s="39">
        <f t="shared" si="78"/>
        <v>0.003887909964</v>
      </c>
      <c r="H128" s="39">
        <f t="shared" si="78"/>
        <v>-0.001054004424</v>
      </c>
      <c r="I128" s="39">
        <f t="shared" si="78"/>
        <v>-0.004902461703</v>
      </c>
      <c r="J128" s="39">
        <f t="shared" si="78"/>
        <v>-0.002668862286</v>
      </c>
      <c r="K128" s="38">
        <f t="shared" ref="K128:P128" si="79">J128</f>
        <v>-0.002668862286</v>
      </c>
      <c r="L128" s="38">
        <f t="shared" si="79"/>
        <v>-0.002668862286</v>
      </c>
      <c r="M128" s="38">
        <f t="shared" si="79"/>
        <v>-0.002668862286</v>
      </c>
      <c r="N128" s="38">
        <f t="shared" si="79"/>
        <v>-0.002668862286</v>
      </c>
      <c r="O128" s="38">
        <f t="shared" si="79"/>
        <v>-0.002668862286</v>
      </c>
      <c r="P128" s="38">
        <f t="shared" si="79"/>
        <v>-0.002668862286</v>
      </c>
    </row>
    <row r="129" ht="15.75" customHeight="1">
      <c r="A129" s="1" t="s">
        <v>10</v>
      </c>
      <c r="B129" s="39">
        <f t="shared" ref="B129:J129" si="80">B12/B$3</f>
        <v>0.03610490436</v>
      </c>
      <c r="C129" s="39">
        <f t="shared" si="80"/>
        <v>0.03466696042</v>
      </c>
      <c r="D129" s="39">
        <f t="shared" si="80"/>
        <v>0.03587797929</v>
      </c>
      <c r="E129" s="39">
        <f t="shared" si="80"/>
        <v>0.03816727374</v>
      </c>
      <c r="F129" s="39">
        <f t="shared" si="80"/>
        <v>0.04515199577</v>
      </c>
      <c r="G129" s="39">
        <f t="shared" si="80"/>
        <v>0.04876371284</v>
      </c>
      <c r="H129" s="39">
        <f t="shared" si="80"/>
        <v>0.04586674033</v>
      </c>
      <c r="I129" s="39">
        <f t="shared" si="80"/>
        <v>0.04483155547</v>
      </c>
      <c r="J129" s="39">
        <f t="shared" si="80"/>
        <v>0.04442182405</v>
      </c>
      <c r="K129" s="37">
        <v>0.04</v>
      </c>
      <c r="L129" s="152">
        <v>0.04</v>
      </c>
      <c r="M129" s="152">
        <v>0.04</v>
      </c>
      <c r="N129" s="152">
        <v>0.04</v>
      </c>
      <c r="O129" s="152">
        <v>0.04</v>
      </c>
      <c r="P129" s="152">
        <v>0.04</v>
      </c>
    </row>
    <row r="130" ht="15.75" customHeight="1">
      <c r="A130" s="1" t="s">
        <v>12</v>
      </c>
      <c r="B130" s="39">
        <f t="shared" ref="B130:J130" si="81">B13/B$3</f>
        <v>0.1422097211</v>
      </c>
      <c r="C130" s="39">
        <f t="shared" si="81"/>
        <v>0.1281927003</v>
      </c>
      <c r="D130" s="39">
        <f t="shared" si="81"/>
        <v>0.1252433924</v>
      </c>
      <c r="E130" s="39">
        <f t="shared" si="81"/>
        <v>0.1434229712</v>
      </c>
      <c r="F130" s="39">
        <f t="shared" si="81"/>
        <v>0.1571451229</v>
      </c>
      <c r="G130" s="39">
        <f t="shared" si="81"/>
        <v>0.1540030126</v>
      </c>
      <c r="H130" s="39">
        <f t="shared" si="81"/>
        <v>0.1434702671</v>
      </c>
      <c r="I130" s="39">
        <f t="shared" si="81"/>
        <v>0.123951629</v>
      </c>
      <c r="J130" s="39">
        <f t="shared" si="81"/>
        <v>0.1237157951</v>
      </c>
      <c r="K130" s="38">
        <f t="shared" ref="K130:P130" si="82">J130</f>
        <v>0.1237157951</v>
      </c>
      <c r="L130" s="38">
        <f t="shared" si="82"/>
        <v>0.1237157951</v>
      </c>
      <c r="M130" s="38">
        <f t="shared" si="82"/>
        <v>0.1237157951</v>
      </c>
      <c r="N130" s="38">
        <f t="shared" si="82"/>
        <v>0.1237157951</v>
      </c>
      <c r="O130" s="38">
        <f t="shared" si="82"/>
        <v>0.1237157951</v>
      </c>
      <c r="P130" s="38">
        <f t="shared" si="82"/>
        <v>0.1237157951</v>
      </c>
    </row>
    <row r="131" ht="15.75" customHeight="1">
      <c r="A131" s="1" t="s">
        <v>85</v>
      </c>
      <c r="B131" s="39">
        <f t="shared" ref="B131:J131" si="83">B14/B$3</f>
        <v>-0.001055002059</v>
      </c>
      <c r="C131" s="39">
        <f t="shared" si="83"/>
        <v>-0.001521627378</v>
      </c>
      <c r="D131" s="39">
        <f t="shared" si="83"/>
        <v>-0.00124170837</v>
      </c>
      <c r="E131" s="39">
        <f t="shared" si="83"/>
        <v>-0.001418637481</v>
      </c>
      <c r="F131" s="39">
        <f t="shared" si="83"/>
        <v>-0.001608511763</v>
      </c>
      <c r="G131" s="39">
        <f t="shared" si="83"/>
        <v>-0.001034502359</v>
      </c>
      <c r="H131" s="39">
        <f t="shared" si="83"/>
        <v>-0.001635914493</v>
      </c>
      <c r="I131" s="39">
        <f t="shared" si="83"/>
        <v>-0.001321680028</v>
      </c>
      <c r="J131" s="39">
        <f t="shared" si="83"/>
        <v>-0.001837750655</v>
      </c>
      <c r="K131" s="38">
        <f t="shared" ref="K131:P131" si="84">J131</f>
        <v>-0.001837750655</v>
      </c>
      <c r="L131" s="38">
        <f t="shared" si="84"/>
        <v>-0.001837750655</v>
      </c>
      <c r="M131" s="38">
        <f t="shared" si="84"/>
        <v>-0.001837750655</v>
      </c>
      <c r="N131" s="38">
        <f t="shared" si="84"/>
        <v>-0.001837750655</v>
      </c>
      <c r="O131" s="38">
        <f t="shared" si="84"/>
        <v>-0.001837750655</v>
      </c>
      <c r="P131" s="38">
        <f t="shared" si="84"/>
        <v>-0.001837750655</v>
      </c>
    </row>
    <row r="132" ht="15.75" hidden="1" customHeight="1">
      <c r="A132" s="5"/>
    </row>
    <row r="133" ht="15.75" hidden="1" customHeight="1">
      <c r="A133" s="5"/>
    </row>
    <row r="134" ht="15.75" hidden="1" customHeight="1">
      <c r="A134" s="18" t="s">
        <v>86</v>
      </c>
    </row>
    <row r="135" ht="15.75" hidden="1" customHeight="1">
      <c r="A135" s="5"/>
    </row>
    <row r="136" ht="15.75" hidden="1" customHeight="1">
      <c r="A136" s="1" t="s">
        <v>5</v>
      </c>
    </row>
    <row r="137" ht="15.75" hidden="1" customHeight="1">
      <c r="A137" s="1" t="s">
        <v>6</v>
      </c>
    </row>
    <row r="138" ht="15.75" hidden="1" customHeight="1">
      <c r="A138" s="1" t="s">
        <v>8</v>
      </c>
    </row>
    <row r="139" ht="15.75" hidden="1" customHeight="1">
      <c r="A139" s="1" t="s">
        <v>10</v>
      </c>
    </row>
    <row r="140" ht="15.75" hidden="1" customHeight="1">
      <c r="A140" s="1" t="s">
        <v>12</v>
      </c>
    </row>
    <row r="141" ht="15.75" hidden="1" customHeight="1">
      <c r="A141" s="1" t="s">
        <v>85</v>
      </c>
    </row>
    <row r="142" ht="15.75" hidden="1" customHeight="1">
      <c r="A142" s="5"/>
    </row>
    <row r="143" ht="15.75" hidden="1" customHeight="1">
      <c r="A143" s="1" t="s">
        <v>83</v>
      </c>
    </row>
    <row r="144" ht="15.75" hidden="1" customHeight="1">
      <c r="A144" s="1" t="s">
        <v>5</v>
      </c>
    </row>
    <row r="145" ht="15.75" hidden="1" customHeight="1">
      <c r="A145" s="1" t="s">
        <v>6</v>
      </c>
    </row>
    <row r="146" ht="15.75" hidden="1" customHeight="1">
      <c r="A146" s="1" t="s">
        <v>8</v>
      </c>
    </row>
    <row r="147" ht="15.75" hidden="1" customHeight="1">
      <c r="A147" s="1" t="s">
        <v>10</v>
      </c>
    </row>
    <row r="148" ht="15.75" hidden="1" customHeight="1">
      <c r="A148" s="1" t="s">
        <v>12</v>
      </c>
    </row>
    <row r="149" ht="15.75" hidden="1" customHeight="1">
      <c r="A149" s="1" t="s">
        <v>85</v>
      </c>
    </row>
    <row r="150" ht="15.75" hidden="1" customHeight="1">
      <c r="A150" s="5"/>
    </row>
    <row r="151" ht="15.75" hidden="1" customHeight="1">
      <c r="A151" s="5"/>
    </row>
    <row r="152" ht="15.75" hidden="1" customHeight="1">
      <c r="A152" s="5"/>
    </row>
    <row r="153" ht="15.75" customHeight="1">
      <c r="A153" s="18"/>
    </row>
    <row r="154" ht="15.75" customHeight="1">
      <c r="A154" s="18" t="s">
        <v>87</v>
      </c>
    </row>
    <row r="155" ht="15.75" customHeight="1">
      <c r="A155" s="5"/>
    </row>
    <row r="156" ht="15.75" customHeight="1">
      <c r="A156" s="17" t="s">
        <v>60</v>
      </c>
      <c r="B156" s="27">
        <f t="shared" ref="B156:P156" si="85">sum(B157:B162)</f>
        <v>79004</v>
      </c>
      <c r="C156" s="27">
        <f t="shared" si="85"/>
        <v>87745</v>
      </c>
      <c r="D156" s="27">
        <f t="shared" si="85"/>
        <v>78560</v>
      </c>
      <c r="E156" s="27">
        <f t="shared" si="85"/>
        <v>121849</v>
      </c>
      <c r="F156" s="27">
        <f t="shared" si="85"/>
        <v>84116</v>
      </c>
      <c r="G156" s="27">
        <f t="shared" si="85"/>
        <v>150499</v>
      </c>
      <c r="H156" s="27">
        <f t="shared" si="85"/>
        <v>137512</v>
      </c>
      <c r="I156" s="27">
        <f t="shared" si="85"/>
        <v>129207</v>
      </c>
      <c r="J156" s="27">
        <f t="shared" si="85"/>
        <v>198064</v>
      </c>
      <c r="K156" s="54">
        <f t="shared" si="85"/>
        <v>209876.9401</v>
      </c>
      <c r="L156" s="54">
        <f t="shared" si="85"/>
        <v>245214.4084</v>
      </c>
      <c r="M156" s="54">
        <f t="shared" si="85"/>
        <v>286605.6154</v>
      </c>
      <c r="N156" s="54">
        <f t="shared" si="85"/>
        <v>335099.7624</v>
      </c>
      <c r="O156" s="54">
        <f t="shared" si="85"/>
        <v>391929.2833</v>
      </c>
      <c r="P156" s="54">
        <f t="shared" si="85"/>
        <v>458542.0012</v>
      </c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ht="15.75" customHeight="1">
      <c r="A157" s="16" t="s">
        <v>61</v>
      </c>
      <c r="B157" s="19">
        <f t="shared" ref="B157:J157" si="86">B83</f>
        <v>31326</v>
      </c>
      <c r="C157" s="19">
        <f t="shared" si="86"/>
        <v>32637</v>
      </c>
      <c r="D157" s="19">
        <f t="shared" si="86"/>
        <v>31602</v>
      </c>
      <c r="E157" s="19">
        <f t="shared" si="86"/>
        <v>33226</v>
      </c>
      <c r="F157" s="19">
        <f t="shared" si="86"/>
        <v>32139</v>
      </c>
      <c r="G157" s="19">
        <f t="shared" si="86"/>
        <v>30490</v>
      </c>
      <c r="H157" s="19">
        <f t="shared" si="86"/>
        <v>35323</v>
      </c>
      <c r="I157" s="19">
        <f t="shared" si="86"/>
        <v>54435</v>
      </c>
      <c r="J157" s="19">
        <f t="shared" si="86"/>
        <v>53181</v>
      </c>
      <c r="K157" s="25">
        <f t="shared" ref="K157:P157" si="87">K$172*K176</f>
        <v>69824.85122</v>
      </c>
      <c r="L157" s="25">
        <f t="shared" si="87"/>
        <v>81581.42375</v>
      </c>
      <c r="M157" s="25">
        <f t="shared" si="87"/>
        <v>95352.0403</v>
      </c>
      <c r="N157" s="25">
        <f t="shared" si="87"/>
        <v>111485.7642</v>
      </c>
      <c r="O157" s="25">
        <f t="shared" si="87"/>
        <v>130392.619</v>
      </c>
      <c r="P157" s="25">
        <f t="shared" si="87"/>
        <v>152554.2873</v>
      </c>
    </row>
    <row r="158" ht="15.75" customHeight="1">
      <c r="A158" s="16" t="s">
        <v>62</v>
      </c>
      <c r="B158" s="19">
        <f t="shared" ref="B158:J158" si="88">B84</f>
        <v>13234</v>
      </c>
      <c r="C158" s="19">
        <f t="shared" si="88"/>
        <v>12026</v>
      </c>
      <c r="D158" s="19">
        <f t="shared" si="88"/>
        <v>14654</v>
      </c>
      <c r="E158" s="19">
        <f t="shared" si="88"/>
        <v>23128</v>
      </c>
      <c r="F158" s="19">
        <f t="shared" si="88"/>
        <v>21298</v>
      </c>
      <c r="G158" s="19">
        <f t="shared" si="88"/>
        <v>12799</v>
      </c>
      <c r="H158" s="19">
        <f t="shared" si="88"/>
        <v>20345</v>
      </c>
      <c r="I158" s="19">
        <f t="shared" si="88"/>
        <v>32848</v>
      </c>
      <c r="J158" s="19">
        <f t="shared" si="88"/>
        <v>45968</v>
      </c>
      <c r="K158" s="25">
        <f t="shared" ref="K158:P158" si="89">K$172*K177</f>
        <v>52368.63842</v>
      </c>
      <c r="L158" s="25">
        <f t="shared" si="89"/>
        <v>61186.06781</v>
      </c>
      <c r="M158" s="25">
        <f t="shared" si="89"/>
        <v>71514.03023</v>
      </c>
      <c r="N158" s="25">
        <f t="shared" si="89"/>
        <v>83614.32315</v>
      </c>
      <c r="O158" s="25">
        <f t="shared" si="89"/>
        <v>97794.46428</v>
      </c>
      <c r="P158" s="25">
        <f t="shared" si="89"/>
        <v>114415.7154</v>
      </c>
    </row>
    <row r="159" ht="15.75" customHeight="1">
      <c r="A159" s="16" t="s">
        <v>64</v>
      </c>
      <c r="B159" s="154">
        <f t="shared" ref="B159:J159" si="90">B86</f>
        <v>31</v>
      </c>
      <c r="C159" s="154">
        <f t="shared" si="90"/>
        <v>25</v>
      </c>
      <c r="D159" s="154">
        <f t="shared" si="90"/>
        <v>30</v>
      </c>
      <c r="E159" s="154">
        <f t="shared" si="90"/>
        <v>161</v>
      </c>
      <c r="F159" s="154">
        <f t="shared" si="90"/>
        <v>170</v>
      </c>
      <c r="G159" s="154">
        <f t="shared" si="90"/>
        <v>230</v>
      </c>
      <c r="H159" s="154">
        <f t="shared" si="90"/>
        <v>305</v>
      </c>
      <c r="I159" s="154">
        <f t="shared" si="90"/>
        <v>297</v>
      </c>
      <c r="J159" s="154">
        <f t="shared" si="90"/>
        <v>327</v>
      </c>
      <c r="K159" s="25">
        <f t="shared" ref="K159:P159" si="91">K$172*K178</f>
        <v>402.3864385</v>
      </c>
      <c r="L159" s="25">
        <f t="shared" si="91"/>
        <v>470.1371786</v>
      </c>
      <c r="M159" s="25">
        <f t="shared" si="91"/>
        <v>549.4944455</v>
      </c>
      <c r="N159" s="25">
        <f t="shared" si="91"/>
        <v>642.4698201</v>
      </c>
      <c r="O159" s="25">
        <f t="shared" si="91"/>
        <v>751.4261852</v>
      </c>
      <c r="P159" s="25">
        <f t="shared" si="91"/>
        <v>879.1393789</v>
      </c>
    </row>
    <row r="160" ht="15.75" customHeight="1">
      <c r="A160" s="16" t="s">
        <v>65</v>
      </c>
      <c r="B160" s="19">
        <f t="shared" ref="B160:J160" si="92">B87</f>
        <v>16611</v>
      </c>
      <c r="C160" s="19">
        <f t="shared" si="92"/>
        <v>15408</v>
      </c>
      <c r="D160" s="19">
        <f t="shared" si="92"/>
        <v>13140</v>
      </c>
      <c r="E160" s="19">
        <f t="shared" si="92"/>
        <v>5638</v>
      </c>
      <c r="F160" s="19">
        <f t="shared" si="92"/>
        <v>7974</v>
      </c>
      <c r="G160" s="19">
        <f t="shared" si="92"/>
        <v>9581</v>
      </c>
      <c r="H160" s="19">
        <f t="shared" si="92"/>
        <v>14608</v>
      </c>
      <c r="I160" s="19">
        <f t="shared" si="92"/>
        <v>15602</v>
      </c>
      <c r="J160" s="19">
        <f t="shared" si="92"/>
        <v>25077</v>
      </c>
      <c r="K160" s="25">
        <f t="shared" ref="K160:P160" si="93">K$172*K179</f>
        <v>34912.42561</v>
      </c>
      <c r="L160" s="25">
        <f t="shared" si="93"/>
        <v>40790.71187</v>
      </c>
      <c r="M160" s="25">
        <f t="shared" si="93"/>
        <v>47676.02015</v>
      </c>
      <c r="N160" s="25">
        <f t="shared" si="93"/>
        <v>55742.8821</v>
      </c>
      <c r="O160" s="25">
        <f t="shared" si="93"/>
        <v>65196.30952</v>
      </c>
      <c r="P160" s="25">
        <f t="shared" si="93"/>
        <v>76277.14363</v>
      </c>
    </row>
    <row r="161" ht="15.75" customHeight="1">
      <c r="A161" s="16" t="s">
        <v>66</v>
      </c>
      <c r="B161" s="19">
        <f t="shared" ref="B161:J161" si="94">B88</f>
        <v>4906</v>
      </c>
      <c r="C161" s="19">
        <f t="shared" si="94"/>
        <v>4910</v>
      </c>
      <c r="D161" s="19">
        <f t="shared" si="94"/>
        <v>4115</v>
      </c>
      <c r="E161" s="19">
        <f t="shared" si="94"/>
        <v>4277</v>
      </c>
      <c r="F161" s="19">
        <f t="shared" si="94"/>
        <v>5272</v>
      </c>
      <c r="G161" s="19">
        <f t="shared" si="94"/>
        <v>0</v>
      </c>
      <c r="H161" s="19">
        <f t="shared" si="94"/>
        <v>0</v>
      </c>
      <c r="I161" s="19">
        <f t="shared" si="94"/>
        <v>0</v>
      </c>
      <c r="J161" s="19">
        <f t="shared" si="94"/>
        <v>0</v>
      </c>
      <c r="K161" s="25">
        <f t="shared" ref="K161:P161" si="95">K$172*K180</f>
        <v>0</v>
      </c>
      <c r="L161" s="25">
        <f t="shared" si="95"/>
        <v>0</v>
      </c>
      <c r="M161" s="25">
        <f t="shared" si="95"/>
        <v>0</v>
      </c>
      <c r="N161" s="25">
        <f t="shared" si="95"/>
        <v>0</v>
      </c>
      <c r="O161" s="25">
        <f t="shared" si="95"/>
        <v>0</v>
      </c>
      <c r="P161" s="25">
        <f t="shared" si="95"/>
        <v>0</v>
      </c>
    </row>
    <row r="162" ht="15.75" customHeight="1">
      <c r="A162" s="1" t="s">
        <v>57</v>
      </c>
      <c r="B162" s="19">
        <f t="shared" ref="B162:J162" si="96">B89+B90+B91</f>
        <v>12896</v>
      </c>
      <c r="C162" s="19">
        <f t="shared" si="96"/>
        <v>22739</v>
      </c>
      <c r="D162" s="19">
        <f t="shared" si="96"/>
        <v>15019</v>
      </c>
      <c r="E162" s="19">
        <f t="shared" si="96"/>
        <v>55419</v>
      </c>
      <c r="F162" s="19">
        <f t="shared" si="96"/>
        <v>17263</v>
      </c>
      <c r="G162" s="19">
        <f t="shared" si="96"/>
        <v>97399</v>
      </c>
      <c r="H162" s="19">
        <f t="shared" si="96"/>
        <v>66931</v>
      </c>
      <c r="I162" s="19">
        <f t="shared" si="96"/>
        <v>26025</v>
      </c>
      <c r="J162" s="19">
        <f t="shared" si="96"/>
        <v>73511</v>
      </c>
      <c r="K162" s="25">
        <f t="shared" ref="K162:P162" si="97">K$172*K181</f>
        <v>52368.63842</v>
      </c>
      <c r="L162" s="25">
        <f t="shared" si="97"/>
        <v>61186.06781</v>
      </c>
      <c r="M162" s="25">
        <f t="shared" si="97"/>
        <v>71514.03023</v>
      </c>
      <c r="N162" s="25">
        <f t="shared" si="97"/>
        <v>83614.32315</v>
      </c>
      <c r="O162" s="25">
        <f t="shared" si="97"/>
        <v>97794.46428</v>
      </c>
      <c r="P162" s="25">
        <f t="shared" si="97"/>
        <v>114415.7154</v>
      </c>
    </row>
    <row r="163" ht="15.75" customHeight="1">
      <c r="A163" s="5"/>
      <c r="B163" s="19"/>
      <c r="D163" s="16"/>
      <c r="E163" s="22"/>
      <c r="H163" s="1"/>
      <c r="I163" s="22"/>
    </row>
    <row r="164" ht="15.75" customHeight="1">
      <c r="A164" s="17" t="s">
        <v>42</v>
      </c>
      <c r="B164" s="27">
        <f t="shared" ref="B164:P164" si="98">sum(B165:B170)</f>
        <v>110441</v>
      </c>
      <c r="C164" s="27">
        <f t="shared" si="98"/>
        <v>132368</v>
      </c>
      <c r="D164" s="27">
        <f t="shared" si="98"/>
        <v>154485</v>
      </c>
      <c r="E164" s="27">
        <f t="shared" si="98"/>
        <v>141605</v>
      </c>
      <c r="F164" s="27">
        <f t="shared" si="98"/>
        <v>113054</v>
      </c>
      <c r="G164" s="27">
        <f t="shared" si="98"/>
        <v>162139</v>
      </c>
      <c r="H164" s="27">
        <f t="shared" si="98"/>
        <v>170235</v>
      </c>
      <c r="I164" s="27">
        <f t="shared" si="98"/>
        <v>227667</v>
      </c>
      <c r="J164" s="27">
        <f t="shared" si="98"/>
        <v>259518</v>
      </c>
      <c r="K164" s="54">
        <f t="shared" si="98"/>
        <v>333413.6646</v>
      </c>
      <c r="L164" s="54">
        <f t="shared" si="98"/>
        <v>389551.2984</v>
      </c>
      <c r="M164" s="54">
        <f t="shared" si="98"/>
        <v>455305.9924</v>
      </c>
      <c r="N164" s="54">
        <f t="shared" si="98"/>
        <v>532344.524</v>
      </c>
      <c r="O164" s="54">
        <f t="shared" si="98"/>
        <v>622624.7559</v>
      </c>
      <c r="P164" s="54">
        <f t="shared" si="98"/>
        <v>728446.7217</v>
      </c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ht="15.75" customHeight="1">
      <c r="A165" s="1" t="s">
        <v>43</v>
      </c>
      <c r="B165" s="19">
        <f t="shared" ref="B165:J165" si="99">B56</f>
        <v>7956</v>
      </c>
      <c r="C165" s="19">
        <f t="shared" si="99"/>
        <v>8036</v>
      </c>
      <c r="D165" s="19">
        <f t="shared" si="99"/>
        <v>8541</v>
      </c>
      <c r="E165" s="19">
        <f t="shared" si="99"/>
        <v>6729</v>
      </c>
      <c r="F165" s="19">
        <f t="shared" si="99"/>
        <v>6962</v>
      </c>
      <c r="G165" s="19">
        <f t="shared" si="99"/>
        <v>8547</v>
      </c>
      <c r="H165" s="19">
        <f t="shared" si="99"/>
        <v>11113</v>
      </c>
      <c r="I165" s="19">
        <f t="shared" si="99"/>
        <v>11584</v>
      </c>
      <c r="J165" s="19">
        <f t="shared" si="99"/>
        <v>12030</v>
      </c>
      <c r="K165" s="25">
        <f t="shared" ref="K165:P165" si="100">K$172*K184</f>
        <v>17456.21281</v>
      </c>
      <c r="L165" s="25">
        <f t="shared" si="100"/>
        <v>20395.35594</v>
      </c>
      <c r="M165" s="25">
        <f t="shared" si="100"/>
        <v>23838.01008</v>
      </c>
      <c r="N165" s="25">
        <f t="shared" si="100"/>
        <v>27871.44105</v>
      </c>
      <c r="O165" s="25">
        <f t="shared" si="100"/>
        <v>32598.15476</v>
      </c>
      <c r="P165" s="25">
        <f t="shared" si="100"/>
        <v>38138.57181</v>
      </c>
    </row>
    <row r="166" ht="15.75" customHeight="1">
      <c r="A166" s="1" t="s">
        <v>44</v>
      </c>
      <c r="B166" s="19">
        <f t="shared" ref="B166:J166" si="101">B57</f>
        <v>774</v>
      </c>
      <c r="C166" s="19">
        <f t="shared" si="101"/>
        <v>4838</v>
      </c>
      <c r="D166" s="19">
        <f t="shared" si="101"/>
        <v>1108</v>
      </c>
      <c r="E166" s="19">
        <f t="shared" si="101"/>
        <v>1496</v>
      </c>
      <c r="F166" s="19">
        <f t="shared" si="101"/>
        <v>1063</v>
      </c>
      <c r="G166" s="19">
        <f t="shared" si="101"/>
        <v>4962</v>
      </c>
      <c r="H166" s="19">
        <f t="shared" si="101"/>
        <v>3819</v>
      </c>
      <c r="I166" s="19">
        <f t="shared" si="101"/>
        <v>12226</v>
      </c>
      <c r="J166" s="19">
        <f t="shared" si="101"/>
        <v>509</v>
      </c>
      <c r="K166" s="25">
        <f t="shared" ref="K166:P166" si="102">K$172*K185</f>
        <v>1745.621281</v>
      </c>
      <c r="L166" s="25">
        <f t="shared" si="102"/>
        <v>2039.535594</v>
      </c>
      <c r="M166" s="25">
        <f t="shared" si="102"/>
        <v>2383.801008</v>
      </c>
      <c r="N166" s="25">
        <f t="shared" si="102"/>
        <v>2787.144105</v>
      </c>
      <c r="O166" s="25">
        <f t="shared" si="102"/>
        <v>3259.815476</v>
      </c>
      <c r="P166" s="25">
        <f t="shared" si="102"/>
        <v>3813.857181</v>
      </c>
    </row>
    <row r="167" ht="15.75" customHeight="1">
      <c r="A167" s="1" t="s">
        <v>45</v>
      </c>
      <c r="B167" s="19">
        <f t="shared" ref="B167:H167" si="103">B58</f>
        <v>74089</v>
      </c>
      <c r="C167" s="19">
        <f t="shared" si="103"/>
        <v>83692</v>
      </c>
      <c r="D167" s="19">
        <f t="shared" si="103"/>
        <v>104993</v>
      </c>
      <c r="E167" s="19">
        <f t="shared" si="103"/>
        <v>96377</v>
      </c>
      <c r="F167" s="19">
        <f t="shared" si="103"/>
        <v>75091</v>
      </c>
      <c r="G167" s="19">
        <f t="shared" si="103"/>
        <v>101681</v>
      </c>
      <c r="H167" s="19">
        <f t="shared" si="103"/>
        <v>97732</v>
      </c>
      <c r="I167" s="120">
        <v>136755.0</v>
      </c>
      <c r="J167" s="120">
        <v>169884.0</v>
      </c>
      <c r="K167" s="25">
        <f t="shared" ref="K167:P167" si="104">K$172*K186</f>
        <v>209474.5537</v>
      </c>
      <c r="L167" s="25">
        <f t="shared" si="104"/>
        <v>244744.2712</v>
      </c>
      <c r="M167" s="25">
        <f t="shared" si="104"/>
        <v>286056.1209</v>
      </c>
      <c r="N167" s="25">
        <f t="shared" si="104"/>
        <v>334457.2926</v>
      </c>
      <c r="O167" s="25">
        <f t="shared" si="104"/>
        <v>391177.8571</v>
      </c>
      <c r="P167" s="25">
        <f t="shared" si="104"/>
        <v>457662.8618</v>
      </c>
    </row>
    <row r="168" ht="15.75" customHeight="1">
      <c r="A168" s="1" t="s">
        <v>46</v>
      </c>
      <c r="B168" s="19">
        <f t="shared" ref="B168:J168" si="105">B60</f>
        <v>11650</v>
      </c>
      <c r="C168" s="19">
        <f t="shared" si="105"/>
        <v>18278</v>
      </c>
      <c r="D168" s="19">
        <f t="shared" si="105"/>
        <v>20896</v>
      </c>
      <c r="E168" s="19">
        <f t="shared" si="105"/>
        <v>16329</v>
      </c>
      <c r="F168" s="19">
        <f t="shared" si="105"/>
        <v>14091</v>
      </c>
      <c r="G168" s="19">
        <f t="shared" si="105"/>
        <v>26801</v>
      </c>
      <c r="H168" s="19">
        <f t="shared" si="105"/>
        <v>28686</v>
      </c>
      <c r="I168" s="19">
        <f t="shared" si="105"/>
        <v>33372</v>
      </c>
      <c r="J168" s="19">
        <f t="shared" si="105"/>
        <v>41739</v>
      </c>
      <c r="K168" s="25">
        <f t="shared" ref="K168:P168" si="106">K$172*K187</f>
        <v>52368.63842</v>
      </c>
      <c r="L168" s="25">
        <f t="shared" si="106"/>
        <v>61186.06781</v>
      </c>
      <c r="M168" s="25">
        <f t="shared" si="106"/>
        <v>71514.03023</v>
      </c>
      <c r="N168" s="25">
        <f t="shared" si="106"/>
        <v>83614.32315</v>
      </c>
      <c r="O168" s="25">
        <f t="shared" si="106"/>
        <v>97794.46428</v>
      </c>
      <c r="P168" s="25">
        <f t="shared" si="106"/>
        <v>114415.7154</v>
      </c>
    </row>
    <row r="169" ht="15.75" customHeight="1">
      <c r="A169" s="1" t="s">
        <v>47</v>
      </c>
      <c r="B169" s="19">
        <f t="shared" ref="B169:J169" si="107">B61</f>
        <v>3994</v>
      </c>
      <c r="C169" s="19">
        <f t="shared" si="107"/>
        <v>4496</v>
      </c>
      <c r="D169" s="19">
        <f t="shared" si="107"/>
        <v>5609</v>
      </c>
      <c r="E169" s="19">
        <f t="shared" si="107"/>
        <v>6254</v>
      </c>
      <c r="F169" s="19">
        <f t="shared" si="107"/>
        <v>6807</v>
      </c>
      <c r="G169" s="19">
        <f t="shared" si="107"/>
        <v>7428</v>
      </c>
      <c r="H169" s="19">
        <f t="shared" si="107"/>
        <v>8613</v>
      </c>
      <c r="I169" s="19">
        <f t="shared" si="107"/>
        <v>10830</v>
      </c>
      <c r="J169" s="19">
        <f t="shared" si="107"/>
        <v>13119</v>
      </c>
      <c r="K169" s="25">
        <f t="shared" ref="K169:P169" si="108">K$172*K188</f>
        <v>17456.21281</v>
      </c>
      <c r="L169" s="25">
        <f t="shared" si="108"/>
        <v>20395.35594</v>
      </c>
      <c r="M169" s="25">
        <f t="shared" si="108"/>
        <v>23838.01008</v>
      </c>
      <c r="N169" s="25">
        <f t="shared" si="108"/>
        <v>27871.44105</v>
      </c>
      <c r="O169" s="25">
        <f t="shared" si="108"/>
        <v>32598.15476</v>
      </c>
      <c r="P169" s="25">
        <f t="shared" si="108"/>
        <v>38138.57181</v>
      </c>
    </row>
    <row r="170" ht="15.75" customHeight="1">
      <c r="A170" s="1" t="s">
        <v>48</v>
      </c>
      <c r="B170" s="19">
        <f t="shared" ref="B170:J170" si="109">B62</f>
        <v>11978</v>
      </c>
      <c r="C170" s="19">
        <f t="shared" si="109"/>
        <v>13028</v>
      </c>
      <c r="D170" s="19">
        <f t="shared" si="109"/>
        <v>13338</v>
      </c>
      <c r="E170" s="19">
        <f t="shared" si="109"/>
        <v>14420</v>
      </c>
      <c r="F170" s="19">
        <f t="shared" si="109"/>
        <v>9040</v>
      </c>
      <c r="G170" s="19">
        <f t="shared" si="109"/>
        <v>12720</v>
      </c>
      <c r="H170" s="19">
        <f t="shared" si="109"/>
        <v>20272</v>
      </c>
      <c r="I170" s="19">
        <f t="shared" si="109"/>
        <v>22900</v>
      </c>
      <c r="J170" s="19">
        <f t="shared" si="109"/>
        <v>22237</v>
      </c>
      <c r="K170" s="25">
        <f t="shared" ref="K170:P170" si="110">K$172*K189</f>
        <v>34912.42561</v>
      </c>
      <c r="L170" s="25">
        <f t="shared" si="110"/>
        <v>40790.71187</v>
      </c>
      <c r="M170" s="25">
        <f t="shared" si="110"/>
        <v>47676.02015</v>
      </c>
      <c r="N170" s="25">
        <f t="shared" si="110"/>
        <v>55742.8821</v>
      </c>
      <c r="O170" s="25">
        <f t="shared" si="110"/>
        <v>65196.30952</v>
      </c>
      <c r="P170" s="25">
        <f t="shared" si="110"/>
        <v>76277.14363</v>
      </c>
    </row>
    <row r="171" ht="15.75" customHeight="1">
      <c r="A171" s="5"/>
    </row>
    <row r="172" ht="15.75" customHeight="1">
      <c r="A172" s="18" t="s">
        <v>88</v>
      </c>
      <c r="B172" s="27">
        <f t="shared" ref="B172:P172" si="111">B3</f>
        <v>570615</v>
      </c>
      <c r="C172" s="27">
        <f t="shared" si="111"/>
        <v>680850</v>
      </c>
      <c r="D172" s="27">
        <f t="shared" si="111"/>
        <v>798094</v>
      </c>
      <c r="E172" s="27">
        <f t="shared" si="111"/>
        <v>860685</v>
      </c>
      <c r="F172" s="27">
        <f t="shared" si="111"/>
        <v>756600</v>
      </c>
      <c r="G172" s="27">
        <f t="shared" si="111"/>
        <v>703720</v>
      </c>
      <c r="H172" s="27">
        <f t="shared" si="111"/>
        <v>883298</v>
      </c>
      <c r="I172" s="27">
        <f t="shared" si="111"/>
        <v>1184099</v>
      </c>
      <c r="J172" s="27">
        <f t="shared" si="111"/>
        <v>1418582</v>
      </c>
      <c r="K172" s="54">
        <f t="shared" si="111"/>
        <v>1745621.281</v>
      </c>
      <c r="L172" s="54">
        <f t="shared" si="111"/>
        <v>2039535.594</v>
      </c>
      <c r="M172" s="54">
        <f t="shared" si="111"/>
        <v>2383801.008</v>
      </c>
      <c r="N172" s="54">
        <f t="shared" si="111"/>
        <v>2787144.105</v>
      </c>
      <c r="O172" s="54">
        <f t="shared" si="111"/>
        <v>3259815.476</v>
      </c>
      <c r="P172" s="54">
        <f t="shared" si="111"/>
        <v>3813857.181</v>
      </c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ht="15.75" customHeight="1">
      <c r="A173" s="5"/>
    </row>
    <row r="174" ht="15.75" customHeight="1">
      <c r="A174" s="18" t="s">
        <v>89</v>
      </c>
    </row>
    <row r="175" ht="15.75" customHeight="1">
      <c r="A175" s="17" t="s">
        <v>60</v>
      </c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ht="15.75" customHeight="1">
      <c r="A176" s="16" t="s">
        <v>61</v>
      </c>
      <c r="B176" s="35">
        <f t="shared" ref="B176:J176" si="112">B157/B$172</f>
        <v>0.05489866197</v>
      </c>
      <c r="C176" s="35">
        <f t="shared" si="112"/>
        <v>0.04793566865</v>
      </c>
      <c r="D176" s="35">
        <f t="shared" si="112"/>
        <v>0.03959683947</v>
      </c>
      <c r="E176" s="35">
        <f t="shared" si="112"/>
        <v>0.03860413508</v>
      </c>
      <c r="F176" s="35">
        <f t="shared" si="112"/>
        <v>0.04247819191</v>
      </c>
      <c r="G176" s="35">
        <f t="shared" si="112"/>
        <v>0.04332689138</v>
      </c>
      <c r="H176" s="35">
        <f t="shared" si="112"/>
        <v>0.03998990148</v>
      </c>
      <c r="I176" s="35">
        <f t="shared" si="112"/>
        <v>0.04597166284</v>
      </c>
      <c r="J176" s="35">
        <f t="shared" si="112"/>
        <v>0.03748884449</v>
      </c>
      <c r="K176" s="37">
        <v>0.04</v>
      </c>
      <c r="L176" s="152">
        <v>0.04</v>
      </c>
      <c r="M176" s="152">
        <v>0.04</v>
      </c>
      <c r="N176" s="152">
        <v>0.04</v>
      </c>
      <c r="O176" s="152">
        <v>0.04</v>
      </c>
      <c r="P176" s="152">
        <v>0.04</v>
      </c>
    </row>
    <row r="177" ht="15.75" customHeight="1">
      <c r="A177" s="16" t="s">
        <v>62</v>
      </c>
      <c r="B177" s="35">
        <f t="shared" ref="B177:J177" si="113">B158/B$172</f>
        <v>0.02319252035</v>
      </c>
      <c r="C177" s="35">
        <f t="shared" si="113"/>
        <v>0.0176632151</v>
      </c>
      <c r="D177" s="35">
        <f t="shared" si="113"/>
        <v>0.01836124567</v>
      </c>
      <c r="E177" s="35">
        <f t="shared" si="113"/>
        <v>0.0268716197</v>
      </c>
      <c r="F177" s="35">
        <f t="shared" si="113"/>
        <v>0.02814961671</v>
      </c>
      <c r="G177" s="35">
        <f t="shared" si="113"/>
        <v>0.01818763144</v>
      </c>
      <c r="H177" s="35">
        <f t="shared" si="113"/>
        <v>0.02303299679</v>
      </c>
      <c r="I177" s="35">
        <f t="shared" si="113"/>
        <v>0.02774092369</v>
      </c>
      <c r="J177" s="35">
        <f t="shared" si="113"/>
        <v>0.03240418954</v>
      </c>
      <c r="K177" s="37">
        <v>0.03</v>
      </c>
      <c r="L177" s="152">
        <v>0.03</v>
      </c>
      <c r="M177" s="152">
        <v>0.03</v>
      </c>
      <c r="N177" s="152">
        <v>0.03</v>
      </c>
      <c r="O177" s="152">
        <v>0.03</v>
      </c>
      <c r="P177" s="152">
        <v>0.03</v>
      </c>
    </row>
    <row r="178" ht="15.75" customHeight="1">
      <c r="A178" s="16" t="s">
        <v>64</v>
      </c>
      <c r="B178" s="35">
        <f t="shared" ref="B178:J178" si="114">B159/B$172</f>
        <v>0.00005432734856</v>
      </c>
      <c r="C178" s="35">
        <f t="shared" si="114"/>
        <v>0.00003671880737</v>
      </c>
      <c r="D178" s="35">
        <f t="shared" si="114"/>
        <v>0.00003758955712</v>
      </c>
      <c r="E178" s="35">
        <f t="shared" si="114"/>
        <v>0.0001870603066</v>
      </c>
      <c r="F178" s="35">
        <f t="shared" si="114"/>
        <v>0.0002246893999</v>
      </c>
      <c r="G178" s="35">
        <f t="shared" si="114"/>
        <v>0.0003268345365</v>
      </c>
      <c r="H178" s="35">
        <f t="shared" si="114"/>
        <v>0.0003452968307</v>
      </c>
      <c r="I178" s="35">
        <f t="shared" si="114"/>
        <v>0.000250823622</v>
      </c>
      <c r="J178" s="35">
        <f t="shared" si="114"/>
        <v>0.0002305118774</v>
      </c>
      <c r="K178" s="38">
        <f t="shared" ref="K178:P178" si="115">J178</f>
        <v>0.0002305118774</v>
      </c>
      <c r="L178" s="38">
        <f t="shared" si="115"/>
        <v>0.0002305118774</v>
      </c>
      <c r="M178" s="38">
        <f t="shared" si="115"/>
        <v>0.0002305118774</v>
      </c>
      <c r="N178" s="38">
        <f t="shared" si="115"/>
        <v>0.0002305118774</v>
      </c>
      <c r="O178" s="38">
        <f t="shared" si="115"/>
        <v>0.0002305118774</v>
      </c>
      <c r="P178" s="38">
        <f t="shared" si="115"/>
        <v>0.0002305118774</v>
      </c>
    </row>
    <row r="179" ht="15.75" customHeight="1">
      <c r="A179" s="16" t="s">
        <v>65</v>
      </c>
      <c r="B179" s="35">
        <f t="shared" ref="B179:J179" si="116">B160/B$172</f>
        <v>0.02911069635</v>
      </c>
      <c r="C179" s="35">
        <f t="shared" si="116"/>
        <v>0.02263053536</v>
      </c>
      <c r="D179" s="35">
        <f t="shared" si="116"/>
        <v>0.01646422602</v>
      </c>
      <c r="E179" s="35">
        <f t="shared" si="116"/>
        <v>0.006550596327</v>
      </c>
      <c r="F179" s="35">
        <f t="shared" si="116"/>
        <v>0.01053925456</v>
      </c>
      <c r="G179" s="35">
        <f t="shared" si="116"/>
        <v>0.01361478997</v>
      </c>
      <c r="H179" s="35">
        <f t="shared" si="116"/>
        <v>0.01653802001</v>
      </c>
      <c r="I179" s="35">
        <f t="shared" si="116"/>
        <v>0.01317626313</v>
      </c>
      <c r="J179" s="35">
        <f t="shared" si="116"/>
        <v>0.01767751177</v>
      </c>
      <c r="K179" s="37">
        <v>0.02</v>
      </c>
      <c r="L179" s="152">
        <v>0.02</v>
      </c>
      <c r="M179" s="152">
        <v>0.02</v>
      </c>
      <c r="N179" s="152">
        <v>0.02</v>
      </c>
      <c r="O179" s="152">
        <v>0.02</v>
      </c>
      <c r="P179" s="152">
        <v>0.02</v>
      </c>
    </row>
    <row r="180" ht="15.75" customHeight="1">
      <c r="A180" s="16" t="s">
        <v>66</v>
      </c>
      <c r="B180" s="35">
        <f t="shared" ref="B180:J180" si="117">B161/B$172</f>
        <v>0.008597741034</v>
      </c>
      <c r="C180" s="35">
        <f t="shared" si="117"/>
        <v>0.007211573768</v>
      </c>
      <c r="D180" s="35">
        <f t="shared" si="117"/>
        <v>0.005156034252</v>
      </c>
      <c r="E180" s="35">
        <f t="shared" si="117"/>
        <v>0.004969297711</v>
      </c>
      <c r="F180" s="35">
        <f t="shared" si="117"/>
        <v>0.006968014803</v>
      </c>
      <c r="G180" s="35">
        <f t="shared" si="117"/>
        <v>0</v>
      </c>
      <c r="H180" s="35">
        <f t="shared" si="117"/>
        <v>0</v>
      </c>
      <c r="I180" s="35">
        <f t="shared" si="117"/>
        <v>0</v>
      </c>
      <c r="J180" s="35">
        <f t="shared" si="117"/>
        <v>0</v>
      </c>
      <c r="K180" s="38">
        <f t="shared" ref="K180:P180" si="118">J180</f>
        <v>0</v>
      </c>
      <c r="L180" s="38">
        <f t="shared" si="118"/>
        <v>0</v>
      </c>
      <c r="M180" s="38">
        <f t="shared" si="118"/>
        <v>0</v>
      </c>
      <c r="N180" s="38">
        <f t="shared" si="118"/>
        <v>0</v>
      </c>
      <c r="O180" s="38">
        <f t="shared" si="118"/>
        <v>0</v>
      </c>
      <c r="P180" s="38">
        <f t="shared" si="118"/>
        <v>0</v>
      </c>
    </row>
    <row r="181" ht="15.75" customHeight="1">
      <c r="A181" s="1" t="s">
        <v>57</v>
      </c>
      <c r="B181" s="35">
        <f t="shared" ref="B181:J181" si="119">B162/B$172</f>
        <v>0.022600177</v>
      </c>
      <c r="C181" s="35">
        <f t="shared" si="119"/>
        <v>0.03339795843</v>
      </c>
      <c r="D181" s="35">
        <f t="shared" si="119"/>
        <v>0.01881858528</v>
      </c>
      <c r="E181" s="35">
        <f t="shared" si="119"/>
        <v>0.06438941076</v>
      </c>
      <c r="F181" s="35">
        <f t="shared" si="119"/>
        <v>0.02281654771</v>
      </c>
      <c r="G181" s="35">
        <f t="shared" si="119"/>
        <v>0.1384059001</v>
      </c>
      <c r="H181" s="35">
        <f t="shared" si="119"/>
        <v>0.07577397436</v>
      </c>
      <c r="I181" s="35">
        <f t="shared" si="119"/>
        <v>0.02197873658</v>
      </c>
      <c r="J181" s="35">
        <f t="shared" si="119"/>
        <v>0.05182005693</v>
      </c>
      <c r="K181" s="37">
        <v>0.03</v>
      </c>
      <c r="L181" s="152">
        <v>0.03</v>
      </c>
      <c r="M181" s="152">
        <v>0.03</v>
      </c>
      <c r="N181" s="152">
        <v>0.03</v>
      </c>
      <c r="O181" s="152">
        <v>0.03</v>
      </c>
      <c r="P181" s="152">
        <v>0.03</v>
      </c>
    </row>
    <row r="182" ht="15.75" customHeight="1">
      <c r="A182" s="5"/>
    </row>
    <row r="183" ht="15.75" customHeight="1">
      <c r="A183" s="17" t="s">
        <v>42</v>
      </c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ht="15.75" customHeight="1">
      <c r="A184" s="1" t="s">
        <v>43</v>
      </c>
      <c r="B184" s="35">
        <f t="shared" ref="B184:J184" si="120">B165/B$172</f>
        <v>0.01394285113</v>
      </c>
      <c r="C184" s="35">
        <f t="shared" si="120"/>
        <v>0.01180289344</v>
      </c>
      <c r="D184" s="35">
        <f t="shared" si="120"/>
        <v>0.01070174691</v>
      </c>
      <c r="E184" s="35">
        <f t="shared" si="120"/>
        <v>0.007818191324</v>
      </c>
      <c r="F184" s="35">
        <f t="shared" si="120"/>
        <v>0.009201691779</v>
      </c>
      <c r="G184" s="35">
        <f t="shared" si="120"/>
        <v>0.01214545558</v>
      </c>
      <c r="H184" s="35">
        <f t="shared" si="120"/>
        <v>0.01258125797</v>
      </c>
      <c r="I184" s="35">
        <f t="shared" si="120"/>
        <v>0.009782965782</v>
      </c>
      <c r="J184" s="35">
        <f t="shared" si="120"/>
        <v>0.008480299341</v>
      </c>
      <c r="K184" s="37">
        <v>0.01</v>
      </c>
      <c r="L184" s="38">
        <f t="shared" ref="L184:P184" si="121">K184</f>
        <v>0.01</v>
      </c>
      <c r="M184" s="38">
        <f t="shared" si="121"/>
        <v>0.01</v>
      </c>
      <c r="N184" s="38">
        <f t="shared" si="121"/>
        <v>0.01</v>
      </c>
      <c r="O184" s="38">
        <f t="shared" si="121"/>
        <v>0.01</v>
      </c>
      <c r="P184" s="38">
        <f t="shared" si="121"/>
        <v>0.01</v>
      </c>
    </row>
    <row r="185" ht="15.75" customHeight="1">
      <c r="A185" s="1" t="s">
        <v>44</v>
      </c>
      <c r="B185" s="35">
        <f t="shared" ref="B185:J185" si="122">B166/B$172</f>
        <v>0.001356431219</v>
      </c>
      <c r="C185" s="35">
        <f t="shared" si="122"/>
        <v>0.007105823603</v>
      </c>
      <c r="D185" s="35">
        <f t="shared" si="122"/>
        <v>0.001388307643</v>
      </c>
      <c r="E185" s="35">
        <f t="shared" si="122"/>
        <v>0.001738150427</v>
      </c>
      <c r="F185" s="35">
        <f t="shared" si="122"/>
        <v>0.001404969601</v>
      </c>
      <c r="G185" s="35">
        <f t="shared" si="122"/>
        <v>0.007051099869</v>
      </c>
      <c r="H185" s="35">
        <f t="shared" si="122"/>
        <v>0.004323569169</v>
      </c>
      <c r="I185" s="35">
        <f t="shared" si="122"/>
        <v>0.01032515018</v>
      </c>
      <c r="J185" s="35">
        <f t="shared" si="122"/>
        <v>0.0003588090079</v>
      </c>
      <c r="K185" s="37">
        <v>0.001</v>
      </c>
      <c r="L185" s="38">
        <f t="shared" ref="L185:P185" si="123">K185</f>
        <v>0.001</v>
      </c>
      <c r="M185" s="38">
        <f t="shared" si="123"/>
        <v>0.001</v>
      </c>
      <c r="N185" s="38">
        <f t="shared" si="123"/>
        <v>0.001</v>
      </c>
      <c r="O185" s="38">
        <f t="shared" si="123"/>
        <v>0.001</v>
      </c>
      <c r="P185" s="38">
        <f t="shared" si="123"/>
        <v>0.001</v>
      </c>
    </row>
    <row r="186" ht="15.75" customHeight="1">
      <c r="A186" s="1" t="s">
        <v>45</v>
      </c>
      <c r="B186" s="35">
        <f t="shared" ref="B186:J186" si="124">B167/B$172</f>
        <v>0.1298406106</v>
      </c>
      <c r="C186" s="35">
        <f t="shared" si="124"/>
        <v>0.1229228171</v>
      </c>
      <c r="D186" s="35">
        <f t="shared" si="124"/>
        <v>0.131554679</v>
      </c>
      <c r="E186" s="35">
        <f t="shared" si="124"/>
        <v>0.111977088</v>
      </c>
      <c r="F186" s="35">
        <f t="shared" si="124"/>
        <v>0.09924795136</v>
      </c>
      <c r="G186" s="35">
        <f t="shared" si="124"/>
        <v>0.1444907065</v>
      </c>
      <c r="H186" s="35">
        <f t="shared" si="124"/>
        <v>0.1106444258</v>
      </c>
      <c r="I186" s="35">
        <f t="shared" si="124"/>
        <v>0.1154928769</v>
      </c>
      <c r="J186" s="35">
        <f t="shared" si="124"/>
        <v>0.1197562073</v>
      </c>
      <c r="K186" s="37">
        <v>0.12</v>
      </c>
      <c r="L186" s="38">
        <f t="shared" ref="L186:P186" si="125">K186</f>
        <v>0.12</v>
      </c>
      <c r="M186" s="38">
        <f t="shared" si="125"/>
        <v>0.12</v>
      </c>
      <c r="N186" s="38">
        <f t="shared" si="125"/>
        <v>0.12</v>
      </c>
      <c r="O186" s="38">
        <f t="shared" si="125"/>
        <v>0.12</v>
      </c>
      <c r="P186" s="38">
        <f t="shared" si="125"/>
        <v>0.12</v>
      </c>
    </row>
    <row r="187" ht="15.75" customHeight="1">
      <c r="A187" s="1" t="s">
        <v>46</v>
      </c>
      <c r="B187" s="35">
        <f t="shared" ref="B187:J187" si="126">B168/B$172</f>
        <v>0.02041656809</v>
      </c>
      <c r="C187" s="35">
        <f t="shared" si="126"/>
        <v>0.02684585445</v>
      </c>
      <c r="D187" s="35">
        <f t="shared" si="126"/>
        <v>0.02618237952</v>
      </c>
      <c r="E187" s="35">
        <f t="shared" si="126"/>
        <v>0.01897209781</v>
      </c>
      <c r="F187" s="35">
        <f t="shared" si="126"/>
        <v>0.01862410785</v>
      </c>
      <c r="G187" s="35">
        <f t="shared" si="126"/>
        <v>0.03808474962</v>
      </c>
      <c r="H187" s="35">
        <f t="shared" si="126"/>
        <v>0.03247601602</v>
      </c>
      <c r="I187" s="35">
        <f t="shared" si="126"/>
        <v>0.02818345426</v>
      </c>
      <c r="J187" s="35">
        <f t="shared" si="126"/>
        <v>0.02942304357</v>
      </c>
      <c r="K187" s="37">
        <v>0.03</v>
      </c>
      <c r="L187" s="38">
        <f t="shared" ref="L187:P187" si="127">K187</f>
        <v>0.03</v>
      </c>
      <c r="M187" s="38">
        <f t="shared" si="127"/>
        <v>0.03</v>
      </c>
      <c r="N187" s="38">
        <f t="shared" si="127"/>
        <v>0.03</v>
      </c>
      <c r="O187" s="38">
        <f t="shared" si="127"/>
        <v>0.03</v>
      </c>
      <c r="P187" s="38">
        <f t="shared" si="127"/>
        <v>0.03</v>
      </c>
    </row>
    <row r="188" ht="15.75" customHeight="1">
      <c r="A188" s="1" t="s">
        <v>47</v>
      </c>
      <c r="B188" s="35">
        <f t="shared" ref="B188:J188" si="128">B169/B$172</f>
        <v>0.006999465489</v>
      </c>
      <c r="C188" s="35">
        <f t="shared" si="128"/>
        <v>0.006603510318</v>
      </c>
      <c r="D188" s="35">
        <f t="shared" si="128"/>
        <v>0.007027994196</v>
      </c>
      <c r="E188" s="35">
        <f t="shared" si="128"/>
        <v>0.007266305327</v>
      </c>
      <c r="F188" s="35">
        <f t="shared" si="128"/>
        <v>0.008996827914</v>
      </c>
      <c r="G188" s="35">
        <f t="shared" si="128"/>
        <v>0.01055533451</v>
      </c>
      <c r="H188" s="35">
        <f t="shared" si="128"/>
        <v>0.009750956076</v>
      </c>
      <c r="I188" s="35">
        <f t="shared" si="128"/>
        <v>0.009146194702</v>
      </c>
      <c r="J188" s="35">
        <f t="shared" si="128"/>
        <v>0.009247967336</v>
      </c>
      <c r="K188" s="37">
        <v>0.01</v>
      </c>
      <c r="L188" s="38">
        <f t="shared" ref="L188:P188" si="129">K188</f>
        <v>0.01</v>
      </c>
      <c r="M188" s="38">
        <f t="shared" si="129"/>
        <v>0.01</v>
      </c>
      <c r="N188" s="38">
        <f t="shared" si="129"/>
        <v>0.01</v>
      </c>
      <c r="O188" s="38">
        <f t="shared" si="129"/>
        <v>0.01</v>
      </c>
      <c r="P188" s="38">
        <f t="shared" si="129"/>
        <v>0.01</v>
      </c>
    </row>
    <row r="189" ht="15.75" customHeight="1">
      <c r="A189" s="1" t="s">
        <v>48</v>
      </c>
      <c r="B189" s="35">
        <f t="shared" ref="B189:J189" si="130">B170/B$172</f>
        <v>0.02099138649</v>
      </c>
      <c r="C189" s="35">
        <f t="shared" si="130"/>
        <v>0.0191349049</v>
      </c>
      <c r="D189" s="35">
        <f t="shared" si="130"/>
        <v>0.0167123171</v>
      </c>
      <c r="E189" s="35">
        <f t="shared" si="130"/>
        <v>0.01675409703</v>
      </c>
      <c r="F189" s="35">
        <f t="shared" si="130"/>
        <v>0.01194818927</v>
      </c>
      <c r="G189" s="35">
        <f t="shared" si="130"/>
        <v>0.01807537089</v>
      </c>
      <c r="H189" s="35">
        <f t="shared" si="130"/>
        <v>0.02295035198</v>
      </c>
      <c r="I189" s="35">
        <f t="shared" si="130"/>
        <v>0.01933959914</v>
      </c>
      <c r="J189" s="35">
        <f t="shared" si="130"/>
        <v>0.01567551259</v>
      </c>
      <c r="K189" s="37">
        <v>0.02</v>
      </c>
      <c r="L189" s="38">
        <f t="shared" ref="L189:P189" si="131">K189</f>
        <v>0.02</v>
      </c>
      <c r="M189" s="38">
        <f t="shared" si="131"/>
        <v>0.02</v>
      </c>
      <c r="N189" s="38">
        <f t="shared" si="131"/>
        <v>0.02</v>
      </c>
      <c r="O189" s="38">
        <f t="shared" si="131"/>
        <v>0.02</v>
      </c>
      <c r="P189" s="38">
        <f t="shared" si="131"/>
        <v>0.02</v>
      </c>
    </row>
    <row r="190" ht="15.75" customHeight="1">
      <c r="A190" s="5"/>
    </row>
    <row r="191" ht="15.75" customHeight="1">
      <c r="A191" s="18" t="s">
        <v>90</v>
      </c>
      <c r="B191" s="27">
        <f t="shared" ref="B191:P191" si="132">B156-B164</f>
        <v>-31437</v>
      </c>
      <c r="C191" s="27">
        <f t="shared" si="132"/>
        <v>-44623</v>
      </c>
      <c r="D191" s="27">
        <f t="shared" si="132"/>
        <v>-75925</v>
      </c>
      <c r="E191" s="27">
        <f t="shared" si="132"/>
        <v>-19756</v>
      </c>
      <c r="F191" s="27">
        <f t="shared" si="132"/>
        <v>-28938</v>
      </c>
      <c r="G191" s="27">
        <f t="shared" si="132"/>
        <v>-11640</v>
      </c>
      <c r="H191" s="27">
        <f t="shared" si="132"/>
        <v>-32723</v>
      </c>
      <c r="I191" s="27">
        <f t="shared" si="132"/>
        <v>-98460</v>
      </c>
      <c r="J191" s="27">
        <f t="shared" si="132"/>
        <v>-61454</v>
      </c>
      <c r="K191" s="54">
        <f t="shared" si="132"/>
        <v>-123536.7245</v>
      </c>
      <c r="L191" s="54">
        <f t="shared" si="132"/>
        <v>-144336.89</v>
      </c>
      <c r="M191" s="54">
        <f t="shared" si="132"/>
        <v>-168700.3771</v>
      </c>
      <c r="N191" s="54">
        <f t="shared" si="132"/>
        <v>-197244.7616</v>
      </c>
      <c r="O191" s="54">
        <f t="shared" si="132"/>
        <v>-230695.4726</v>
      </c>
      <c r="P191" s="54">
        <f t="shared" si="132"/>
        <v>-269904.7205</v>
      </c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ht="15.75" customHeight="1">
      <c r="A192" s="1" t="s">
        <v>91</v>
      </c>
      <c r="C192" s="19">
        <f t="shared" ref="C192:P192" si="133">C191-B191</f>
        <v>-13186</v>
      </c>
      <c r="D192" s="19">
        <f t="shared" si="133"/>
        <v>-31302</v>
      </c>
      <c r="E192" s="19">
        <f t="shared" si="133"/>
        <v>56169</v>
      </c>
      <c r="F192" s="19">
        <f t="shared" si="133"/>
        <v>-9182</v>
      </c>
      <c r="G192" s="19">
        <f t="shared" si="133"/>
        <v>17298</v>
      </c>
      <c r="H192" s="19">
        <f t="shared" si="133"/>
        <v>-21083</v>
      </c>
      <c r="I192" s="19">
        <f t="shared" si="133"/>
        <v>-65737</v>
      </c>
      <c r="J192" s="19">
        <f t="shared" si="133"/>
        <v>37006</v>
      </c>
      <c r="K192" s="25">
        <f t="shared" si="133"/>
        <v>-62082.72448</v>
      </c>
      <c r="L192" s="25">
        <f t="shared" si="133"/>
        <v>-20800.16549</v>
      </c>
      <c r="M192" s="25">
        <f t="shared" si="133"/>
        <v>-24363.48712</v>
      </c>
      <c r="N192" s="25">
        <f t="shared" si="133"/>
        <v>-28544.38454</v>
      </c>
      <c r="O192" s="25">
        <f t="shared" si="133"/>
        <v>-33450.71097</v>
      </c>
      <c r="P192" s="25">
        <f t="shared" si="133"/>
        <v>-39209.2479</v>
      </c>
    </row>
    <row r="193" ht="15.75" customHeight="1">
      <c r="A193" s="5"/>
    </row>
    <row r="194" ht="15.75" customHeight="1">
      <c r="A194" s="5"/>
    </row>
    <row r="195" ht="15.75" customHeight="1">
      <c r="A195" s="5"/>
    </row>
    <row r="196" ht="15.75" customHeight="1">
      <c r="A196" s="18" t="s">
        <v>92</v>
      </c>
    </row>
    <row r="197" ht="15.75" customHeight="1">
      <c r="A197" s="5" t="s">
        <v>93</v>
      </c>
      <c r="B197" s="19">
        <f t="shared" ref="B197:J197" si="134">sum(B69,B71,B73)</f>
        <v>131896</v>
      </c>
      <c r="C197" s="19">
        <f t="shared" si="134"/>
        <v>141900</v>
      </c>
      <c r="D197" s="19">
        <f t="shared" si="134"/>
        <v>152092</v>
      </c>
      <c r="E197" s="19">
        <f t="shared" si="134"/>
        <v>165931</v>
      </c>
      <c r="F197" s="19">
        <f t="shared" si="134"/>
        <v>167529</v>
      </c>
      <c r="G197" s="19">
        <f t="shared" si="134"/>
        <v>159638</v>
      </c>
      <c r="H197" s="19">
        <f t="shared" si="134"/>
        <v>160435</v>
      </c>
      <c r="I197" s="19">
        <f t="shared" si="134"/>
        <v>314476</v>
      </c>
      <c r="J197" s="19">
        <f t="shared" si="134"/>
        <v>349154</v>
      </c>
    </row>
    <row r="198" ht="15.75" customHeight="1">
      <c r="A198" s="5" t="s">
        <v>94</v>
      </c>
      <c r="B198" s="19">
        <f t="shared" ref="B198:J198" si="135">sum(B70,B72)</f>
        <v>3469</v>
      </c>
      <c r="C198" s="19">
        <f t="shared" si="135"/>
        <v>3730</v>
      </c>
      <c r="D198" s="19">
        <f t="shared" si="135"/>
        <v>3117</v>
      </c>
      <c r="E198" s="19">
        <f t="shared" si="135"/>
        <v>4511</v>
      </c>
      <c r="F198" s="19">
        <f t="shared" si="135"/>
        <v>4067</v>
      </c>
      <c r="G198" s="19">
        <f t="shared" si="135"/>
        <v>5217</v>
      </c>
      <c r="H198" s="19">
        <f t="shared" si="135"/>
        <v>6402</v>
      </c>
      <c r="I198" s="19">
        <f t="shared" si="135"/>
        <v>6368</v>
      </c>
      <c r="J198" s="19">
        <f t="shared" si="135"/>
        <v>6842</v>
      </c>
    </row>
    <row r="199" ht="15.75" customHeight="1">
      <c r="A199" s="17" t="s">
        <v>49</v>
      </c>
      <c r="B199" s="27">
        <f t="shared" ref="B199:J199" si="136">sum(B197:B198)</f>
        <v>135365</v>
      </c>
      <c r="C199" s="27">
        <f t="shared" si="136"/>
        <v>145630</v>
      </c>
      <c r="D199" s="27">
        <f t="shared" si="136"/>
        <v>155209</v>
      </c>
      <c r="E199" s="27">
        <f t="shared" si="136"/>
        <v>170442</v>
      </c>
      <c r="F199" s="27">
        <f t="shared" si="136"/>
        <v>171596</v>
      </c>
      <c r="G199" s="27">
        <f t="shared" si="136"/>
        <v>164855</v>
      </c>
      <c r="H199" s="27">
        <f t="shared" si="136"/>
        <v>166837</v>
      </c>
      <c r="I199" s="27">
        <f t="shared" si="136"/>
        <v>320844</v>
      </c>
      <c r="J199" s="27">
        <f t="shared" si="136"/>
        <v>355996</v>
      </c>
      <c r="K199" s="34">
        <f t="shared" ref="K199:P199" si="137">(K201*K95)/10^6</f>
        <v>408000</v>
      </c>
      <c r="L199" s="34">
        <f t="shared" si="137"/>
        <v>456000</v>
      </c>
      <c r="M199" s="34">
        <f t="shared" si="137"/>
        <v>504000</v>
      </c>
      <c r="N199" s="34">
        <f t="shared" si="137"/>
        <v>552000</v>
      </c>
      <c r="O199" s="34">
        <f t="shared" si="137"/>
        <v>600000</v>
      </c>
      <c r="P199" s="34">
        <f t="shared" si="137"/>
        <v>648000</v>
      </c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ht="15.75" customHeight="1">
      <c r="A200" s="5"/>
    </row>
    <row r="201" ht="15.75" customHeight="1">
      <c r="A201" s="17" t="s">
        <v>95</v>
      </c>
      <c r="B201" s="27">
        <f t="shared" ref="B201:J201" si="138">(B199/B95)*10^6</f>
        <v>90243.33333</v>
      </c>
      <c r="C201" s="27">
        <f t="shared" si="138"/>
        <v>93954.83871</v>
      </c>
      <c r="D201" s="27">
        <f t="shared" si="138"/>
        <v>99492.94872</v>
      </c>
      <c r="E201" s="27">
        <f t="shared" si="138"/>
        <v>107874.6835</v>
      </c>
      <c r="F201" s="27">
        <f t="shared" si="138"/>
        <v>85798</v>
      </c>
      <c r="G201" s="27">
        <f t="shared" si="138"/>
        <v>73268.88889</v>
      </c>
      <c r="H201" s="27">
        <f t="shared" si="138"/>
        <v>74149.77778</v>
      </c>
      <c r="I201" s="27">
        <f t="shared" si="138"/>
        <v>142597.3333</v>
      </c>
      <c r="J201" s="27">
        <f t="shared" si="138"/>
        <v>158220.4444</v>
      </c>
      <c r="K201" s="20">
        <v>160000.0</v>
      </c>
      <c r="L201" s="116">
        <f t="shared" ref="L201:P201" si="139">K201</f>
        <v>160000</v>
      </c>
      <c r="M201" s="116">
        <f t="shared" si="139"/>
        <v>160000</v>
      </c>
      <c r="N201" s="116">
        <f t="shared" si="139"/>
        <v>160000</v>
      </c>
      <c r="O201" s="116">
        <f t="shared" si="139"/>
        <v>160000</v>
      </c>
      <c r="P201" s="116">
        <f t="shared" si="139"/>
        <v>160000</v>
      </c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ht="15.75" customHeight="1">
      <c r="A202" s="5"/>
    </row>
    <row r="203" ht="15.75" customHeight="1">
      <c r="A203" s="5" t="s">
        <v>96</v>
      </c>
      <c r="K203" s="44">
        <f t="shared" ref="K203:P203" si="140">(K201*K96)/10^6</f>
        <v>48000</v>
      </c>
      <c r="L203" s="44">
        <f t="shared" si="140"/>
        <v>48000</v>
      </c>
      <c r="M203" s="44">
        <f t="shared" si="140"/>
        <v>48000</v>
      </c>
      <c r="N203" s="44">
        <f t="shared" si="140"/>
        <v>48000</v>
      </c>
      <c r="O203" s="44">
        <f t="shared" si="140"/>
        <v>48000</v>
      </c>
      <c r="P203" s="44">
        <f t="shared" si="140"/>
        <v>48000</v>
      </c>
    </row>
    <row r="204" ht="15.75" customHeight="1">
      <c r="A204" s="5" t="s">
        <v>97</v>
      </c>
      <c r="K204" s="19">
        <f t="shared" ref="K204:P204" si="141">J207</f>
        <v>52558</v>
      </c>
      <c r="L204" s="44">
        <f t="shared" si="141"/>
        <v>61200</v>
      </c>
      <c r="M204" s="44">
        <f t="shared" si="141"/>
        <v>68400</v>
      </c>
      <c r="N204" s="44">
        <f t="shared" si="141"/>
        <v>75600</v>
      </c>
      <c r="O204" s="44">
        <f t="shared" si="141"/>
        <v>82800</v>
      </c>
      <c r="P204" s="44">
        <f t="shared" si="141"/>
        <v>90000</v>
      </c>
    </row>
    <row r="205" ht="15.75" customHeight="1">
      <c r="A205" s="5" t="s">
        <v>98</v>
      </c>
      <c r="K205" s="44">
        <f t="shared" ref="K205:P205" si="142">sum(K203:K204)</f>
        <v>100558</v>
      </c>
      <c r="L205" s="44">
        <f t="shared" si="142"/>
        <v>109200</v>
      </c>
      <c r="M205" s="44">
        <f t="shared" si="142"/>
        <v>116400</v>
      </c>
      <c r="N205" s="44">
        <f t="shared" si="142"/>
        <v>123600</v>
      </c>
      <c r="O205" s="44">
        <f t="shared" si="142"/>
        <v>130800</v>
      </c>
      <c r="P205" s="44">
        <f t="shared" si="142"/>
        <v>138000</v>
      </c>
    </row>
    <row r="206" ht="15.75" customHeight="1">
      <c r="A206" s="5"/>
    </row>
    <row r="207" ht="15.75" customHeight="1">
      <c r="A207" s="5" t="s">
        <v>99</v>
      </c>
      <c r="B207" s="19">
        <f t="shared" ref="B207:J207" si="143">B20</f>
        <v>28670</v>
      </c>
      <c r="C207" s="19">
        <f t="shared" si="143"/>
        <v>26039</v>
      </c>
      <c r="D207" s="19">
        <f t="shared" si="143"/>
        <v>27598</v>
      </c>
      <c r="E207" s="19">
        <f t="shared" si="143"/>
        <v>30208</v>
      </c>
      <c r="F207" s="19">
        <f t="shared" si="143"/>
        <v>35284</v>
      </c>
      <c r="G207" s="19">
        <f t="shared" si="143"/>
        <v>30341</v>
      </c>
      <c r="H207" s="19">
        <f t="shared" si="143"/>
        <v>27890</v>
      </c>
      <c r="I207" s="19">
        <f t="shared" si="143"/>
        <v>48460</v>
      </c>
      <c r="J207" s="19">
        <f t="shared" si="143"/>
        <v>52558</v>
      </c>
      <c r="K207" s="44">
        <f t="shared" ref="K207:P207" si="144">K199*K208</f>
        <v>61200</v>
      </c>
      <c r="L207" s="44">
        <f t="shared" si="144"/>
        <v>68400</v>
      </c>
      <c r="M207" s="44">
        <f t="shared" si="144"/>
        <v>75600</v>
      </c>
      <c r="N207" s="44">
        <f t="shared" si="144"/>
        <v>82800</v>
      </c>
      <c r="O207" s="44">
        <f t="shared" si="144"/>
        <v>90000</v>
      </c>
      <c r="P207" s="44">
        <f t="shared" si="144"/>
        <v>97200</v>
      </c>
    </row>
    <row r="208" ht="15.75" customHeight="1">
      <c r="A208" s="5" t="s">
        <v>100</v>
      </c>
      <c r="B208" s="155">
        <f t="shared" ref="B208:J208" si="145">B207/B199</f>
        <v>0.2117977321</v>
      </c>
      <c r="C208" s="155">
        <f t="shared" si="145"/>
        <v>0.1788024446</v>
      </c>
      <c r="D208" s="155">
        <f t="shared" si="145"/>
        <v>0.1778118537</v>
      </c>
      <c r="E208" s="155">
        <f t="shared" si="145"/>
        <v>0.177233311</v>
      </c>
      <c r="F208" s="155">
        <f t="shared" si="145"/>
        <v>0.2056225087</v>
      </c>
      <c r="G208" s="155">
        <f t="shared" si="145"/>
        <v>0.1840465864</v>
      </c>
      <c r="H208" s="155">
        <f t="shared" si="145"/>
        <v>0.1671691531</v>
      </c>
      <c r="I208" s="155">
        <f t="shared" si="145"/>
        <v>0.1510391343</v>
      </c>
      <c r="J208" s="155">
        <f t="shared" si="145"/>
        <v>0.1476364903</v>
      </c>
      <c r="K208" s="37">
        <v>0.15</v>
      </c>
      <c r="L208" s="38">
        <f t="shared" ref="L208:P208" si="146">K208</f>
        <v>0.15</v>
      </c>
      <c r="M208" s="38">
        <f t="shared" si="146"/>
        <v>0.15</v>
      </c>
      <c r="N208" s="38">
        <f t="shared" si="146"/>
        <v>0.15</v>
      </c>
      <c r="O208" s="38">
        <f t="shared" si="146"/>
        <v>0.15</v>
      </c>
      <c r="P208" s="38">
        <f t="shared" si="146"/>
        <v>0.15</v>
      </c>
    </row>
    <row r="209" ht="15.75" customHeight="1">
      <c r="A209" s="1"/>
    </row>
    <row r="210" ht="15.75" customHeight="1">
      <c r="A210" s="121" t="s">
        <v>115</v>
      </c>
    </row>
    <row r="211" ht="15.75" customHeight="1">
      <c r="A211" s="29" t="s">
        <v>116</v>
      </c>
      <c r="B211" s="19">
        <f t="shared" ref="B211:P211" si="147">B36</f>
        <v>46988</v>
      </c>
      <c r="C211" s="19">
        <f t="shared" si="147"/>
        <v>77326</v>
      </c>
      <c r="D211" s="19">
        <f t="shared" si="147"/>
        <v>82118</v>
      </c>
      <c r="E211" s="19">
        <f t="shared" si="147"/>
        <v>74103</v>
      </c>
      <c r="F211" s="19">
        <f t="shared" si="147"/>
        <v>52359</v>
      </c>
      <c r="G211" s="19">
        <f t="shared" si="147"/>
        <v>49027</v>
      </c>
      <c r="H211" s="19">
        <f t="shared" si="147"/>
        <v>41924</v>
      </c>
      <c r="I211" s="19">
        <f t="shared" si="147"/>
        <v>83223</v>
      </c>
      <c r="J211" s="19">
        <f t="shared" si="147"/>
        <v>137551</v>
      </c>
      <c r="K211" s="25">
        <f t="shared" si="147"/>
        <v>170690.0114</v>
      </c>
      <c r="L211" s="25">
        <f t="shared" si="147"/>
        <v>198731.1173</v>
      </c>
      <c r="M211" s="25">
        <f t="shared" si="147"/>
        <v>232439.4196</v>
      </c>
      <c r="N211" s="25">
        <f t="shared" si="147"/>
        <v>272797.1261</v>
      </c>
      <c r="O211" s="25">
        <f t="shared" si="147"/>
        <v>320957.9775</v>
      </c>
      <c r="P211" s="25">
        <f t="shared" si="147"/>
        <v>378277.3508</v>
      </c>
    </row>
    <row r="212" ht="15.75" customHeight="1">
      <c r="A212" s="29" t="s">
        <v>117</v>
      </c>
      <c r="B212" s="19">
        <f t="shared" ref="B212:P212" si="148">B20</f>
        <v>28670</v>
      </c>
      <c r="C212" s="19">
        <f t="shared" si="148"/>
        <v>26039</v>
      </c>
      <c r="D212" s="19">
        <f t="shared" si="148"/>
        <v>27598</v>
      </c>
      <c r="E212" s="19">
        <f t="shared" si="148"/>
        <v>30208</v>
      </c>
      <c r="F212" s="19">
        <f t="shared" si="148"/>
        <v>35284</v>
      </c>
      <c r="G212" s="19">
        <f t="shared" si="148"/>
        <v>30341</v>
      </c>
      <c r="H212" s="19">
        <f t="shared" si="148"/>
        <v>27890</v>
      </c>
      <c r="I212" s="19">
        <f t="shared" si="148"/>
        <v>48460</v>
      </c>
      <c r="J212" s="19">
        <f t="shared" si="148"/>
        <v>52558</v>
      </c>
      <c r="K212" s="44">
        <f t="shared" si="148"/>
        <v>61200</v>
      </c>
      <c r="L212" s="44">
        <f t="shared" si="148"/>
        <v>68400</v>
      </c>
      <c r="M212" s="44">
        <f t="shared" si="148"/>
        <v>75600</v>
      </c>
      <c r="N212" s="44">
        <f t="shared" si="148"/>
        <v>82800</v>
      </c>
      <c r="O212" s="44">
        <f t="shared" si="148"/>
        <v>90000</v>
      </c>
      <c r="P212" s="44">
        <f t="shared" si="148"/>
        <v>97200</v>
      </c>
    </row>
    <row r="213" ht="15.75" customHeight="1">
      <c r="A213" s="29" t="s">
        <v>118</v>
      </c>
      <c r="B213" s="15">
        <v>0.0</v>
      </c>
      <c r="C213" s="15">
        <v>0.0</v>
      </c>
      <c r="D213" s="15">
        <v>0.0</v>
      </c>
      <c r="E213" s="15">
        <v>0.0</v>
      </c>
      <c r="F213" s="15">
        <v>0.0</v>
      </c>
      <c r="G213" s="15">
        <v>0.0</v>
      </c>
      <c r="H213" s="15">
        <v>0.0</v>
      </c>
      <c r="I213" s="15">
        <v>0.0</v>
      </c>
      <c r="J213" s="15">
        <v>0.0</v>
      </c>
      <c r="K213" s="15">
        <v>0.0</v>
      </c>
      <c r="L213" s="15">
        <v>0.0</v>
      </c>
      <c r="M213" s="15">
        <v>0.0</v>
      </c>
      <c r="N213" s="15">
        <v>0.0</v>
      </c>
      <c r="O213" s="15">
        <v>0.0</v>
      </c>
      <c r="P213" s="15">
        <v>0.0</v>
      </c>
    </row>
    <row r="214" ht="15.75" customHeight="1">
      <c r="A214" s="29" t="s">
        <v>119</v>
      </c>
      <c r="C214" s="19">
        <f t="shared" ref="C214:P214" si="149">C192</f>
        <v>-13186</v>
      </c>
      <c r="D214" s="19">
        <f t="shared" si="149"/>
        <v>-31302</v>
      </c>
      <c r="E214" s="19">
        <f t="shared" si="149"/>
        <v>56169</v>
      </c>
      <c r="F214" s="19">
        <f t="shared" si="149"/>
        <v>-9182</v>
      </c>
      <c r="G214" s="19">
        <f t="shared" si="149"/>
        <v>17298</v>
      </c>
      <c r="H214" s="19">
        <f t="shared" si="149"/>
        <v>-21083</v>
      </c>
      <c r="I214" s="19">
        <f t="shared" si="149"/>
        <v>-65737</v>
      </c>
      <c r="J214" s="19">
        <f t="shared" si="149"/>
        <v>37006</v>
      </c>
      <c r="K214" s="25">
        <f t="shared" si="149"/>
        <v>-62082.72448</v>
      </c>
      <c r="L214" s="25">
        <f t="shared" si="149"/>
        <v>-20800.16549</v>
      </c>
      <c r="M214" s="25">
        <f t="shared" si="149"/>
        <v>-24363.48712</v>
      </c>
      <c r="N214" s="25">
        <f t="shared" si="149"/>
        <v>-28544.38454</v>
      </c>
      <c r="O214" s="25">
        <f t="shared" si="149"/>
        <v>-33450.71097</v>
      </c>
      <c r="P214" s="25">
        <f t="shared" si="149"/>
        <v>-39209.2479</v>
      </c>
    </row>
    <row r="215" ht="15.75" customHeight="1">
      <c r="A215" s="29" t="s">
        <v>120</v>
      </c>
      <c r="K215" s="44">
        <f t="shared" ref="K215:P215" si="150">K205</f>
        <v>100558</v>
      </c>
      <c r="L215" s="44">
        <f t="shared" si="150"/>
        <v>109200</v>
      </c>
      <c r="M215" s="44">
        <f t="shared" si="150"/>
        <v>116400</v>
      </c>
      <c r="N215" s="44">
        <f t="shared" si="150"/>
        <v>123600</v>
      </c>
      <c r="O215" s="44">
        <f t="shared" si="150"/>
        <v>130800</v>
      </c>
      <c r="P215" s="44">
        <f t="shared" si="150"/>
        <v>138000</v>
      </c>
    </row>
    <row r="216" ht="15.75" customHeight="1">
      <c r="A216" s="1"/>
    </row>
    <row r="217" ht="15.75" customHeight="1">
      <c r="A217" s="29" t="s">
        <v>121</v>
      </c>
      <c r="B217" s="114"/>
      <c r="C217" s="114"/>
      <c r="D217" s="114"/>
      <c r="E217" s="114"/>
      <c r="F217" s="114"/>
      <c r="G217" s="114"/>
      <c r="H217" s="114"/>
      <c r="I217" s="114"/>
      <c r="J217" s="114"/>
      <c r="K217" s="19">
        <f t="shared" ref="K217:P217" si="151">J219</f>
        <v>28274</v>
      </c>
      <c r="L217" s="19">
        <f t="shared" si="151"/>
        <v>221688.7359</v>
      </c>
      <c r="M217" s="19">
        <f t="shared" si="151"/>
        <v>400420.0187</v>
      </c>
      <c r="N217" s="19">
        <f t="shared" si="151"/>
        <v>616422.9254</v>
      </c>
      <c r="O217" s="19">
        <f t="shared" si="151"/>
        <v>876964.436</v>
      </c>
      <c r="P217" s="19">
        <f t="shared" si="151"/>
        <v>1190573.125</v>
      </c>
    </row>
    <row r="218" ht="15.75" customHeight="1">
      <c r="A218" s="29" t="s">
        <v>122</v>
      </c>
      <c r="B218" s="114"/>
      <c r="C218" s="114"/>
      <c r="D218" s="114"/>
      <c r="E218" s="114"/>
      <c r="F218" s="114"/>
      <c r="G218" s="114"/>
      <c r="H218" s="114"/>
      <c r="I218" s="114"/>
      <c r="J218" s="114"/>
      <c r="K218" s="25">
        <f t="shared" ref="K218:P218" si="152">K211+K212+K213-K214-K215</f>
        <v>193414.7359</v>
      </c>
      <c r="L218" s="25">
        <f t="shared" si="152"/>
        <v>178731.2828</v>
      </c>
      <c r="M218" s="25">
        <f t="shared" si="152"/>
        <v>216002.9067</v>
      </c>
      <c r="N218" s="25">
        <f t="shared" si="152"/>
        <v>260541.5106</v>
      </c>
      <c r="O218" s="25">
        <f t="shared" si="152"/>
        <v>313608.6885</v>
      </c>
      <c r="P218" s="25">
        <f t="shared" si="152"/>
        <v>376686.5987</v>
      </c>
      <c r="Q218" s="25">
        <f t="shared" ref="Q218:V218" si="153">P218*(1+Q220)</f>
        <v>443034.565</v>
      </c>
      <c r="R218" s="25">
        <f t="shared" si="153"/>
        <v>509992.9142</v>
      </c>
      <c r="S218" s="25">
        <f t="shared" si="153"/>
        <v>574321.239</v>
      </c>
      <c r="T218" s="25">
        <f t="shared" si="153"/>
        <v>632405.6326</v>
      </c>
      <c r="U218" s="25">
        <f t="shared" si="153"/>
        <v>680554.2925</v>
      </c>
      <c r="V218" s="25">
        <f t="shared" si="153"/>
        <v>715354.9281</v>
      </c>
      <c r="W218" s="25">
        <f>V218*(1+W220)/(B225-W220)</f>
        <v>14593240.53</v>
      </c>
      <c r="X218" s="25"/>
    </row>
    <row r="219" ht="15.75" customHeight="1">
      <c r="A219" s="121" t="s">
        <v>123</v>
      </c>
      <c r="B219" s="114"/>
      <c r="C219" s="114"/>
      <c r="D219" s="114"/>
      <c r="E219" s="114"/>
      <c r="F219" s="114"/>
      <c r="G219" s="114"/>
      <c r="H219" s="114"/>
      <c r="I219" s="114"/>
      <c r="J219" s="123">
        <f>J85</f>
        <v>28274</v>
      </c>
      <c r="K219" s="27">
        <f t="shared" ref="K219:P219" si="154">sum(K217:K218)</f>
        <v>221688.7359</v>
      </c>
      <c r="L219" s="27">
        <f t="shared" si="154"/>
        <v>400420.0187</v>
      </c>
      <c r="M219" s="27">
        <f t="shared" si="154"/>
        <v>616422.9254</v>
      </c>
      <c r="N219" s="27">
        <f t="shared" si="154"/>
        <v>876964.436</v>
      </c>
      <c r="O219" s="27">
        <f t="shared" si="154"/>
        <v>1190573.125</v>
      </c>
      <c r="P219" s="27">
        <f t="shared" si="154"/>
        <v>1567259.723</v>
      </c>
    </row>
    <row r="220" ht="15.75" customHeight="1">
      <c r="A220" s="29" t="s">
        <v>124</v>
      </c>
      <c r="B220" s="114"/>
      <c r="C220" s="114"/>
      <c r="D220" s="114"/>
      <c r="E220" s="114"/>
      <c r="F220" s="114"/>
      <c r="G220" s="114"/>
      <c r="H220" s="114"/>
      <c r="I220" s="114"/>
      <c r="J220" s="114"/>
      <c r="L220" s="39">
        <f t="shared" ref="L220:P220" si="155">L218/K218-1</f>
        <v>-0.07591693042</v>
      </c>
      <c r="M220" s="39">
        <f t="shared" si="155"/>
        <v>0.208534417</v>
      </c>
      <c r="N220" s="39">
        <f t="shared" si="155"/>
        <v>0.2061944659</v>
      </c>
      <c r="O220" s="39">
        <f t="shared" si="155"/>
        <v>0.2036803185</v>
      </c>
      <c r="P220" s="39">
        <f t="shared" si="155"/>
        <v>0.2011357227</v>
      </c>
      <c r="Q220" s="35">
        <f t="shared" ref="Q220:V220" si="156">P220-$B$224</f>
        <v>0.1761357227</v>
      </c>
      <c r="R220" s="35">
        <f t="shared" si="156"/>
        <v>0.1511357227</v>
      </c>
      <c r="S220" s="35">
        <f t="shared" si="156"/>
        <v>0.1261357227</v>
      </c>
      <c r="T220" s="35">
        <f t="shared" si="156"/>
        <v>0.1011357227</v>
      </c>
      <c r="U220" s="35">
        <f t="shared" si="156"/>
        <v>0.07613572271</v>
      </c>
      <c r="V220" s="35">
        <f t="shared" si="156"/>
        <v>0.05113572271</v>
      </c>
      <c r="W220" s="35">
        <f>B223</f>
        <v>0.02</v>
      </c>
    </row>
    <row r="221" ht="15.75" customHeight="1">
      <c r="A221" s="1"/>
    </row>
    <row r="222" ht="15.75" customHeight="1">
      <c r="A222" s="1"/>
    </row>
    <row r="223" ht="15.75" customHeight="1">
      <c r="A223" s="29" t="s">
        <v>125</v>
      </c>
      <c r="B223" s="37">
        <v>0.02</v>
      </c>
    </row>
    <row r="224" ht="15.75" customHeight="1">
      <c r="A224" s="29" t="s">
        <v>126</v>
      </c>
      <c r="B224" s="37">
        <v>0.025</v>
      </c>
    </row>
    <row r="225" ht="15.75" customHeight="1">
      <c r="A225" s="29" t="s">
        <v>127</v>
      </c>
      <c r="B225" s="35">
        <f>sum(B226:B227)</f>
        <v>0.07</v>
      </c>
    </row>
    <row r="226" ht="15.75" customHeight="1">
      <c r="A226" s="29" t="s">
        <v>128</v>
      </c>
      <c r="B226" s="37">
        <v>0.07</v>
      </c>
    </row>
    <row r="227" ht="15.75" customHeight="1">
      <c r="A227" s="29" t="s">
        <v>129</v>
      </c>
      <c r="B227" s="44">
        <f>(12%-7%)*B228</f>
        <v>0</v>
      </c>
    </row>
    <row r="228" ht="15.75" customHeight="1">
      <c r="A228" s="29" t="s">
        <v>130</v>
      </c>
      <c r="B228" s="124">
        <v>0.0</v>
      </c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>
      <c r="A403" s="1"/>
    </row>
    <row r="404" ht="15.75" customHeight="1">
      <c r="A404" s="1"/>
    </row>
    <row r="405" ht="15.75" customHeight="1">
      <c r="A405" s="1"/>
    </row>
    <row r="406" ht="15.75" customHeight="1">
      <c r="A406" s="1"/>
    </row>
    <row r="407" ht="15.75" customHeight="1">
      <c r="A407" s="1"/>
    </row>
    <row r="408" ht="15.75" customHeight="1">
      <c r="A408" s="1"/>
    </row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29" t="s">
        <v>176</v>
      </c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  <c r="K3" s="19">
        <f t="shared" ref="K3:P3" si="2">(K100*K120)/10^6</f>
        <v>1745621.281</v>
      </c>
      <c r="L3" s="19">
        <f t="shared" si="2"/>
        <v>2039535.594</v>
      </c>
      <c r="M3" s="19">
        <f t="shared" si="2"/>
        <v>2383801.008</v>
      </c>
      <c r="N3" s="19">
        <f t="shared" si="2"/>
        <v>2787144.105</v>
      </c>
      <c r="O3" s="19">
        <f t="shared" si="2"/>
        <v>3259815.476</v>
      </c>
      <c r="P3" s="19">
        <f t="shared" si="2"/>
        <v>3813857.181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  <c r="K4" s="20">
        <v>20000.0</v>
      </c>
      <c r="L4" s="21">
        <f t="shared" ref="L4:P4" si="3">K4</f>
        <v>20000</v>
      </c>
      <c r="M4" s="21">
        <f t="shared" si="3"/>
        <v>20000</v>
      </c>
      <c r="N4" s="21">
        <f t="shared" si="3"/>
        <v>20000</v>
      </c>
      <c r="O4" s="21">
        <f t="shared" si="3"/>
        <v>20000</v>
      </c>
      <c r="P4" s="21">
        <f t="shared" si="3"/>
        <v>20000</v>
      </c>
    </row>
    <row r="5" ht="15.75" customHeight="1">
      <c r="A5" s="7"/>
    </row>
    <row r="6" ht="15.75" customHeight="1">
      <c r="A6" s="8" t="s">
        <v>3</v>
      </c>
      <c r="B6" s="9">
        <f t="shared" ref="B6:P6" si="4">SUM(B3:B4)</f>
        <v>586120</v>
      </c>
      <c r="C6" s="9">
        <f t="shared" si="4"/>
        <v>703746</v>
      </c>
      <c r="D6" s="9">
        <f t="shared" si="4"/>
        <v>818552</v>
      </c>
      <c r="E6" s="9">
        <f t="shared" si="4"/>
        <v>886301</v>
      </c>
      <c r="F6" s="9">
        <f t="shared" si="4"/>
        <v>789944</v>
      </c>
      <c r="G6" s="9">
        <f t="shared" si="4"/>
        <v>733083</v>
      </c>
      <c r="H6" s="9">
        <f t="shared" si="4"/>
        <v>900745</v>
      </c>
      <c r="I6" s="9">
        <f t="shared" si="4"/>
        <v>1206746</v>
      </c>
      <c r="J6" s="9">
        <f t="shared" si="4"/>
        <v>1459517</v>
      </c>
      <c r="K6" s="9">
        <f t="shared" si="4"/>
        <v>1765621.281</v>
      </c>
      <c r="L6" s="9">
        <f t="shared" si="4"/>
        <v>2059535.594</v>
      </c>
      <c r="M6" s="9">
        <f t="shared" si="4"/>
        <v>2403801.008</v>
      </c>
      <c r="N6" s="9">
        <f t="shared" si="4"/>
        <v>2807144.105</v>
      </c>
      <c r="O6" s="9">
        <f t="shared" si="4"/>
        <v>3279815.476</v>
      </c>
      <c r="P6" s="9">
        <f t="shared" si="4"/>
        <v>3833857.181</v>
      </c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  <c r="K9" s="22">
        <f t="shared" ref="K9:P9" si="5">K$3*K125</f>
        <v>1047372.768</v>
      </c>
      <c r="L9" s="22">
        <f t="shared" si="5"/>
        <v>1223721.356</v>
      </c>
      <c r="M9" s="22">
        <f t="shared" si="5"/>
        <v>1430280.605</v>
      </c>
      <c r="N9" s="22">
        <f t="shared" si="5"/>
        <v>1672286.463</v>
      </c>
      <c r="O9" s="22">
        <f t="shared" si="5"/>
        <v>1955889.286</v>
      </c>
      <c r="P9" s="22">
        <f t="shared" si="5"/>
        <v>2288314.309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  <c r="K10" s="22">
        <f t="shared" ref="K10:P10" si="6">K$3*K126</f>
        <v>139649.7024</v>
      </c>
      <c r="L10" s="22">
        <f t="shared" si="6"/>
        <v>163162.8475</v>
      </c>
      <c r="M10" s="22">
        <f t="shared" si="6"/>
        <v>190704.0806</v>
      </c>
      <c r="N10" s="22">
        <f t="shared" si="6"/>
        <v>222971.5284</v>
      </c>
      <c r="O10" s="22">
        <f t="shared" si="6"/>
        <v>260785.2381</v>
      </c>
      <c r="P10" s="22">
        <f t="shared" si="6"/>
        <v>305108.5745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  <c r="K11" s="22">
        <f t="shared" ref="K11:P11" si="7">K$3*K127</f>
        <v>-4658.822802</v>
      </c>
      <c r="L11" s="22">
        <f t="shared" si="7"/>
        <v>-5443.239628</v>
      </c>
      <c r="M11" s="22">
        <f t="shared" si="7"/>
        <v>-6362.036607</v>
      </c>
      <c r="N11" s="22">
        <f t="shared" si="7"/>
        <v>-7438.503788</v>
      </c>
      <c r="O11" s="22">
        <f t="shared" si="7"/>
        <v>-8699.998584</v>
      </c>
      <c r="P11" s="22">
        <f t="shared" si="7"/>
        <v>-10178.6596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  <c r="K12" s="22">
        <f t="shared" ref="K12:P12" si="8">K$3*K128</f>
        <v>69824.85122</v>
      </c>
      <c r="L12" s="22">
        <f t="shared" si="8"/>
        <v>81581.42375</v>
      </c>
      <c r="M12" s="22">
        <f t="shared" si="8"/>
        <v>95352.0403</v>
      </c>
      <c r="N12" s="22">
        <f t="shared" si="8"/>
        <v>111485.7642</v>
      </c>
      <c r="O12" s="22">
        <f t="shared" si="8"/>
        <v>130392.619</v>
      </c>
      <c r="P12" s="22">
        <f t="shared" si="8"/>
        <v>152554.2873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  <c r="K13" s="22">
        <f t="shared" ref="K13:P13" si="9">K$3*K129</f>
        <v>215960.9246</v>
      </c>
      <c r="L13" s="22">
        <f t="shared" si="9"/>
        <v>252322.7675</v>
      </c>
      <c r="M13" s="22">
        <f t="shared" si="9"/>
        <v>294913.8369</v>
      </c>
      <c r="N13" s="22">
        <f t="shared" si="9"/>
        <v>344813.7489</v>
      </c>
      <c r="O13" s="22">
        <f t="shared" si="9"/>
        <v>403290.6634</v>
      </c>
      <c r="P13" s="22">
        <f t="shared" si="9"/>
        <v>471834.3735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  <c r="K14" s="22">
        <f t="shared" ref="K14:P14" si="10">K$3*K130</f>
        <v>-3208.016652</v>
      </c>
      <c r="L14" s="22">
        <f t="shared" si="10"/>
        <v>-3748.157874</v>
      </c>
      <c r="M14" s="22">
        <f t="shared" si="10"/>
        <v>-4380.831864</v>
      </c>
      <c r="N14" s="22">
        <f t="shared" si="10"/>
        <v>-5122.075905</v>
      </c>
      <c r="O14" s="22">
        <f t="shared" si="10"/>
        <v>-5990.728027</v>
      </c>
      <c r="P14" s="22">
        <f t="shared" si="10"/>
        <v>-7008.918534</v>
      </c>
    </row>
    <row r="15" ht="15.75" customHeight="1">
      <c r="A15" s="7"/>
    </row>
    <row r="16" ht="15.75" customHeight="1">
      <c r="A16" s="45" t="s">
        <v>109</v>
      </c>
      <c r="B16" s="13">
        <f t="shared" ref="B16:P16" si="11">SUM(B9:B14)</f>
        <v>494932</v>
      </c>
      <c r="C16" s="13">
        <f t="shared" si="11"/>
        <v>577269</v>
      </c>
      <c r="D16" s="13">
        <f t="shared" si="11"/>
        <v>677460</v>
      </c>
      <c r="E16" s="13">
        <f t="shared" si="11"/>
        <v>750653</v>
      </c>
      <c r="F16" s="13">
        <f t="shared" si="11"/>
        <v>683474</v>
      </c>
      <c r="G16" s="13">
        <f t="shared" si="11"/>
        <v>650204</v>
      </c>
      <c r="H16" s="13">
        <f t="shared" si="11"/>
        <v>826236</v>
      </c>
      <c r="I16" s="13">
        <f t="shared" si="11"/>
        <v>1053155</v>
      </c>
      <c r="J16" s="13">
        <f t="shared" si="11"/>
        <v>1233319</v>
      </c>
      <c r="K16" s="13">
        <f t="shared" si="11"/>
        <v>1464941.407</v>
      </c>
      <c r="L16" s="13">
        <f t="shared" si="11"/>
        <v>1711596.997</v>
      </c>
      <c r="M16" s="13">
        <f t="shared" si="11"/>
        <v>2000507.694</v>
      </c>
      <c r="N16" s="13">
        <f t="shared" si="11"/>
        <v>2338996.925</v>
      </c>
      <c r="O16" s="13">
        <f t="shared" si="11"/>
        <v>2735667.079</v>
      </c>
      <c r="P16" s="13">
        <f t="shared" si="11"/>
        <v>3200623.966</v>
      </c>
    </row>
    <row r="17" ht="15.75" customHeight="1">
      <c r="A17" s="7"/>
    </row>
    <row r="18" ht="15.75" customHeight="1">
      <c r="A18" s="113" t="s">
        <v>190</v>
      </c>
      <c r="B18" s="23">
        <f t="shared" ref="B18:P18" si="12">B6-B16</f>
        <v>91188</v>
      </c>
      <c r="C18" s="23">
        <f t="shared" si="12"/>
        <v>126477</v>
      </c>
      <c r="D18" s="23">
        <f t="shared" si="12"/>
        <v>141092</v>
      </c>
      <c r="E18" s="23">
        <f t="shared" si="12"/>
        <v>135648</v>
      </c>
      <c r="F18" s="23">
        <f t="shared" si="12"/>
        <v>106470</v>
      </c>
      <c r="G18" s="23">
        <f t="shared" si="12"/>
        <v>82879</v>
      </c>
      <c r="H18" s="23">
        <f t="shared" si="12"/>
        <v>74509</v>
      </c>
      <c r="I18" s="23">
        <f t="shared" si="12"/>
        <v>153591</v>
      </c>
      <c r="J18" s="23">
        <f t="shared" si="12"/>
        <v>226198</v>
      </c>
      <c r="K18" s="23">
        <f t="shared" si="12"/>
        <v>300679.8734</v>
      </c>
      <c r="L18" s="23">
        <f t="shared" si="12"/>
        <v>347938.5962</v>
      </c>
      <c r="M18" s="23">
        <f t="shared" si="12"/>
        <v>403293.3137</v>
      </c>
      <c r="N18" s="23">
        <f t="shared" si="12"/>
        <v>468147.1802</v>
      </c>
      <c r="O18" s="23">
        <f t="shared" si="12"/>
        <v>544148.3965</v>
      </c>
      <c r="P18" s="23">
        <f t="shared" si="12"/>
        <v>633233.2155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  <c r="K20" s="24"/>
      <c r="L20" s="24"/>
      <c r="M20" s="24"/>
      <c r="N20" s="24"/>
      <c r="O20" s="24"/>
      <c r="P20" s="24"/>
    </row>
    <row r="21" ht="15.75" customHeight="1">
      <c r="A21" s="7"/>
    </row>
    <row r="22" ht="15.75" customHeight="1">
      <c r="A22" s="4" t="s">
        <v>18</v>
      </c>
      <c r="B22" s="23">
        <f t="shared" ref="B22:P22" si="13">B18-B20</f>
        <v>62518</v>
      </c>
      <c r="C22" s="23">
        <f t="shared" si="13"/>
        <v>100438</v>
      </c>
      <c r="D22" s="23">
        <f t="shared" si="13"/>
        <v>113494</v>
      </c>
      <c r="E22" s="23">
        <f t="shared" si="13"/>
        <v>105440</v>
      </c>
      <c r="F22" s="23">
        <f t="shared" si="13"/>
        <v>71186</v>
      </c>
      <c r="G22" s="23">
        <f t="shared" si="13"/>
        <v>52538</v>
      </c>
      <c r="H22" s="23">
        <f t="shared" si="13"/>
        <v>46619</v>
      </c>
      <c r="I22" s="23">
        <f t="shared" si="13"/>
        <v>105131</v>
      </c>
      <c r="J22" s="23">
        <f t="shared" si="13"/>
        <v>173640</v>
      </c>
      <c r="K22" s="23">
        <f t="shared" si="13"/>
        <v>300679.8734</v>
      </c>
      <c r="L22" s="23">
        <f t="shared" si="13"/>
        <v>347938.5962</v>
      </c>
      <c r="M22" s="23">
        <f t="shared" si="13"/>
        <v>403293.3137</v>
      </c>
      <c r="N22" s="23">
        <f t="shared" si="13"/>
        <v>468147.1802</v>
      </c>
      <c r="O22" s="23">
        <f t="shared" si="13"/>
        <v>544148.3965</v>
      </c>
      <c r="P22" s="23">
        <f t="shared" si="13"/>
        <v>633233.2155</v>
      </c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  <c r="K24" s="20">
        <f t="shared" ref="K24:P24" si="14">J24</f>
        <v>1936</v>
      </c>
      <c r="L24" s="21">
        <f t="shared" si="14"/>
        <v>1936</v>
      </c>
      <c r="M24" s="21">
        <f t="shared" si="14"/>
        <v>1936</v>
      </c>
      <c r="N24" s="21">
        <f t="shared" si="14"/>
        <v>1936</v>
      </c>
      <c r="O24" s="21">
        <f t="shared" si="14"/>
        <v>1936</v>
      </c>
      <c r="P24" s="21">
        <f t="shared" si="14"/>
        <v>1936</v>
      </c>
    </row>
    <row r="25" ht="15.75" customHeight="1">
      <c r="A25" s="7"/>
    </row>
    <row r="26" ht="15.75" customHeight="1">
      <c r="A26" s="7" t="s">
        <v>23</v>
      </c>
      <c r="B26" s="6">
        <f t="shared" ref="B26:P26" si="15">B22-B24</f>
        <v>61581</v>
      </c>
      <c r="C26" s="6">
        <f t="shared" si="15"/>
        <v>99544</v>
      </c>
      <c r="D26" s="6">
        <f t="shared" si="15"/>
        <v>110036</v>
      </c>
      <c r="E26" s="6">
        <f t="shared" si="15"/>
        <v>104681</v>
      </c>
      <c r="F26" s="6">
        <f t="shared" si="15"/>
        <v>69844</v>
      </c>
      <c r="G26" s="6">
        <f t="shared" si="15"/>
        <v>51520</v>
      </c>
      <c r="H26" s="6">
        <f t="shared" si="15"/>
        <v>45353</v>
      </c>
      <c r="I26" s="6">
        <f t="shared" si="15"/>
        <v>102608</v>
      </c>
      <c r="J26" s="6">
        <f t="shared" si="15"/>
        <v>171704</v>
      </c>
      <c r="K26" s="6">
        <f t="shared" si="15"/>
        <v>298743.8734</v>
      </c>
      <c r="L26" s="6">
        <f t="shared" si="15"/>
        <v>346002.5962</v>
      </c>
      <c r="M26" s="6">
        <f t="shared" si="15"/>
        <v>401357.3137</v>
      </c>
      <c r="N26" s="6">
        <f t="shared" si="15"/>
        <v>466211.1802</v>
      </c>
      <c r="O26" s="6">
        <f t="shared" si="15"/>
        <v>542212.3965</v>
      </c>
      <c r="P26" s="6">
        <f t="shared" si="15"/>
        <v>631297.2155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  <c r="K27" s="20">
        <f t="shared" ref="K27:P27" si="16">J27</f>
        <v>2669</v>
      </c>
      <c r="L27" s="21">
        <f t="shared" si="16"/>
        <v>2669</v>
      </c>
      <c r="M27" s="21">
        <f t="shared" si="16"/>
        <v>2669</v>
      </c>
      <c r="N27" s="21">
        <f t="shared" si="16"/>
        <v>2669</v>
      </c>
      <c r="O27" s="21">
        <f t="shared" si="16"/>
        <v>2669</v>
      </c>
      <c r="P27" s="21">
        <f t="shared" si="16"/>
        <v>2669</v>
      </c>
    </row>
    <row r="28" ht="15.75" customHeight="1">
      <c r="A28" s="113" t="s">
        <v>179</v>
      </c>
      <c r="B28" s="23">
        <f t="shared" ref="B28:P28" si="17">SUM(B26:B27)</f>
        <v>66296</v>
      </c>
      <c r="C28" s="23">
        <f t="shared" si="17"/>
        <v>101272</v>
      </c>
      <c r="D28" s="23">
        <f t="shared" si="17"/>
        <v>111669</v>
      </c>
      <c r="E28" s="23">
        <f t="shared" si="17"/>
        <v>102651</v>
      </c>
      <c r="F28" s="23">
        <f t="shared" si="17"/>
        <v>65427</v>
      </c>
      <c r="G28" s="23">
        <f t="shared" si="17"/>
        <v>56656</v>
      </c>
      <c r="H28" s="23">
        <f t="shared" si="17"/>
        <v>48482</v>
      </c>
      <c r="I28" s="23">
        <f t="shared" si="17"/>
        <v>103194</v>
      </c>
      <c r="J28" s="23">
        <f t="shared" si="17"/>
        <v>174373</v>
      </c>
      <c r="K28" s="23">
        <f t="shared" si="17"/>
        <v>301412.8734</v>
      </c>
      <c r="L28" s="23">
        <f t="shared" si="17"/>
        <v>348671.5962</v>
      </c>
      <c r="M28" s="23">
        <f t="shared" si="17"/>
        <v>404026.3137</v>
      </c>
      <c r="N28" s="23">
        <f t="shared" si="17"/>
        <v>468880.1802</v>
      </c>
      <c r="O28" s="23">
        <f t="shared" si="17"/>
        <v>544881.3965</v>
      </c>
      <c r="P28" s="23">
        <f t="shared" si="17"/>
        <v>633966.2155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  <c r="K30" s="19">
        <f t="shared" ref="K30:P30" si="18">K28*K31</f>
        <v>90423.86202</v>
      </c>
      <c r="L30" s="19">
        <f t="shared" si="18"/>
        <v>104601.4789</v>
      </c>
      <c r="M30" s="19">
        <f t="shared" si="18"/>
        <v>121207.8941</v>
      </c>
      <c r="N30" s="19">
        <f t="shared" si="18"/>
        <v>140664.054</v>
      </c>
      <c r="O30" s="19">
        <f t="shared" si="18"/>
        <v>163464.4189</v>
      </c>
      <c r="P30" s="19">
        <f t="shared" si="18"/>
        <v>190189.8646</v>
      </c>
    </row>
    <row r="31" ht="15.75" customHeight="1">
      <c r="A31" s="7"/>
      <c r="B31" s="57"/>
      <c r="C31" s="57"/>
      <c r="D31" s="57"/>
      <c r="E31" s="57"/>
      <c r="F31" s="57"/>
      <c r="G31" s="57"/>
      <c r="H31" s="57"/>
      <c r="I31" s="57"/>
      <c r="J31" s="57"/>
      <c r="K31" s="37">
        <v>0.3</v>
      </c>
      <c r="L31" s="38">
        <f t="shared" ref="L31:P31" si="19">K31</f>
        <v>0.3</v>
      </c>
      <c r="M31" s="38">
        <f t="shared" si="19"/>
        <v>0.3</v>
      </c>
      <c r="N31" s="38">
        <f t="shared" si="19"/>
        <v>0.3</v>
      </c>
      <c r="O31" s="38">
        <f t="shared" si="19"/>
        <v>0.3</v>
      </c>
      <c r="P31" s="38">
        <f t="shared" si="19"/>
        <v>0.3</v>
      </c>
    </row>
    <row r="32" ht="15.75" customHeight="1">
      <c r="A32" s="7" t="s">
        <v>27</v>
      </c>
      <c r="B32" s="6">
        <f t="shared" ref="B32:P32" si="20">B28-B30</f>
        <v>46309</v>
      </c>
      <c r="C32" s="6">
        <f t="shared" si="20"/>
        <v>75110</v>
      </c>
      <c r="D32" s="6">
        <f t="shared" si="20"/>
        <v>78807</v>
      </c>
      <c r="E32" s="6">
        <f t="shared" si="20"/>
        <v>72919</v>
      </c>
      <c r="F32" s="6">
        <f t="shared" si="20"/>
        <v>51175</v>
      </c>
      <c r="G32" s="6">
        <f t="shared" si="20"/>
        <v>47337</v>
      </c>
      <c r="H32" s="6">
        <f t="shared" si="20"/>
        <v>40305</v>
      </c>
      <c r="I32" s="6">
        <f t="shared" si="20"/>
        <v>81449</v>
      </c>
      <c r="J32" s="6">
        <f t="shared" si="20"/>
        <v>135010</v>
      </c>
      <c r="K32" s="6">
        <f t="shared" si="20"/>
        <v>210989.0114</v>
      </c>
      <c r="L32" s="6">
        <f t="shared" si="20"/>
        <v>244070.1173</v>
      </c>
      <c r="M32" s="6">
        <f t="shared" si="20"/>
        <v>282818.4196</v>
      </c>
      <c r="N32" s="6">
        <f t="shared" si="20"/>
        <v>328216.1261</v>
      </c>
      <c r="O32" s="6">
        <f t="shared" si="20"/>
        <v>381416.9775</v>
      </c>
      <c r="P32" s="6">
        <f t="shared" si="20"/>
        <v>443776.3508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  <c r="K33" s="20">
        <f t="shared" ref="K33:P33" si="21">J33</f>
        <v>2541</v>
      </c>
      <c r="L33" s="21">
        <f t="shared" si="21"/>
        <v>2541</v>
      </c>
      <c r="M33" s="21">
        <f t="shared" si="21"/>
        <v>2541</v>
      </c>
      <c r="N33" s="21">
        <f t="shared" si="21"/>
        <v>2541</v>
      </c>
      <c r="O33" s="21">
        <f t="shared" si="21"/>
        <v>2541</v>
      </c>
      <c r="P33" s="21">
        <f t="shared" si="21"/>
        <v>2541</v>
      </c>
    </row>
    <row r="34" ht="15.75" customHeight="1">
      <c r="A34" s="1"/>
    </row>
    <row r="35" ht="15.75" customHeight="1">
      <c r="A35" s="1"/>
    </row>
    <row r="36" ht="15.75" customHeight="1">
      <c r="A36" s="45" t="s">
        <v>180</v>
      </c>
      <c r="B36" s="9">
        <f t="shared" ref="B36:D36" si="22">B32+B33</f>
        <v>46988</v>
      </c>
      <c r="C36" s="9">
        <f t="shared" si="22"/>
        <v>77326</v>
      </c>
      <c r="D36" s="9">
        <f t="shared" si="22"/>
        <v>82118</v>
      </c>
      <c r="E36" s="9">
        <f>E32+F33</f>
        <v>74103</v>
      </c>
      <c r="F36" s="9">
        <f t="shared" ref="F36:P36" si="23">F32+F33</f>
        <v>52359</v>
      </c>
      <c r="G36" s="9">
        <f t="shared" si="23"/>
        <v>49027</v>
      </c>
      <c r="H36" s="9">
        <f t="shared" si="23"/>
        <v>41924</v>
      </c>
      <c r="I36" s="9">
        <f t="shared" si="23"/>
        <v>83223</v>
      </c>
      <c r="J36" s="9">
        <f t="shared" si="23"/>
        <v>137551</v>
      </c>
      <c r="K36" s="9">
        <f t="shared" si="23"/>
        <v>213530.0114</v>
      </c>
      <c r="L36" s="9">
        <f t="shared" si="23"/>
        <v>246611.1173</v>
      </c>
      <c r="M36" s="9">
        <f t="shared" si="23"/>
        <v>285359.4196</v>
      </c>
      <c r="N36" s="9">
        <f t="shared" si="23"/>
        <v>330757.1261</v>
      </c>
      <c r="O36" s="9">
        <f t="shared" si="23"/>
        <v>383957.9775</v>
      </c>
      <c r="P36" s="9">
        <f t="shared" si="23"/>
        <v>446317.3508</v>
      </c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ht="15.75" customHeight="1">
      <c r="A40" s="7"/>
    </row>
    <row r="41" ht="15.75" customHeight="1">
      <c r="A41" s="4" t="s">
        <v>31</v>
      </c>
      <c r="B41" s="27">
        <f t="shared" ref="B41:P41" si="24">SUM(B42:B47)</f>
        <v>306304</v>
      </c>
      <c r="C41" s="27">
        <f t="shared" si="24"/>
        <v>370905</v>
      </c>
      <c r="D41" s="27">
        <f t="shared" si="24"/>
        <v>425755</v>
      </c>
      <c r="E41" s="27">
        <f t="shared" si="24"/>
        <v>471097</v>
      </c>
      <c r="F41" s="27">
        <f t="shared" si="24"/>
        <v>494322</v>
      </c>
      <c r="G41" s="27">
        <f t="shared" si="24"/>
        <v>525006</v>
      </c>
      <c r="H41" s="27">
        <f t="shared" si="24"/>
        <v>553335</v>
      </c>
      <c r="I41" s="27">
        <f t="shared" si="24"/>
        <v>746002</v>
      </c>
      <c r="J41" s="27">
        <f t="shared" si="24"/>
        <v>856360</v>
      </c>
      <c r="K41" s="27">
        <f t="shared" si="24"/>
        <v>1069890.011</v>
      </c>
      <c r="L41" s="27">
        <f t="shared" si="24"/>
        <v>1316501.129</v>
      </c>
      <c r="M41" s="27">
        <f t="shared" si="24"/>
        <v>1601860.548</v>
      </c>
      <c r="N41" s="27">
        <f t="shared" si="24"/>
        <v>1932617.674</v>
      </c>
      <c r="O41" s="27">
        <f t="shared" si="24"/>
        <v>2316575.652</v>
      </c>
      <c r="P41" s="27">
        <f t="shared" si="24"/>
        <v>2762893.003</v>
      </c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ht="15.75" customHeight="1">
      <c r="A42" s="1" t="s">
        <v>32</v>
      </c>
      <c r="B42" s="22">
        <v>1510.0</v>
      </c>
      <c r="C42" s="22">
        <v>1510.0</v>
      </c>
      <c r="D42" s="22">
        <v>1510.0</v>
      </c>
      <c r="E42" s="22">
        <v>1510.0</v>
      </c>
      <c r="F42" s="22">
        <v>1510.0</v>
      </c>
      <c r="G42" s="22">
        <v>1510.0</v>
      </c>
      <c r="H42" s="22">
        <v>1510.0</v>
      </c>
      <c r="I42" s="22">
        <v>1572.0</v>
      </c>
      <c r="J42" s="22">
        <v>1572.0</v>
      </c>
      <c r="K42" s="21">
        <v>1572.0</v>
      </c>
      <c r="L42" s="21">
        <v>1572.0</v>
      </c>
      <c r="M42" s="21">
        <v>1572.0</v>
      </c>
      <c r="N42" s="21">
        <v>1572.0</v>
      </c>
      <c r="O42" s="21">
        <v>1572.0</v>
      </c>
      <c r="P42" s="21">
        <v>1572.0</v>
      </c>
    </row>
    <row r="43" ht="15.75" customHeight="1">
      <c r="A43" s="1" t="s">
        <v>33</v>
      </c>
      <c r="B43" s="22">
        <v>304650.0</v>
      </c>
      <c r="C43" s="22">
        <v>369241.0</v>
      </c>
      <c r="D43" s="22">
        <v>424084.0</v>
      </c>
      <c r="E43" s="22">
        <v>469411.0</v>
      </c>
      <c r="F43" s="22">
        <v>492620.0</v>
      </c>
      <c r="G43" s="22">
        <v>523496.0</v>
      </c>
      <c r="H43" s="22">
        <v>551825.0</v>
      </c>
      <c r="I43" s="22">
        <v>744430.0</v>
      </c>
      <c r="J43" s="22">
        <v>854788.0</v>
      </c>
      <c r="K43" s="19">
        <f t="shared" ref="K43:P43" si="25">J43+K36</f>
        <v>1068318.011</v>
      </c>
      <c r="L43" s="19">
        <f t="shared" si="25"/>
        <v>1314929.129</v>
      </c>
      <c r="M43" s="19">
        <f t="shared" si="25"/>
        <v>1600288.548</v>
      </c>
      <c r="N43" s="19">
        <f t="shared" si="25"/>
        <v>1931045.674</v>
      </c>
      <c r="O43" s="19">
        <f t="shared" si="25"/>
        <v>2315003.652</v>
      </c>
      <c r="P43" s="19">
        <f t="shared" si="25"/>
        <v>2761321.003</v>
      </c>
    </row>
    <row r="44" ht="15.75" customHeight="1">
      <c r="A44" s="1" t="s">
        <v>34</v>
      </c>
      <c r="B44" s="22">
        <v>0.0</v>
      </c>
      <c r="C44" s="22">
        <v>0.0</v>
      </c>
      <c r="D44" s="22">
        <v>0.0</v>
      </c>
      <c r="E44" s="22">
        <v>0.0</v>
      </c>
      <c r="F44" s="22">
        <v>0.0</v>
      </c>
      <c r="G44" s="22">
        <v>0.0</v>
      </c>
      <c r="H44" s="22">
        <v>0.0</v>
      </c>
      <c r="I44" s="22">
        <v>0.0</v>
      </c>
      <c r="J44" s="22">
        <v>0.0</v>
      </c>
      <c r="K44" s="21">
        <v>0.0</v>
      </c>
      <c r="L44" s="143">
        <v>0.0</v>
      </c>
      <c r="M44" s="143">
        <v>0.0</v>
      </c>
      <c r="N44" s="143">
        <v>0.0</v>
      </c>
      <c r="O44" s="143">
        <v>0.0</v>
      </c>
      <c r="P44" s="143">
        <v>0.0</v>
      </c>
    </row>
    <row r="45" ht="15.75" customHeight="1">
      <c r="A45" s="7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ht="15.75" customHeight="1">
      <c r="A46" s="7" t="s">
        <v>35</v>
      </c>
      <c r="B46" s="22">
        <v>144.0</v>
      </c>
      <c r="C46" s="22">
        <v>154.0</v>
      </c>
      <c r="D46" s="22">
        <v>161.0</v>
      </c>
      <c r="E46" s="22">
        <v>176.0</v>
      </c>
      <c r="F46" s="22">
        <v>192.0</v>
      </c>
      <c r="G46" s="22">
        <v>0.0</v>
      </c>
      <c r="H46" s="22">
        <v>0.0</v>
      </c>
      <c r="I46" s="22">
        <v>0.0</v>
      </c>
      <c r="J46" s="22">
        <v>0.0</v>
      </c>
      <c r="K46" s="21">
        <v>0.0</v>
      </c>
      <c r="L46" s="21">
        <v>0.0</v>
      </c>
      <c r="M46" s="21">
        <v>0.0</v>
      </c>
      <c r="N46" s="21">
        <v>0.0</v>
      </c>
      <c r="O46" s="21">
        <v>0.0</v>
      </c>
      <c r="P46" s="21">
        <v>0.0</v>
      </c>
    </row>
    <row r="47" ht="15.75" customHeight="1">
      <c r="A47" s="7" t="s">
        <v>36</v>
      </c>
      <c r="B47" s="22">
        <v>0.0</v>
      </c>
      <c r="C47" s="22">
        <v>0.0</v>
      </c>
      <c r="D47" s="22">
        <v>0.0</v>
      </c>
      <c r="E47" s="22">
        <v>0.0</v>
      </c>
      <c r="F47" s="22">
        <v>0.0</v>
      </c>
      <c r="G47" s="22">
        <v>0.0</v>
      </c>
      <c r="H47" s="22">
        <v>0.0</v>
      </c>
      <c r="I47" s="22">
        <v>0.0</v>
      </c>
      <c r="J47" s="22">
        <v>0.0</v>
      </c>
      <c r="K47" s="21">
        <v>0.0</v>
      </c>
      <c r="L47" s="21">
        <v>0.0</v>
      </c>
      <c r="M47" s="21">
        <v>0.0</v>
      </c>
      <c r="N47" s="21">
        <v>0.0</v>
      </c>
      <c r="O47" s="21">
        <v>0.0</v>
      </c>
      <c r="P47" s="21">
        <v>0.0</v>
      </c>
    </row>
    <row r="48" ht="15.75" customHeight="1">
      <c r="A48" s="7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</row>
    <row r="49" ht="15.75" customHeight="1">
      <c r="A49" s="4" t="s">
        <v>37</v>
      </c>
      <c r="B49" s="27">
        <f t="shared" ref="B49:P49" si="26">SUM(B50:B54)</f>
        <v>10510</v>
      </c>
      <c r="C49" s="27">
        <f t="shared" si="26"/>
        <v>16332</v>
      </c>
      <c r="D49" s="27">
        <f t="shared" si="26"/>
        <v>22244</v>
      </c>
      <c r="E49" s="27">
        <f t="shared" si="26"/>
        <v>26985</v>
      </c>
      <c r="F49" s="27">
        <f t="shared" si="26"/>
        <v>28901</v>
      </c>
      <c r="G49" s="27">
        <f t="shared" si="26"/>
        <v>26616</v>
      </c>
      <c r="H49" s="27">
        <f t="shared" si="26"/>
        <v>22985</v>
      </c>
      <c r="I49" s="27">
        <f t="shared" si="26"/>
        <v>30185</v>
      </c>
      <c r="J49" s="27">
        <f t="shared" si="26"/>
        <v>37630</v>
      </c>
      <c r="K49" s="27">
        <f t="shared" si="26"/>
        <v>37630</v>
      </c>
      <c r="L49" s="27">
        <f t="shared" si="26"/>
        <v>37630</v>
      </c>
      <c r="M49" s="27">
        <f t="shared" si="26"/>
        <v>37630</v>
      </c>
      <c r="N49" s="27">
        <f t="shared" si="26"/>
        <v>37630</v>
      </c>
      <c r="O49" s="27">
        <f t="shared" si="26"/>
        <v>37630</v>
      </c>
      <c r="P49" s="27">
        <f t="shared" si="26"/>
        <v>37630</v>
      </c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ht="15.75" customHeight="1">
      <c r="A50" s="1" t="s">
        <v>38</v>
      </c>
      <c r="B50" s="22">
        <v>0.0</v>
      </c>
      <c r="C50" s="22">
        <v>0.0</v>
      </c>
      <c r="D50" s="22">
        <v>100.0</v>
      </c>
      <c r="E50" s="22">
        <v>80.0</v>
      </c>
      <c r="F50" s="22">
        <v>652.0</v>
      </c>
      <c r="G50" s="22">
        <v>420.0</v>
      </c>
      <c r="H50" s="22">
        <v>329.0</v>
      </c>
      <c r="I50" s="22">
        <v>250.0</v>
      </c>
      <c r="J50" s="22">
        <v>677.0</v>
      </c>
      <c r="K50" s="21">
        <f t="shared" ref="K50:P50" si="27">J50</f>
        <v>677</v>
      </c>
      <c r="L50" s="21">
        <f t="shared" si="27"/>
        <v>677</v>
      </c>
      <c r="M50" s="21">
        <f t="shared" si="27"/>
        <v>677</v>
      </c>
      <c r="N50" s="21">
        <f t="shared" si="27"/>
        <v>677</v>
      </c>
      <c r="O50" s="21">
        <f t="shared" si="27"/>
        <v>677</v>
      </c>
      <c r="P50" s="21">
        <f t="shared" si="27"/>
        <v>677</v>
      </c>
    </row>
    <row r="51" ht="15.75" customHeight="1">
      <c r="A51" s="1" t="s">
        <v>39</v>
      </c>
      <c r="B51" s="22">
        <v>8075.0</v>
      </c>
      <c r="C51" s="22">
        <v>11055.0</v>
      </c>
      <c r="D51" s="22">
        <v>15859.0</v>
      </c>
      <c r="E51" s="22">
        <v>20371.0</v>
      </c>
      <c r="F51" s="22">
        <v>21158.0</v>
      </c>
      <c r="G51" s="22">
        <v>21295.0</v>
      </c>
      <c r="H51" s="22">
        <v>21812.0</v>
      </c>
      <c r="I51" s="22">
        <v>25850.0</v>
      </c>
      <c r="J51" s="22">
        <v>31617.0</v>
      </c>
      <c r="K51" s="21">
        <f t="shared" ref="K51:P51" si="28">J51</f>
        <v>31617</v>
      </c>
      <c r="L51" s="21">
        <f t="shared" si="28"/>
        <v>31617</v>
      </c>
      <c r="M51" s="21">
        <f t="shared" si="28"/>
        <v>31617</v>
      </c>
      <c r="N51" s="21">
        <f t="shared" si="28"/>
        <v>31617</v>
      </c>
      <c r="O51" s="21">
        <f t="shared" si="28"/>
        <v>31617</v>
      </c>
      <c r="P51" s="21">
        <f t="shared" si="28"/>
        <v>31617</v>
      </c>
    </row>
    <row r="52" ht="15.75" customHeight="1">
      <c r="A52" s="1" t="s">
        <v>40</v>
      </c>
      <c r="B52" s="22">
        <v>148.0</v>
      </c>
      <c r="C52" s="22">
        <v>219.0</v>
      </c>
      <c r="D52" s="22">
        <v>265.0</v>
      </c>
      <c r="E52" s="22">
        <v>395.0</v>
      </c>
      <c r="F52" s="22">
        <v>516.0</v>
      </c>
      <c r="G52" s="22">
        <v>447.0</v>
      </c>
      <c r="H52" s="22">
        <v>844.0</v>
      </c>
      <c r="I52" s="22">
        <v>875.0</v>
      </c>
      <c r="J52" s="22">
        <v>1448.0</v>
      </c>
      <c r="K52" s="21">
        <f t="shared" ref="K52:P52" si="29">J52</f>
        <v>1448</v>
      </c>
      <c r="L52" s="21">
        <f t="shared" si="29"/>
        <v>1448</v>
      </c>
      <c r="M52" s="21">
        <f t="shared" si="29"/>
        <v>1448</v>
      </c>
      <c r="N52" s="21">
        <f t="shared" si="29"/>
        <v>1448</v>
      </c>
      <c r="O52" s="21">
        <f t="shared" si="29"/>
        <v>1448</v>
      </c>
      <c r="P52" s="21">
        <f t="shared" si="29"/>
        <v>1448</v>
      </c>
    </row>
    <row r="53" ht="15.75" customHeight="1">
      <c r="A53" s="1" t="s">
        <v>41</v>
      </c>
      <c r="B53" s="22">
        <v>2287.0</v>
      </c>
      <c r="C53" s="22">
        <v>5058.0</v>
      </c>
      <c r="D53" s="22">
        <v>6020.0</v>
      </c>
      <c r="E53" s="22">
        <v>6139.0</v>
      </c>
      <c r="F53" s="22">
        <v>6575.0</v>
      </c>
      <c r="G53" s="22">
        <v>4454.0</v>
      </c>
      <c r="H53" s="22">
        <v>0.0</v>
      </c>
      <c r="I53" s="22">
        <v>3210.0</v>
      </c>
      <c r="J53" s="22">
        <v>3888.0</v>
      </c>
      <c r="K53" s="21">
        <f t="shared" ref="K53:P53" si="30">J53</f>
        <v>3888</v>
      </c>
      <c r="L53" s="21">
        <f t="shared" si="30"/>
        <v>3888</v>
      </c>
      <c r="M53" s="21">
        <f t="shared" si="30"/>
        <v>3888</v>
      </c>
      <c r="N53" s="21">
        <f t="shared" si="30"/>
        <v>3888</v>
      </c>
      <c r="O53" s="21">
        <f t="shared" si="30"/>
        <v>3888</v>
      </c>
      <c r="P53" s="21">
        <f t="shared" si="30"/>
        <v>3888</v>
      </c>
    </row>
    <row r="54" ht="15.75" customHeight="1">
      <c r="A54" s="7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</row>
    <row r="55" ht="15.75" customHeight="1">
      <c r="A55" s="18" t="s">
        <v>42</v>
      </c>
      <c r="B55" s="27">
        <f t="shared" ref="B55:P55" si="31">SUM(B56:B62)</f>
        <v>110441</v>
      </c>
      <c r="C55" s="27">
        <f t="shared" si="31"/>
        <v>132368</v>
      </c>
      <c r="D55" s="27">
        <f t="shared" si="31"/>
        <v>154485</v>
      </c>
      <c r="E55" s="27">
        <f t="shared" si="31"/>
        <v>141605</v>
      </c>
      <c r="F55" s="27">
        <f t="shared" si="31"/>
        <v>113054</v>
      </c>
      <c r="G55" s="27">
        <f t="shared" si="31"/>
        <v>162139</v>
      </c>
      <c r="H55" s="27">
        <f t="shared" si="31"/>
        <v>170235</v>
      </c>
      <c r="I55" s="27">
        <f t="shared" si="31"/>
        <v>227667</v>
      </c>
      <c r="J55" s="27">
        <f t="shared" si="31"/>
        <v>259518</v>
      </c>
      <c r="K55" s="27">
        <f t="shared" si="31"/>
        <v>0</v>
      </c>
      <c r="L55" s="27">
        <f t="shared" si="31"/>
        <v>0</v>
      </c>
      <c r="M55" s="27">
        <f t="shared" si="31"/>
        <v>0</v>
      </c>
      <c r="N55" s="27">
        <f t="shared" si="31"/>
        <v>0</v>
      </c>
      <c r="O55" s="27">
        <f t="shared" si="31"/>
        <v>0</v>
      </c>
      <c r="P55" s="27">
        <f t="shared" si="31"/>
        <v>0</v>
      </c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ht="15.75" customHeight="1">
      <c r="A56" s="1" t="s">
        <v>43</v>
      </c>
      <c r="B56" s="22">
        <v>7956.0</v>
      </c>
      <c r="C56" s="22">
        <v>8036.0</v>
      </c>
      <c r="D56" s="22">
        <v>8541.0</v>
      </c>
      <c r="E56" s="22">
        <v>6729.0</v>
      </c>
      <c r="F56" s="22">
        <v>6962.0</v>
      </c>
      <c r="G56" s="22">
        <v>8547.0</v>
      </c>
      <c r="H56" s="22">
        <v>11113.0</v>
      </c>
      <c r="I56" s="22">
        <v>11584.0</v>
      </c>
      <c r="J56" s="22">
        <v>12030.0</v>
      </c>
      <c r="K56" s="19"/>
      <c r="L56" s="19"/>
      <c r="M56" s="19"/>
      <c r="N56" s="19"/>
      <c r="O56" s="19"/>
      <c r="P56" s="19"/>
    </row>
    <row r="57" ht="15.75" customHeight="1">
      <c r="A57" s="1" t="s">
        <v>44</v>
      </c>
      <c r="B57" s="22">
        <v>774.0</v>
      </c>
      <c r="C57" s="22">
        <v>4838.0</v>
      </c>
      <c r="D57" s="22">
        <v>1108.0</v>
      </c>
      <c r="E57" s="22">
        <v>1496.0</v>
      </c>
      <c r="F57" s="22">
        <v>1063.0</v>
      </c>
      <c r="G57" s="22">
        <v>4962.0</v>
      </c>
      <c r="H57" s="22">
        <v>3819.0</v>
      </c>
      <c r="I57" s="22">
        <v>12226.0</v>
      </c>
      <c r="J57" s="22">
        <v>509.0</v>
      </c>
      <c r="K57" s="19"/>
      <c r="L57" s="19"/>
      <c r="M57" s="19"/>
      <c r="N57" s="19"/>
      <c r="O57" s="19"/>
      <c r="P57" s="19"/>
    </row>
    <row r="58" ht="15.75" customHeight="1">
      <c r="A58" s="29" t="s">
        <v>110</v>
      </c>
      <c r="B58" s="22">
        <v>74089.0</v>
      </c>
      <c r="C58" s="22">
        <v>83692.0</v>
      </c>
      <c r="D58" s="22">
        <v>104993.0</v>
      </c>
      <c r="E58" s="22">
        <v>96377.0</v>
      </c>
      <c r="F58" s="22">
        <v>75091.0</v>
      </c>
      <c r="G58" s="22">
        <v>101681.0</v>
      </c>
      <c r="H58" s="22">
        <v>97732.0</v>
      </c>
      <c r="I58" s="22">
        <v>1947.0</v>
      </c>
      <c r="J58" s="22">
        <v>2070.0</v>
      </c>
      <c r="K58" s="19"/>
      <c r="L58" s="19"/>
      <c r="M58" s="19"/>
      <c r="N58" s="19"/>
      <c r="O58" s="19"/>
      <c r="P58" s="19"/>
    </row>
    <row r="59" ht="15.75" customHeight="1">
      <c r="A59" s="1" t="s">
        <v>45</v>
      </c>
      <c r="B59" s="22">
        <v>0.0</v>
      </c>
      <c r="C59" s="22">
        <v>0.0</v>
      </c>
      <c r="D59" s="22">
        <v>0.0</v>
      </c>
      <c r="E59" s="22">
        <v>0.0</v>
      </c>
      <c r="F59" s="22">
        <v>0.0</v>
      </c>
      <c r="G59" s="22">
        <v>0.0</v>
      </c>
      <c r="H59" s="22">
        <v>0.0</v>
      </c>
      <c r="I59" s="22">
        <v>134808.0</v>
      </c>
      <c r="J59" s="22">
        <v>167814.0</v>
      </c>
      <c r="K59" s="19"/>
      <c r="L59" s="19"/>
      <c r="M59" s="19"/>
      <c r="N59" s="19"/>
      <c r="O59" s="19"/>
      <c r="P59" s="19"/>
    </row>
    <row r="60" ht="15.75" customHeight="1">
      <c r="A60" s="1" t="s">
        <v>46</v>
      </c>
      <c r="B60" s="22">
        <v>11650.0</v>
      </c>
      <c r="C60" s="22">
        <v>18278.0</v>
      </c>
      <c r="D60" s="22">
        <v>20896.0</v>
      </c>
      <c r="E60" s="22">
        <v>16329.0</v>
      </c>
      <c r="F60" s="22">
        <v>14091.0</v>
      </c>
      <c r="G60" s="22">
        <v>26801.0</v>
      </c>
      <c r="H60" s="22">
        <v>28686.0</v>
      </c>
      <c r="I60" s="22">
        <v>33372.0</v>
      </c>
      <c r="J60" s="22">
        <v>41739.0</v>
      </c>
      <c r="K60" s="19"/>
      <c r="L60" s="19"/>
      <c r="M60" s="19"/>
      <c r="N60" s="19"/>
      <c r="O60" s="19"/>
      <c r="P60" s="19"/>
    </row>
    <row r="61" ht="15.75" customHeight="1">
      <c r="A61" s="1" t="s">
        <v>47</v>
      </c>
      <c r="B61" s="22">
        <v>3994.0</v>
      </c>
      <c r="C61" s="22">
        <v>4496.0</v>
      </c>
      <c r="D61" s="22">
        <v>5609.0</v>
      </c>
      <c r="E61" s="22">
        <v>6254.0</v>
      </c>
      <c r="F61" s="22">
        <v>6807.0</v>
      </c>
      <c r="G61" s="22">
        <v>7428.0</v>
      </c>
      <c r="H61" s="22">
        <v>8613.0</v>
      </c>
      <c r="I61" s="22">
        <v>10830.0</v>
      </c>
      <c r="J61" s="22">
        <v>13119.0</v>
      </c>
      <c r="K61" s="19"/>
      <c r="L61" s="19"/>
      <c r="M61" s="19"/>
      <c r="N61" s="19"/>
      <c r="O61" s="19"/>
      <c r="P61" s="19"/>
    </row>
    <row r="62" ht="15.75" customHeight="1">
      <c r="A62" s="1" t="s">
        <v>48</v>
      </c>
      <c r="B62" s="22">
        <v>11978.0</v>
      </c>
      <c r="C62" s="22">
        <v>13028.0</v>
      </c>
      <c r="D62" s="22">
        <v>13338.0</v>
      </c>
      <c r="E62" s="22">
        <v>14420.0</v>
      </c>
      <c r="F62" s="22">
        <v>9040.0</v>
      </c>
      <c r="G62" s="22">
        <v>12720.0</v>
      </c>
      <c r="H62" s="22">
        <v>20272.0</v>
      </c>
      <c r="I62" s="22">
        <v>22900.0</v>
      </c>
      <c r="J62" s="22">
        <v>22237.0</v>
      </c>
      <c r="K62" s="19"/>
      <c r="L62" s="19"/>
      <c r="M62" s="19"/>
      <c r="N62" s="19"/>
      <c r="O62" s="19"/>
      <c r="P62" s="19"/>
    </row>
    <row r="63" ht="15.75" customHeight="1">
      <c r="A63" s="8" t="s">
        <v>49</v>
      </c>
      <c r="B63" s="30">
        <f t="shared" ref="B63:P63" si="32">sum(B41,B49,B55)</f>
        <v>427255</v>
      </c>
      <c r="C63" s="30">
        <f t="shared" si="32"/>
        <v>519605</v>
      </c>
      <c r="D63" s="30">
        <f t="shared" si="32"/>
        <v>602484</v>
      </c>
      <c r="E63" s="30">
        <f t="shared" si="32"/>
        <v>639687</v>
      </c>
      <c r="F63" s="30">
        <f t="shared" si="32"/>
        <v>636277</v>
      </c>
      <c r="G63" s="30">
        <f t="shared" si="32"/>
        <v>713761</v>
      </c>
      <c r="H63" s="30">
        <f t="shared" si="32"/>
        <v>746555</v>
      </c>
      <c r="I63" s="30">
        <f t="shared" si="32"/>
        <v>1003854</v>
      </c>
      <c r="J63" s="30">
        <f t="shared" si="32"/>
        <v>1153508</v>
      </c>
      <c r="K63" s="30">
        <f t="shared" si="32"/>
        <v>1107520.011</v>
      </c>
      <c r="L63" s="30">
        <f t="shared" si="32"/>
        <v>1354131.129</v>
      </c>
      <c r="M63" s="30">
        <f t="shared" si="32"/>
        <v>1639490.548</v>
      </c>
      <c r="N63" s="30">
        <f t="shared" si="32"/>
        <v>1970247.674</v>
      </c>
      <c r="O63" s="30">
        <f t="shared" si="32"/>
        <v>2354205.652</v>
      </c>
      <c r="P63" s="30">
        <f t="shared" si="32"/>
        <v>2800523.003</v>
      </c>
    </row>
    <row r="64" ht="15.75" customHeight="1">
      <c r="A64" s="7"/>
    </row>
    <row r="65" ht="15.75" customHeight="1">
      <c r="A65" s="7"/>
    </row>
    <row r="66" ht="15.75" customHeight="1">
      <c r="A66" s="4" t="s">
        <v>50</v>
      </c>
    </row>
    <row r="67" ht="15.75" customHeight="1">
      <c r="A67" s="7"/>
    </row>
    <row r="68" ht="15.75" customHeight="1">
      <c r="A68" s="18" t="s">
        <v>51</v>
      </c>
      <c r="B68" s="27">
        <f t="shared" ref="B68:P68" si="33">SUM(B69:B80)</f>
        <v>347744</v>
      </c>
      <c r="C68" s="27">
        <f t="shared" si="33"/>
        <v>431625</v>
      </c>
      <c r="D68" s="27">
        <f t="shared" si="33"/>
        <v>523184</v>
      </c>
      <c r="E68" s="27">
        <f t="shared" si="33"/>
        <v>515960</v>
      </c>
      <c r="F68" s="27">
        <f t="shared" si="33"/>
        <v>551871</v>
      </c>
      <c r="G68" s="27">
        <f t="shared" si="33"/>
        <v>532791</v>
      </c>
      <c r="H68" s="27">
        <f t="shared" si="33"/>
        <v>578621</v>
      </c>
      <c r="I68" s="27">
        <f t="shared" si="33"/>
        <v>847162</v>
      </c>
      <c r="J68" s="27">
        <f t="shared" si="33"/>
        <v>927170</v>
      </c>
      <c r="K68" s="27">
        <f t="shared" si="33"/>
        <v>0</v>
      </c>
      <c r="L68" s="27">
        <f t="shared" si="33"/>
        <v>0</v>
      </c>
      <c r="M68" s="27">
        <f t="shared" si="33"/>
        <v>0</v>
      </c>
      <c r="N68" s="27">
        <f t="shared" si="33"/>
        <v>0</v>
      </c>
      <c r="O68" s="27">
        <f t="shared" si="33"/>
        <v>0</v>
      </c>
      <c r="P68" s="27">
        <f t="shared" si="33"/>
        <v>0</v>
      </c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ht="15.75" customHeight="1">
      <c r="A69" s="28" t="s">
        <v>101</v>
      </c>
      <c r="B69" s="22">
        <v>121827.0</v>
      </c>
      <c r="C69" s="22">
        <v>129377.0</v>
      </c>
      <c r="D69" s="22">
        <v>130771.0</v>
      </c>
      <c r="E69" s="22">
        <v>149862.0</v>
      </c>
      <c r="F69" s="22">
        <v>147905.0</v>
      </c>
      <c r="G69" s="22">
        <v>141785.0</v>
      </c>
      <c r="H69" s="22">
        <v>128261.0</v>
      </c>
      <c r="I69" s="22">
        <v>268028.0</v>
      </c>
      <c r="J69" s="22">
        <v>267982.0</v>
      </c>
      <c r="K69" s="19"/>
      <c r="L69" s="19"/>
      <c r="M69" s="19"/>
      <c r="N69" s="19"/>
      <c r="O69" s="19"/>
      <c r="P69" s="19"/>
    </row>
    <row r="70" ht="15.75" customHeight="1">
      <c r="A70" s="16" t="s">
        <v>53</v>
      </c>
      <c r="B70" s="22">
        <v>3469.0</v>
      </c>
      <c r="C70" s="22">
        <v>3730.0</v>
      </c>
      <c r="D70" s="22">
        <v>3117.0</v>
      </c>
      <c r="E70" s="22">
        <v>4511.0</v>
      </c>
      <c r="F70" s="22">
        <v>4067.0</v>
      </c>
      <c r="G70" s="22">
        <v>2242.0</v>
      </c>
      <c r="H70" s="22">
        <v>3499.0</v>
      </c>
      <c r="I70" s="22">
        <v>5479.0</v>
      </c>
      <c r="J70" s="22">
        <v>4537.0</v>
      </c>
      <c r="K70" s="19"/>
      <c r="L70" s="19"/>
      <c r="M70" s="19"/>
      <c r="N70" s="19"/>
      <c r="O70" s="19"/>
      <c r="P70" s="19"/>
    </row>
    <row r="71" ht="15.75" customHeight="1">
      <c r="A71" s="16" t="s">
        <v>54</v>
      </c>
      <c r="B71" s="22">
        <v>10069.0</v>
      </c>
      <c r="C71" s="22">
        <v>12523.0</v>
      </c>
      <c r="D71" s="22">
        <v>21321.0</v>
      </c>
      <c r="E71" s="22">
        <v>16069.0</v>
      </c>
      <c r="F71" s="22">
        <v>13443.0</v>
      </c>
      <c r="G71" s="22">
        <v>11993.0</v>
      </c>
      <c r="H71" s="22">
        <v>26462.0</v>
      </c>
      <c r="I71" s="22">
        <v>40541.0</v>
      </c>
      <c r="J71" s="22">
        <v>75043.0</v>
      </c>
      <c r="K71" s="19"/>
      <c r="L71" s="19"/>
      <c r="M71" s="19"/>
      <c r="N71" s="19"/>
      <c r="O71" s="19"/>
      <c r="P71" s="19"/>
    </row>
    <row r="72" ht="15.75" customHeight="1">
      <c r="A72" s="16" t="s">
        <v>55</v>
      </c>
      <c r="B72" s="22">
        <v>0.0</v>
      </c>
      <c r="C72" s="22">
        <v>0.0</v>
      </c>
      <c r="D72" s="22">
        <v>0.0</v>
      </c>
      <c r="E72" s="22">
        <v>0.0</v>
      </c>
      <c r="F72" s="22">
        <v>0.0</v>
      </c>
      <c r="G72" s="22">
        <v>2975.0</v>
      </c>
      <c r="H72" s="22">
        <v>2903.0</v>
      </c>
      <c r="I72" s="15">
        <v>889.0</v>
      </c>
      <c r="J72" s="22">
        <v>2305.0</v>
      </c>
      <c r="K72" s="19"/>
      <c r="L72" s="19"/>
      <c r="M72" s="19"/>
      <c r="N72" s="19"/>
      <c r="O72" s="19"/>
      <c r="P72" s="19"/>
    </row>
    <row r="73" ht="15.75" customHeight="1">
      <c r="A73" s="29" t="s">
        <v>102</v>
      </c>
      <c r="B73" s="22">
        <v>0.0</v>
      </c>
      <c r="C73" s="22">
        <v>0.0</v>
      </c>
      <c r="D73" s="22">
        <v>0.0</v>
      </c>
      <c r="E73" s="22">
        <v>0.0</v>
      </c>
      <c r="F73" s="22">
        <v>6181.0</v>
      </c>
      <c r="G73" s="22">
        <v>5860.0</v>
      </c>
      <c r="H73" s="22">
        <v>5712.0</v>
      </c>
      <c r="I73" s="22">
        <v>5907.0</v>
      </c>
      <c r="J73" s="22">
        <v>6129.0</v>
      </c>
      <c r="K73" s="19"/>
      <c r="L73" s="19"/>
      <c r="M73" s="19"/>
      <c r="N73" s="19"/>
      <c r="O73" s="19"/>
      <c r="P73" s="19"/>
    </row>
    <row r="74" ht="15.75" customHeight="1">
      <c r="A74" s="1" t="s">
        <v>56</v>
      </c>
      <c r="B74" s="22">
        <v>195345.0</v>
      </c>
      <c r="C74" s="22">
        <v>269718.0</v>
      </c>
      <c r="D74" s="22">
        <v>349058.0</v>
      </c>
      <c r="E74" s="22">
        <v>324581.0</v>
      </c>
      <c r="F74" s="22">
        <v>362692.0</v>
      </c>
      <c r="G74" s="22">
        <v>345291.0</v>
      </c>
      <c r="H74" s="22">
        <v>379348.0</v>
      </c>
      <c r="I74" s="22">
        <v>491843.0</v>
      </c>
      <c r="J74" s="22">
        <v>533838.0</v>
      </c>
      <c r="K74" s="19"/>
      <c r="L74" s="19"/>
      <c r="M74" s="19"/>
      <c r="N74" s="19"/>
      <c r="O74" s="19"/>
      <c r="P74" s="19"/>
    </row>
    <row r="75" ht="15.75" customHeight="1">
      <c r="A75" s="1" t="s">
        <v>57</v>
      </c>
      <c r="B75" s="22">
        <v>234.0</v>
      </c>
      <c r="C75" s="22">
        <v>241.0</v>
      </c>
      <c r="D75" s="22">
        <v>328.0</v>
      </c>
      <c r="E75" s="22">
        <v>344.0</v>
      </c>
      <c r="F75" s="22">
        <v>365.0</v>
      </c>
      <c r="G75" s="22">
        <v>369.0</v>
      </c>
      <c r="H75" s="22">
        <v>375.0</v>
      </c>
      <c r="I75" s="22">
        <v>2398.0</v>
      </c>
      <c r="J75" s="22">
        <v>2981.0</v>
      </c>
      <c r="K75" s="19"/>
      <c r="L75" s="19"/>
      <c r="M75" s="19"/>
      <c r="N75" s="19"/>
      <c r="O75" s="19"/>
      <c r="P75" s="19"/>
    </row>
    <row r="76" ht="15.75" customHeight="1">
      <c r="A76" s="1" t="s">
        <v>58</v>
      </c>
      <c r="B76" s="22">
        <v>4.0</v>
      </c>
      <c r="C76" s="22">
        <v>3.0</v>
      </c>
      <c r="D76" s="22">
        <v>2.0</v>
      </c>
      <c r="E76" s="22">
        <v>2.0</v>
      </c>
      <c r="F76" s="22">
        <v>2.0</v>
      </c>
      <c r="G76" s="22">
        <v>2.0</v>
      </c>
      <c r="H76" s="22">
        <v>5446.0</v>
      </c>
      <c r="I76" s="22">
        <v>2.0</v>
      </c>
      <c r="J76" s="22">
        <v>1.0</v>
      </c>
      <c r="K76" s="19"/>
      <c r="L76" s="19"/>
      <c r="M76" s="19"/>
      <c r="N76" s="19"/>
      <c r="O76" s="19"/>
      <c r="P76" s="19"/>
    </row>
    <row r="77" ht="15.75" customHeight="1">
      <c r="A77" s="1" t="s">
        <v>59</v>
      </c>
      <c r="B77" s="22">
        <v>16796.0</v>
      </c>
      <c r="C77" s="22">
        <v>16033.0</v>
      </c>
      <c r="D77" s="22">
        <v>18587.0</v>
      </c>
      <c r="E77" s="22">
        <v>20591.0</v>
      </c>
      <c r="F77" s="22">
        <v>17216.0</v>
      </c>
      <c r="G77" s="22">
        <v>16867.0</v>
      </c>
      <c r="H77" s="22">
        <v>1411.0</v>
      </c>
      <c r="I77" s="22">
        <v>23226.0</v>
      </c>
      <c r="J77" s="22">
        <v>28049.0</v>
      </c>
      <c r="K77" s="19"/>
      <c r="L77" s="19"/>
      <c r="M77" s="19"/>
      <c r="N77" s="19"/>
      <c r="O77" s="19"/>
      <c r="P77" s="19"/>
    </row>
    <row r="78" ht="15.75" customHeight="1">
      <c r="A78" s="29" t="s">
        <v>103</v>
      </c>
      <c r="B78" s="22">
        <v>0.0</v>
      </c>
      <c r="C78" s="22">
        <v>0.0</v>
      </c>
      <c r="D78" s="22">
        <v>0.0</v>
      </c>
      <c r="E78" s="22">
        <v>0.0</v>
      </c>
      <c r="F78" s="22">
        <v>0.0</v>
      </c>
      <c r="G78" s="22">
        <v>0.0</v>
      </c>
      <c r="H78" s="22">
        <v>0.0</v>
      </c>
      <c r="I78" s="22">
        <v>6055.0</v>
      </c>
      <c r="J78" s="22">
        <v>5838.0</v>
      </c>
      <c r="K78" s="19"/>
      <c r="L78" s="19"/>
      <c r="M78" s="19"/>
      <c r="N78" s="19"/>
      <c r="O78" s="19"/>
      <c r="P78" s="19"/>
    </row>
    <row r="79" ht="15.75" customHeight="1">
      <c r="A79" s="29" t="s">
        <v>104</v>
      </c>
      <c r="B79" s="22">
        <v>0.0</v>
      </c>
      <c r="C79" s="22">
        <v>0.0</v>
      </c>
      <c r="D79" s="22">
        <v>0.0</v>
      </c>
      <c r="E79" s="22">
        <v>0.0</v>
      </c>
      <c r="F79" s="22">
        <v>0.0</v>
      </c>
      <c r="G79" s="22">
        <v>5407.0</v>
      </c>
      <c r="H79" s="22">
        <v>25204.0</v>
      </c>
      <c r="I79" s="22">
        <v>2794.0</v>
      </c>
      <c r="J79" s="22">
        <v>467.0</v>
      </c>
      <c r="K79" s="19"/>
      <c r="L79" s="19"/>
      <c r="M79" s="19"/>
      <c r="N79" s="19"/>
      <c r="O79" s="19"/>
      <c r="P79" s="19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ht="15.75" customHeight="1">
      <c r="A80" s="18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ht="15.75" customHeight="1">
      <c r="A81" s="18" t="s">
        <v>60</v>
      </c>
      <c r="B81" s="27">
        <f t="shared" ref="B81:P81" si="34">SUM(B82:B91)</f>
        <v>79511</v>
      </c>
      <c r="C81" s="27">
        <f t="shared" si="34"/>
        <v>87980</v>
      </c>
      <c r="D81" s="27">
        <f t="shared" si="34"/>
        <v>79300</v>
      </c>
      <c r="E81" s="27">
        <f t="shared" si="34"/>
        <v>123727</v>
      </c>
      <c r="F81" s="27">
        <f t="shared" si="34"/>
        <v>84406</v>
      </c>
      <c r="G81" s="27">
        <f t="shared" si="34"/>
        <v>180970</v>
      </c>
      <c r="H81" s="27">
        <f t="shared" si="34"/>
        <v>167934</v>
      </c>
      <c r="I81" s="27">
        <f t="shared" si="34"/>
        <v>156692</v>
      </c>
      <c r="J81" s="27">
        <f t="shared" si="34"/>
        <v>226338</v>
      </c>
      <c r="K81" s="27">
        <f t="shared" si="34"/>
        <v>0</v>
      </c>
      <c r="L81" s="27">
        <f t="shared" si="34"/>
        <v>0</v>
      </c>
      <c r="M81" s="27">
        <f t="shared" si="34"/>
        <v>0</v>
      </c>
      <c r="N81" s="27">
        <f t="shared" si="34"/>
        <v>0</v>
      </c>
      <c r="O81" s="27">
        <f t="shared" si="34"/>
        <v>0</v>
      </c>
      <c r="P81" s="27">
        <f t="shared" si="34"/>
        <v>0</v>
      </c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ht="15.75" customHeight="1">
      <c r="A82" s="1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</row>
    <row r="83" ht="15.75" customHeight="1">
      <c r="A83" s="16" t="s">
        <v>61</v>
      </c>
      <c r="B83" s="22">
        <v>31326.0</v>
      </c>
      <c r="C83" s="22">
        <v>32637.0</v>
      </c>
      <c r="D83" s="22">
        <v>31602.0</v>
      </c>
      <c r="E83" s="22">
        <v>33226.0</v>
      </c>
      <c r="F83" s="22">
        <v>32139.0</v>
      </c>
      <c r="G83" s="22">
        <v>30490.0</v>
      </c>
      <c r="H83" s="22">
        <v>35323.0</v>
      </c>
      <c r="I83" s="22">
        <v>54435.0</v>
      </c>
      <c r="J83" s="22">
        <v>53181.0</v>
      </c>
      <c r="K83" s="19"/>
      <c r="L83" s="19"/>
      <c r="M83" s="19"/>
      <c r="N83" s="19"/>
      <c r="O83" s="19"/>
      <c r="P83" s="19"/>
    </row>
    <row r="84" ht="15.75" customHeight="1">
      <c r="A84" s="16" t="s">
        <v>62</v>
      </c>
      <c r="B84" s="22">
        <v>13234.0</v>
      </c>
      <c r="C84" s="22">
        <v>12026.0</v>
      </c>
      <c r="D84" s="22">
        <v>14654.0</v>
      </c>
      <c r="E84" s="22">
        <v>23128.0</v>
      </c>
      <c r="F84" s="22">
        <v>21298.0</v>
      </c>
      <c r="G84" s="22">
        <v>12799.0</v>
      </c>
      <c r="H84" s="22">
        <v>20345.0</v>
      </c>
      <c r="I84" s="22">
        <v>32848.0</v>
      </c>
      <c r="J84" s="22">
        <v>45968.0</v>
      </c>
      <c r="K84" s="19"/>
      <c r="L84" s="19"/>
      <c r="M84" s="19"/>
      <c r="N84" s="19"/>
      <c r="O84" s="19"/>
      <c r="P84" s="19"/>
    </row>
    <row r="85" ht="15.75" customHeight="1">
      <c r="A85" s="16" t="s">
        <v>63</v>
      </c>
      <c r="B85" s="22">
        <v>507.0</v>
      </c>
      <c r="C85" s="22">
        <v>235.0</v>
      </c>
      <c r="D85" s="22">
        <v>740.0</v>
      </c>
      <c r="E85" s="22">
        <v>1878.0</v>
      </c>
      <c r="F85" s="22">
        <v>290.0</v>
      </c>
      <c r="G85" s="22">
        <v>30471.0</v>
      </c>
      <c r="H85" s="22">
        <v>30422.0</v>
      </c>
      <c r="I85" s="22">
        <v>27485.0</v>
      </c>
      <c r="J85" s="22">
        <v>28274.0</v>
      </c>
      <c r="K85" s="19"/>
      <c r="L85" s="19"/>
      <c r="M85" s="19"/>
      <c r="N85" s="19"/>
      <c r="O85" s="19"/>
      <c r="P85" s="19"/>
    </row>
    <row r="86" ht="15.75" customHeight="1">
      <c r="A86" s="16" t="s">
        <v>64</v>
      </c>
      <c r="B86" s="22">
        <v>31.0</v>
      </c>
      <c r="C86" s="22">
        <v>25.0</v>
      </c>
      <c r="D86" s="22">
        <v>30.0</v>
      </c>
      <c r="E86" s="22">
        <v>161.0</v>
      </c>
      <c r="F86" s="22">
        <v>170.0</v>
      </c>
      <c r="G86" s="22">
        <v>230.0</v>
      </c>
      <c r="H86" s="22">
        <v>305.0</v>
      </c>
      <c r="I86" s="22">
        <v>297.0</v>
      </c>
      <c r="J86" s="22">
        <v>327.0</v>
      </c>
      <c r="K86" s="19"/>
      <c r="L86" s="19"/>
      <c r="M86" s="19"/>
      <c r="N86" s="19"/>
      <c r="O86" s="19"/>
      <c r="P86" s="19"/>
    </row>
    <row r="87" ht="15.75" customHeight="1">
      <c r="A87" s="16" t="s">
        <v>65</v>
      </c>
      <c r="B87" s="22">
        <v>16611.0</v>
      </c>
      <c r="C87" s="22">
        <v>15408.0</v>
      </c>
      <c r="D87" s="22">
        <v>13140.0</v>
      </c>
      <c r="E87" s="22">
        <v>5638.0</v>
      </c>
      <c r="F87" s="22">
        <v>7974.0</v>
      </c>
      <c r="G87" s="22">
        <v>9581.0</v>
      </c>
      <c r="H87" s="22">
        <v>14608.0</v>
      </c>
      <c r="I87" s="22">
        <v>15602.0</v>
      </c>
      <c r="J87" s="22">
        <v>25077.0</v>
      </c>
      <c r="K87" s="19"/>
      <c r="L87" s="19"/>
      <c r="M87" s="19"/>
      <c r="N87" s="19"/>
      <c r="O87" s="19"/>
      <c r="P87" s="19"/>
    </row>
    <row r="88" ht="15.75" customHeight="1">
      <c r="A88" s="16" t="s">
        <v>66</v>
      </c>
      <c r="B88" s="22">
        <v>4906.0</v>
      </c>
      <c r="C88" s="22">
        <v>4910.0</v>
      </c>
      <c r="D88" s="22">
        <v>4115.0</v>
      </c>
      <c r="E88" s="22">
        <v>4277.0</v>
      </c>
      <c r="F88" s="22">
        <v>5272.0</v>
      </c>
      <c r="G88" s="22">
        <v>0.0</v>
      </c>
      <c r="H88" s="22">
        <v>0.0</v>
      </c>
      <c r="I88" s="22">
        <v>0.0</v>
      </c>
      <c r="J88" s="22">
        <v>0.0</v>
      </c>
      <c r="K88" s="19"/>
      <c r="L88" s="19"/>
      <c r="M88" s="19"/>
      <c r="N88" s="19"/>
      <c r="O88" s="19"/>
      <c r="P88" s="19"/>
    </row>
    <row r="89" ht="15.75" customHeight="1">
      <c r="A89" s="16" t="s">
        <v>67</v>
      </c>
      <c r="B89" s="22">
        <v>11413.0</v>
      </c>
      <c r="C89" s="22">
        <v>21788.0</v>
      </c>
      <c r="D89" s="22">
        <v>12173.0</v>
      </c>
      <c r="E89" s="22">
        <v>50455.0</v>
      </c>
      <c r="F89" s="22">
        <v>12188.0</v>
      </c>
      <c r="G89" s="22">
        <v>84157.0</v>
      </c>
      <c r="H89" s="22">
        <v>41001.0</v>
      </c>
      <c r="I89" s="22">
        <v>0.0</v>
      </c>
      <c r="J89" s="22">
        <v>39122.0</v>
      </c>
      <c r="K89" s="19"/>
      <c r="L89" s="19"/>
      <c r="M89" s="19"/>
      <c r="N89" s="19"/>
      <c r="O89" s="19"/>
      <c r="P89" s="19"/>
    </row>
    <row r="90" ht="15.75" customHeight="1">
      <c r="A90" s="1" t="s">
        <v>57</v>
      </c>
      <c r="B90" s="22">
        <v>1483.0</v>
      </c>
      <c r="C90" s="22">
        <v>951.0</v>
      </c>
      <c r="D90" s="22">
        <v>2846.0</v>
      </c>
      <c r="E90" s="22">
        <v>4964.0</v>
      </c>
      <c r="F90" s="22">
        <v>5075.0</v>
      </c>
      <c r="G90" s="22">
        <v>13242.0</v>
      </c>
      <c r="H90" s="22">
        <v>25930.0</v>
      </c>
      <c r="I90" s="22">
        <v>26025.0</v>
      </c>
      <c r="J90" s="22">
        <v>34186.0</v>
      </c>
      <c r="K90" s="19"/>
      <c r="L90" s="19"/>
      <c r="M90" s="19"/>
      <c r="N90" s="19"/>
      <c r="O90" s="19"/>
      <c r="P90" s="19"/>
    </row>
    <row r="91" ht="15.75" customHeight="1">
      <c r="A91" s="29" t="s">
        <v>105</v>
      </c>
      <c r="B91" s="22">
        <v>0.0</v>
      </c>
      <c r="C91" s="22">
        <v>0.0</v>
      </c>
      <c r="D91" s="22">
        <v>0.0</v>
      </c>
      <c r="E91" s="22">
        <v>0.0</v>
      </c>
      <c r="F91" s="22">
        <v>0.0</v>
      </c>
      <c r="G91" s="22">
        <v>0.0</v>
      </c>
      <c r="H91" s="22">
        <v>0.0</v>
      </c>
      <c r="I91" s="22">
        <v>0.0</v>
      </c>
      <c r="J91" s="22">
        <v>203.0</v>
      </c>
      <c r="K91" s="19"/>
      <c r="L91" s="19"/>
      <c r="M91" s="19"/>
      <c r="N91" s="19"/>
      <c r="O91" s="19"/>
      <c r="P91" s="19"/>
    </row>
    <row r="92" ht="15.75" customHeight="1">
      <c r="A92" s="8" t="s">
        <v>49</v>
      </c>
      <c r="B92" s="30">
        <f t="shared" ref="B92:P92" si="35">SUM(B68,B81)</f>
        <v>427255</v>
      </c>
      <c r="C92" s="30">
        <f t="shared" si="35"/>
        <v>519605</v>
      </c>
      <c r="D92" s="30">
        <f t="shared" si="35"/>
        <v>602484</v>
      </c>
      <c r="E92" s="30">
        <f t="shared" si="35"/>
        <v>639687</v>
      </c>
      <c r="F92" s="30">
        <f t="shared" si="35"/>
        <v>636277</v>
      </c>
      <c r="G92" s="30">
        <f t="shared" si="35"/>
        <v>713761</v>
      </c>
      <c r="H92" s="30">
        <f t="shared" si="35"/>
        <v>746555</v>
      </c>
      <c r="I92" s="30">
        <f t="shared" si="35"/>
        <v>1003854</v>
      </c>
      <c r="J92" s="30">
        <f t="shared" si="35"/>
        <v>1153508</v>
      </c>
      <c r="K92" s="30">
        <f t="shared" si="35"/>
        <v>0</v>
      </c>
      <c r="L92" s="30">
        <f t="shared" si="35"/>
        <v>0</v>
      </c>
      <c r="M92" s="30">
        <f t="shared" si="35"/>
        <v>0</v>
      </c>
      <c r="N92" s="30">
        <f t="shared" si="35"/>
        <v>0</v>
      </c>
      <c r="O92" s="30">
        <f t="shared" si="35"/>
        <v>0</v>
      </c>
      <c r="P92" s="30">
        <f t="shared" si="35"/>
        <v>0</v>
      </c>
    </row>
    <row r="93" ht="15.75" customHeight="1">
      <c r="A93" s="32" t="s">
        <v>106</v>
      </c>
      <c r="B93" s="33">
        <f t="shared" ref="B93:P93" si="36">B63-B92</f>
        <v>0</v>
      </c>
      <c r="C93" s="33">
        <f t="shared" si="36"/>
        <v>0</v>
      </c>
      <c r="D93" s="33">
        <f t="shared" si="36"/>
        <v>0</v>
      </c>
      <c r="E93" s="33">
        <f t="shared" si="36"/>
        <v>0</v>
      </c>
      <c r="F93" s="33">
        <f t="shared" si="36"/>
        <v>0</v>
      </c>
      <c r="G93" s="33">
        <f t="shared" si="36"/>
        <v>0</v>
      </c>
      <c r="H93" s="33">
        <f t="shared" si="36"/>
        <v>0</v>
      </c>
      <c r="I93" s="33">
        <f t="shared" si="36"/>
        <v>0</v>
      </c>
      <c r="J93" s="33">
        <f t="shared" si="36"/>
        <v>0</v>
      </c>
      <c r="K93" s="33">
        <f t="shared" si="36"/>
        <v>1107520.011</v>
      </c>
      <c r="L93" s="33">
        <f t="shared" si="36"/>
        <v>1354131.129</v>
      </c>
      <c r="M93" s="33">
        <f t="shared" si="36"/>
        <v>1639490.548</v>
      </c>
      <c r="N93" s="33">
        <f t="shared" si="36"/>
        <v>1970247.674</v>
      </c>
      <c r="O93" s="33">
        <f t="shared" si="36"/>
        <v>2354205.652</v>
      </c>
      <c r="P93" s="33">
        <f t="shared" si="36"/>
        <v>2800523.003</v>
      </c>
    </row>
    <row r="94" ht="15.75" customHeight="1">
      <c r="A94" s="5"/>
      <c r="B94" s="22"/>
      <c r="C94" s="22"/>
      <c r="D94" s="22"/>
      <c r="E94" s="22"/>
      <c r="F94" s="22"/>
      <c r="G94" s="22"/>
      <c r="H94" s="22"/>
      <c r="I94" s="22"/>
      <c r="J94" s="22"/>
    </row>
    <row r="95" ht="15.75" customHeight="1">
      <c r="A95" s="5" t="s">
        <v>68</v>
      </c>
      <c r="B95" s="22">
        <v>1500000.0</v>
      </c>
      <c r="C95" s="22">
        <v>1550000.0</v>
      </c>
      <c r="D95" s="22">
        <v>1560000.0</v>
      </c>
      <c r="E95" s="22">
        <v>1580000.0</v>
      </c>
      <c r="F95" s="22">
        <v>2000000.0</v>
      </c>
      <c r="G95" s="22">
        <v>2250000.0</v>
      </c>
      <c r="H95" s="22">
        <v>2250000.0</v>
      </c>
      <c r="I95" s="22">
        <v>2250000.0</v>
      </c>
      <c r="J95" s="22">
        <v>2250000.0</v>
      </c>
      <c r="K95" s="19">
        <f t="shared" ref="K95:P95" si="37">J95+K96</f>
        <v>2550000</v>
      </c>
      <c r="L95" s="19">
        <f t="shared" si="37"/>
        <v>2850000</v>
      </c>
      <c r="M95" s="19">
        <f t="shared" si="37"/>
        <v>3150000</v>
      </c>
      <c r="N95" s="19">
        <f t="shared" si="37"/>
        <v>3450000</v>
      </c>
      <c r="O95" s="19">
        <f t="shared" si="37"/>
        <v>3750000</v>
      </c>
      <c r="P95" s="19">
        <f t="shared" si="37"/>
        <v>4050000</v>
      </c>
    </row>
    <row r="96" ht="15.75" customHeight="1">
      <c r="A96" s="5" t="s">
        <v>69</v>
      </c>
      <c r="C96" s="19">
        <f t="shared" ref="C96:J96" si="38">C95-B95</f>
        <v>50000</v>
      </c>
      <c r="D96" s="19">
        <f t="shared" si="38"/>
        <v>10000</v>
      </c>
      <c r="E96" s="19">
        <f t="shared" si="38"/>
        <v>20000</v>
      </c>
      <c r="F96" s="19">
        <f t="shared" si="38"/>
        <v>420000</v>
      </c>
      <c r="G96" s="19">
        <f t="shared" si="38"/>
        <v>250000</v>
      </c>
      <c r="H96" s="19">
        <f t="shared" si="38"/>
        <v>0</v>
      </c>
      <c r="I96" s="19">
        <f t="shared" si="38"/>
        <v>0</v>
      </c>
      <c r="J96" s="19">
        <f t="shared" si="38"/>
        <v>0</v>
      </c>
      <c r="K96" s="20">
        <v>300000.0</v>
      </c>
      <c r="L96" s="116">
        <f t="shared" ref="L96:P96" si="39">K96</f>
        <v>300000</v>
      </c>
      <c r="M96" s="116">
        <f t="shared" si="39"/>
        <v>300000</v>
      </c>
      <c r="N96" s="116">
        <f t="shared" si="39"/>
        <v>300000</v>
      </c>
      <c r="O96" s="116">
        <f t="shared" si="39"/>
        <v>300000</v>
      </c>
      <c r="P96" s="116">
        <f t="shared" si="39"/>
        <v>300000</v>
      </c>
      <c r="Q96" s="19"/>
    </row>
    <row r="97" ht="15.75" customHeight="1">
      <c r="A97" s="5"/>
    </row>
    <row r="98" ht="15.75" customHeight="1">
      <c r="A98" s="5" t="s">
        <v>70</v>
      </c>
      <c r="B98" s="22">
        <v>1305351.0</v>
      </c>
      <c r="C98" s="22">
        <v>1444541.0</v>
      </c>
      <c r="D98" s="22">
        <v>1653500.0</v>
      </c>
      <c r="E98" s="22">
        <v>1753700.0</v>
      </c>
      <c r="F98" s="22">
        <v>1461126.0</v>
      </c>
      <c r="G98" s="22">
        <v>1361722.0</v>
      </c>
      <c r="H98" s="22">
        <v>1414277.0</v>
      </c>
      <c r="I98" s="22">
        <v>1706831.0</v>
      </c>
      <c r="J98" s="22">
        <v>1852256.0</v>
      </c>
      <c r="K98" s="114"/>
      <c r="L98" s="114"/>
      <c r="M98" s="114"/>
      <c r="N98" s="114"/>
      <c r="O98" s="114"/>
      <c r="P98" s="114"/>
    </row>
    <row r="99" ht="15.75" customHeight="1">
      <c r="A99" s="15" t="s">
        <v>181</v>
      </c>
      <c r="B99" s="22">
        <v>123897.0</v>
      </c>
      <c r="C99" s="22">
        <v>124062.0</v>
      </c>
      <c r="D99" s="22">
        <v>126074.0</v>
      </c>
      <c r="E99" s="22">
        <v>108749.0</v>
      </c>
      <c r="F99" s="22">
        <v>102171.0</v>
      </c>
      <c r="G99" s="22">
        <v>96139.0</v>
      </c>
      <c r="H99" s="22">
        <v>238376.0</v>
      </c>
      <c r="I99" s="22">
        <v>259333.0</v>
      </c>
      <c r="J99" s="22">
        <v>283067.0</v>
      </c>
      <c r="K99" s="114"/>
      <c r="L99" s="114"/>
      <c r="M99" s="114"/>
      <c r="N99" s="114"/>
      <c r="O99" s="114"/>
      <c r="P99" s="114"/>
    </row>
    <row r="100" ht="15.75" customHeight="1">
      <c r="A100" s="17" t="s">
        <v>49</v>
      </c>
      <c r="B100" s="27">
        <f t="shared" ref="B100:J100" si="40">SUM(B98:B99)</f>
        <v>1429248</v>
      </c>
      <c r="C100" s="27">
        <f t="shared" si="40"/>
        <v>1568603</v>
      </c>
      <c r="D100" s="27">
        <f t="shared" si="40"/>
        <v>1779574</v>
      </c>
      <c r="E100" s="27">
        <f t="shared" si="40"/>
        <v>1862449</v>
      </c>
      <c r="F100" s="27">
        <f t="shared" si="40"/>
        <v>1563297</v>
      </c>
      <c r="G100" s="27">
        <f t="shared" si="40"/>
        <v>1457861</v>
      </c>
      <c r="H100" s="27">
        <f t="shared" si="40"/>
        <v>1652653</v>
      </c>
      <c r="I100" s="27">
        <f t="shared" si="40"/>
        <v>1966164</v>
      </c>
      <c r="J100" s="27">
        <f t="shared" si="40"/>
        <v>2135323</v>
      </c>
      <c r="K100" s="52">
        <f t="shared" ref="K100:P100" si="41">K111*K118</f>
        <v>2388726.764</v>
      </c>
      <c r="L100" s="52">
        <f t="shared" si="41"/>
        <v>2537202.039</v>
      </c>
      <c r="M100" s="52">
        <f t="shared" si="41"/>
        <v>2695883.226</v>
      </c>
      <c r="N100" s="52">
        <f t="shared" si="41"/>
        <v>2865482.868</v>
      </c>
      <c r="O100" s="52">
        <f t="shared" si="41"/>
        <v>3046763.362</v>
      </c>
      <c r="P100" s="52">
        <f t="shared" si="41"/>
        <v>3240540.458</v>
      </c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ht="15.75" customHeight="1">
      <c r="A101" s="5"/>
    </row>
    <row r="102" ht="15.75" customHeight="1">
      <c r="A102" s="5" t="s">
        <v>72</v>
      </c>
      <c r="B102" s="35">
        <f t="shared" ref="B102:P102" si="42">B100/B95</f>
        <v>0.952832</v>
      </c>
      <c r="C102" s="35">
        <f t="shared" si="42"/>
        <v>1.012001935</v>
      </c>
      <c r="D102" s="35">
        <f t="shared" si="42"/>
        <v>1.140752564</v>
      </c>
      <c r="E102" s="35">
        <f t="shared" si="42"/>
        <v>1.17876519</v>
      </c>
      <c r="F102" s="35">
        <f t="shared" si="42"/>
        <v>0.7816485</v>
      </c>
      <c r="G102" s="35">
        <f t="shared" si="42"/>
        <v>0.6479382222</v>
      </c>
      <c r="H102" s="35">
        <f t="shared" si="42"/>
        <v>0.7345124444</v>
      </c>
      <c r="I102" s="35">
        <f t="shared" si="42"/>
        <v>0.8738506667</v>
      </c>
      <c r="J102" s="35">
        <f t="shared" si="42"/>
        <v>0.9490324444</v>
      </c>
      <c r="K102" s="35">
        <f t="shared" si="42"/>
        <v>0.9367555938</v>
      </c>
      <c r="L102" s="35">
        <f t="shared" si="42"/>
        <v>0.8902463294</v>
      </c>
      <c r="M102" s="35">
        <f t="shared" si="42"/>
        <v>0.8558359449</v>
      </c>
      <c r="N102" s="35">
        <f t="shared" si="42"/>
        <v>0.8305747443</v>
      </c>
      <c r="O102" s="35">
        <f t="shared" si="42"/>
        <v>0.8124702299</v>
      </c>
      <c r="P102" s="35">
        <f t="shared" si="42"/>
        <v>0.8001334464</v>
      </c>
    </row>
    <row r="103" ht="15.75" customHeight="1">
      <c r="A103" s="5"/>
      <c r="L103" s="117"/>
    </row>
    <row r="104" ht="15.75" customHeight="1">
      <c r="A104" s="5" t="s">
        <v>73</v>
      </c>
      <c r="C104" s="35">
        <f t="shared" ref="C104:J104" si="43">C98/B98-1</f>
        <v>0.106630324</v>
      </c>
      <c r="D104" s="35">
        <f t="shared" si="43"/>
        <v>0.1446542535</v>
      </c>
      <c r="E104" s="35">
        <f t="shared" si="43"/>
        <v>0.06059872997</v>
      </c>
      <c r="F104" s="35">
        <f t="shared" si="43"/>
        <v>-0.1668324115</v>
      </c>
      <c r="G104" s="35">
        <f t="shared" si="43"/>
        <v>-0.06803246263</v>
      </c>
      <c r="H104" s="35">
        <f t="shared" si="43"/>
        <v>0.03859451489</v>
      </c>
      <c r="I104" s="35">
        <f t="shared" si="43"/>
        <v>0.2068576382</v>
      </c>
      <c r="J104" s="35">
        <f t="shared" si="43"/>
        <v>0.08520175694</v>
      </c>
    </row>
    <row r="105" ht="15.75" customHeight="1">
      <c r="A105" s="5" t="s">
        <v>74</v>
      </c>
      <c r="C105" s="35">
        <f t="shared" ref="C105:J105" si="44">C99/B99-1</f>
        <v>0.001331751374</v>
      </c>
      <c r="D105" s="35">
        <f t="shared" si="44"/>
        <v>0.0162176976</v>
      </c>
      <c r="E105" s="35">
        <f t="shared" si="44"/>
        <v>-0.1374192934</v>
      </c>
      <c r="F105" s="35">
        <f t="shared" si="44"/>
        <v>-0.06048791253</v>
      </c>
      <c r="G105" s="35">
        <f t="shared" si="44"/>
        <v>-0.05903827896</v>
      </c>
      <c r="H105" s="35">
        <f t="shared" si="44"/>
        <v>1.479493234</v>
      </c>
      <c r="I105" s="35">
        <f t="shared" si="44"/>
        <v>0.08791572977</v>
      </c>
      <c r="J105" s="35">
        <f t="shared" si="44"/>
        <v>0.09151939784</v>
      </c>
    </row>
    <row r="106" ht="15.75" customHeight="1">
      <c r="A106" s="17" t="s">
        <v>75</v>
      </c>
      <c r="B106" s="34"/>
      <c r="C106" s="36">
        <f t="shared" ref="C106:J106" si="45">C100/B100-1</f>
        <v>0.0975023229</v>
      </c>
      <c r="D106" s="36">
        <f t="shared" si="45"/>
        <v>0.134496109</v>
      </c>
      <c r="E106" s="36">
        <f t="shared" si="45"/>
        <v>0.0465701342</v>
      </c>
      <c r="F106" s="36">
        <f t="shared" si="45"/>
        <v>-0.1606229218</v>
      </c>
      <c r="G106" s="36">
        <f t="shared" si="45"/>
        <v>-0.06744463784</v>
      </c>
      <c r="H106" s="36">
        <f t="shared" si="45"/>
        <v>0.1336149331</v>
      </c>
      <c r="I106" s="36">
        <f t="shared" si="45"/>
        <v>0.1897016494</v>
      </c>
      <c r="J106" s="36">
        <f t="shared" si="45"/>
        <v>0.08603504082</v>
      </c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ht="15.75" customHeight="1">
      <c r="A107" s="5"/>
    </row>
    <row r="108" ht="15.75" customHeight="1">
      <c r="A108" s="17" t="s">
        <v>76</v>
      </c>
    </row>
    <row r="109" ht="15.75" customHeight="1">
      <c r="A109" s="5" t="s">
        <v>77</v>
      </c>
      <c r="B109" s="22">
        <v>2789208.0</v>
      </c>
      <c r="C109" s="22">
        <v>3047582.0</v>
      </c>
      <c r="D109" s="22">
        <v>3288581.0</v>
      </c>
      <c r="E109" s="22">
        <v>3377389.0</v>
      </c>
      <c r="F109" s="22">
        <v>2773519.0</v>
      </c>
      <c r="G109" s="22">
        <v>2711457.0</v>
      </c>
      <c r="H109" s="22">
        <v>3069523.0</v>
      </c>
      <c r="I109" s="22">
        <v>3890114.0</v>
      </c>
      <c r="J109" s="22">
        <v>4218746.0</v>
      </c>
      <c r="K109" s="19">
        <f t="shared" ref="K109:P109" si="46">J109*(1+K112)</f>
        <v>4514058.22</v>
      </c>
      <c r="L109" s="19">
        <f t="shared" si="46"/>
        <v>4830042.295</v>
      </c>
      <c r="M109" s="19">
        <f t="shared" si="46"/>
        <v>5168145.256</v>
      </c>
      <c r="N109" s="19">
        <f t="shared" si="46"/>
        <v>5529915.424</v>
      </c>
      <c r="O109" s="19">
        <f t="shared" si="46"/>
        <v>5917009.504</v>
      </c>
      <c r="P109" s="19">
        <f t="shared" si="46"/>
        <v>6331200.169</v>
      </c>
    </row>
    <row r="110" ht="15.75" customHeight="1">
      <c r="A110" s="5" t="s">
        <v>71</v>
      </c>
      <c r="B110" s="22">
        <v>653053.0</v>
      </c>
      <c r="C110" s="22">
        <v>758727.0</v>
      </c>
      <c r="D110" s="22">
        <v>748366.0</v>
      </c>
      <c r="E110" s="22">
        <v>676192.0</v>
      </c>
      <c r="F110" s="22">
        <v>662118.0</v>
      </c>
      <c r="G110" s="22">
        <v>404397.0</v>
      </c>
      <c r="H110" s="22">
        <v>577875.0</v>
      </c>
      <c r="I110" s="22">
        <v>662891.0</v>
      </c>
      <c r="J110" s="22">
        <v>672105.0</v>
      </c>
      <c r="K110" s="19">
        <f t="shared" ref="K110:P110" si="47">J110*(1+K113)</f>
        <v>678826.05</v>
      </c>
      <c r="L110" s="19">
        <f t="shared" si="47"/>
        <v>685614.3105</v>
      </c>
      <c r="M110" s="19">
        <f t="shared" si="47"/>
        <v>692470.4536</v>
      </c>
      <c r="N110" s="19">
        <f t="shared" si="47"/>
        <v>699395.1581</v>
      </c>
      <c r="O110" s="19">
        <f t="shared" si="47"/>
        <v>706389.1097</v>
      </c>
      <c r="P110" s="19">
        <f t="shared" si="47"/>
        <v>713453.0008</v>
      </c>
    </row>
    <row r="111" ht="15.75" customHeight="1">
      <c r="A111" s="17" t="s">
        <v>49</v>
      </c>
      <c r="B111" s="27">
        <f t="shared" ref="B111:P111" si="48">SUM(B109:B110)</f>
        <v>3442261</v>
      </c>
      <c r="C111" s="27">
        <f t="shared" si="48"/>
        <v>3806309</v>
      </c>
      <c r="D111" s="27">
        <f t="shared" si="48"/>
        <v>4036947</v>
      </c>
      <c r="E111" s="27">
        <f t="shared" si="48"/>
        <v>4053581</v>
      </c>
      <c r="F111" s="27">
        <f t="shared" si="48"/>
        <v>3435637</v>
      </c>
      <c r="G111" s="27">
        <f t="shared" si="48"/>
        <v>3115854</v>
      </c>
      <c r="H111" s="27">
        <f t="shared" si="48"/>
        <v>3647398</v>
      </c>
      <c r="I111" s="27">
        <f t="shared" si="48"/>
        <v>4553005</v>
      </c>
      <c r="J111" s="27">
        <f t="shared" si="48"/>
        <v>4890851</v>
      </c>
      <c r="K111" s="27">
        <f t="shared" si="48"/>
        <v>5192884.27</v>
      </c>
      <c r="L111" s="27">
        <f t="shared" si="48"/>
        <v>5515656.606</v>
      </c>
      <c r="M111" s="27">
        <f t="shared" si="48"/>
        <v>5860615.71</v>
      </c>
      <c r="N111" s="27">
        <f t="shared" si="48"/>
        <v>6229310.582</v>
      </c>
      <c r="O111" s="27">
        <f t="shared" si="48"/>
        <v>6623398.613</v>
      </c>
      <c r="P111" s="27">
        <f t="shared" si="48"/>
        <v>7044653.17</v>
      </c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ht="15.75" customHeight="1">
      <c r="A112" s="5" t="s">
        <v>78</v>
      </c>
      <c r="C112" s="35">
        <f t="shared" ref="C112:J112" si="49">C109/B109-1</f>
        <v>0.09263346441</v>
      </c>
      <c r="D112" s="35">
        <f t="shared" si="49"/>
        <v>0.07907875818</v>
      </c>
      <c r="E112" s="35">
        <f t="shared" si="49"/>
        <v>0.0270049605</v>
      </c>
      <c r="F112" s="35">
        <f t="shared" si="49"/>
        <v>-0.178797882</v>
      </c>
      <c r="G112" s="35">
        <f t="shared" si="49"/>
        <v>-0.02237662695</v>
      </c>
      <c r="H112" s="35">
        <f t="shared" si="49"/>
        <v>0.1320566765</v>
      </c>
      <c r="I112" s="35">
        <f t="shared" si="49"/>
        <v>0.2673350224</v>
      </c>
      <c r="J112" s="35">
        <f t="shared" si="49"/>
        <v>0.08447875821</v>
      </c>
      <c r="K112" s="37">
        <v>0.07</v>
      </c>
      <c r="L112" s="38">
        <f t="shared" ref="L112:P112" si="50">K112</f>
        <v>0.07</v>
      </c>
      <c r="M112" s="38">
        <f t="shared" si="50"/>
        <v>0.07</v>
      </c>
      <c r="N112" s="38">
        <f t="shared" si="50"/>
        <v>0.07</v>
      </c>
      <c r="O112" s="38">
        <f t="shared" si="50"/>
        <v>0.07</v>
      </c>
      <c r="P112" s="38">
        <f t="shared" si="50"/>
        <v>0.07</v>
      </c>
    </row>
    <row r="113" ht="15.75" customHeight="1">
      <c r="A113" s="5" t="s">
        <v>79</v>
      </c>
      <c r="C113" s="35">
        <f t="shared" ref="C113:J113" si="51">C110/B110-1</f>
        <v>0.1618153504</v>
      </c>
      <c r="D113" s="35">
        <f t="shared" si="51"/>
        <v>-0.01365576815</v>
      </c>
      <c r="E113" s="35">
        <f t="shared" si="51"/>
        <v>-0.09644211522</v>
      </c>
      <c r="F113" s="35">
        <f t="shared" si="51"/>
        <v>-0.02081361507</v>
      </c>
      <c r="G113" s="35">
        <f t="shared" si="51"/>
        <v>-0.3892372659</v>
      </c>
      <c r="H113" s="35">
        <f t="shared" si="51"/>
        <v>0.4289794435</v>
      </c>
      <c r="I113" s="35">
        <f t="shared" si="51"/>
        <v>0.1471183214</v>
      </c>
      <c r="J113" s="35">
        <f t="shared" si="51"/>
        <v>0.01389972107</v>
      </c>
      <c r="K113" s="37">
        <v>0.01</v>
      </c>
      <c r="L113" s="38">
        <f t="shared" ref="L113:P113" si="52">K113</f>
        <v>0.01</v>
      </c>
      <c r="M113" s="38">
        <f t="shared" si="52"/>
        <v>0.01</v>
      </c>
      <c r="N113" s="38">
        <f t="shared" si="52"/>
        <v>0.01</v>
      </c>
      <c r="O113" s="38">
        <f t="shared" si="52"/>
        <v>0.01</v>
      </c>
      <c r="P113" s="38">
        <f t="shared" si="52"/>
        <v>0.01</v>
      </c>
    </row>
    <row r="114" ht="15.75" customHeight="1">
      <c r="A114" s="5"/>
    </row>
    <row r="115" ht="15.75" customHeight="1">
      <c r="A115" s="17" t="s">
        <v>80</v>
      </c>
    </row>
    <row r="116" ht="15.75" customHeight="1">
      <c r="A116" s="5" t="s">
        <v>70</v>
      </c>
      <c r="B116" s="35">
        <f t="shared" ref="B116:J116" si="53">B98/B109</f>
        <v>0.4680005937</v>
      </c>
      <c r="C116" s="35">
        <f t="shared" si="53"/>
        <v>0.4739957776</v>
      </c>
      <c r="D116" s="35">
        <f t="shared" si="53"/>
        <v>0.502800448</v>
      </c>
      <c r="E116" s="35">
        <f t="shared" si="53"/>
        <v>0.5192472647</v>
      </c>
      <c r="F116" s="35">
        <f t="shared" si="53"/>
        <v>0.5268130487</v>
      </c>
      <c r="G116" s="35">
        <f t="shared" si="53"/>
        <v>0.5022104352</v>
      </c>
      <c r="H116" s="35">
        <f t="shared" si="53"/>
        <v>0.4607481358</v>
      </c>
      <c r="I116" s="35">
        <f t="shared" si="53"/>
        <v>0.4387611777</v>
      </c>
      <c r="J116" s="35">
        <f t="shared" si="53"/>
        <v>0.4390536904</v>
      </c>
    </row>
    <row r="117" ht="15.75" customHeight="1">
      <c r="A117" s="5" t="s">
        <v>71</v>
      </c>
      <c r="B117" s="35">
        <f t="shared" ref="B117:J117" si="54">B99/B110</f>
        <v>0.1897196705</v>
      </c>
      <c r="C117" s="35">
        <f t="shared" si="54"/>
        <v>0.1635133586</v>
      </c>
      <c r="D117" s="35">
        <f t="shared" si="54"/>
        <v>0.1684656973</v>
      </c>
      <c r="E117" s="35">
        <f t="shared" si="54"/>
        <v>0.1608256235</v>
      </c>
      <c r="F117" s="35">
        <f t="shared" si="54"/>
        <v>0.1543093527</v>
      </c>
      <c r="G117" s="35">
        <f t="shared" si="54"/>
        <v>0.2377342067</v>
      </c>
      <c r="H117" s="35">
        <f t="shared" si="54"/>
        <v>0.4125044343</v>
      </c>
      <c r="I117" s="35">
        <f t="shared" si="54"/>
        <v>0.391215147</v>
      </c>
      <c r="J117" s="35">
        <f t="shared" si="54"/>
        <v>0.4211648478</v>
      </c>
    </row>
    <row r="118" ht="15.75" customHeight="1">
      <c r="A118" s="17" t="s">
        <v>81</v>
      </c>
      <c r="B118" s="36">
        <f t="shared" ref="B118:J118" si="55">B100/B111</f>
        <v>0.4152061683</v>
      </c>
      <c r="C118" s="36">
        <f t="shared" si="55"/>
        <v>0.4121060587</v>
      </c>
      <c r="D118" s="36">
        <f t="shared" si="55"/>
        <v>0.4408217398</v>
      </c>
      <c r="E118" s="36">
        <f t="shared" si="55"/>
        <v>0.4594576993</v>
      </c>
      <c r="F118" s="36">
        <f t="shared" si="55"/>
        <v>0.4550239155</v>
      </c>
      <c r="G118" s="36">
        <f t="shared" si="55"/>
        <v>0.4678848881</v>
      </c>
      <c r="H118" s="36">
        <f t="shared" si="55"/>
        <v>0.4531046516</v>
      </c>
      <c r="I118" s="36">
        <f t="shared" si="55"/>
        <v>0.4318387526</v>
      </c>
      <c r="J118" s="36">
        <f t="shared" si="55"/>
        <v>0.43659539</v>
      </c>
      <c r="K118" s="118">
        <v>0.46</v>
      </c>
      <c r="L118" s="119">
        <f t="shared" ref="L118:P118" si="56">K118</f>
        <v>0.46</v>
      </c>
      <c r="M118" s="119">
        <f t="shared" si="56"/>
        <v>0.46</v>
      </c>
      <c r="N118" s="119">
        <f t="shared" si="56"/>
        <v>0.46</v>
      </c>
      <c r="O118" s="119">
        <f t="shared" si="56"/>
        <v>0.46</v>
      </c>
      <c r="P118" s="119">
        <f t="shared" si="56"/>
        <v>0.46</v>
      </c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ht="15.75" customHeight="1">
      <c r="A119" s="5"/>
    </row>
    <row r="120" ht="15.75" customHeight="1">
      <c r="A120" s="5" t="s">
        <v>82</v>
      </c>
      <c r="B120" s="19">
        <f t="shared" ref="B120:J120" si="57">(B3/B100)*10^6</f>
        <v>399241.4193</v>
      </c>
      <c r="C120" s="19">
        <f t="shared" si="57"/>
        <v>434048.6407</v>
      </c>
      <c r="D120" s="19">
        <f t="shared" si="57"/>
        <v>448474.7473</v>
      </c>
      <c r="E120" s="19">
        <f t="shared" si="57"/>
        <v>462125.4059</v>
      </c>
      <c r="F120" s="19">
        <f t="shared" si="57"/>
        <v>483977.1329</v>
      </c>
      <c r="G120" s="19">
        <f t="shared" si="57"/>
        <v>482707.1991</v>
      </c>
      <c r="H120" s="19">
        <f t="shared" si="57"/>
        <v>534472.7538</v>
      </c>
      <c r="I120" s="19">
        <f t="shared" si="57"/>
        <v>602238.1653</v>
      </c>
      <c r="J120" s="19">
        <f t="shared" si="57"/>
        <v>664340.711</v>
      </c>
      <c r="K120" s="19">
        <f t="shared" ref="K120:P120" si="58">J120*(1+K121)</f>
        <v>730774.7821</v>
      </c>
      <c r="L120" s="19">
        <f t="shared" si="58"/>
        <v>803852.2603</v>
      </c>
      <c r="M120" s="19">
        <f t="shared" si="58"/>
        <v>884237.4863</v>
      </c>
      <c r="N120" s="19">
        <f t="shared" si="58"/>
        <v>972661.235</v>
      </c>
      <c r="O120" s="19">
        <f t="shared" si="58"/>
        <v>1069927.358</v>
      </c>
      <c r="P120" s="19">
        <f t="shared" si="58"/>
        <v>1176920.094</v>
      </c>
    </row>
    <row r="121" ht="15.75" customHeight="1">
      <c r="A121" s="5" t="s">
        <v>83</v>
      </c>
      <c r="C121" s="35">
        <f t="shared" ref="C121:J121" si="59">C120/B120-1</f>
        <v>0.08718339278</v>
      </c>
      <c r="D121" s="35">
        <f t="shared" si="59"/>
        <v>0.03323615199</v>
      </c>
      <c r="E121" s="35">
        <f t="shared" si="59"/>
        <v>0.03043796469</v>
      </c>
      <c r="F121" s="35">
        <f t="shared" si="59"/>
        <v>0.04728527542</v>
      </c>
      <c r="G121" s="35">
        <f t="shared" si="59"/>
        <v>-0.002623954209</v>
      </c>
      <c r="H121" s="35">
        <f t="shared" si="59"/>
        <v>0.1072400718</v>
      </c>
      <c r="I121" s="35">
        <f t="shared" si="59"/>
        <v>0.1267892722</v>
      </c>
      <c r="J121" s="35">
        <f t="shared" si="59"/>
        <v>0.1031195784</v>
      </c>
      <c r="K121" s="37">
        <v>0.1</v>
      </c>
      <c r="L121" s="38">
        <f t="shared" ref="L121:P121" si="60">K121</f>
        <v>0.1</v>
      </c>
      <c r="M121" s="38">
        <f t="shared" si="60"/>
        <v>0.1</v>
      </c>
      <c r="N121" s="38">
        <f t="shared" si="60"/>
        <v>0.1</v>
      </c>
      <c r="O121" s="38">
        <f t="shared" si="60"/>
        <v>0.1</v>
      </c>
      <c r="P121" s="38">
        <f t="shared" si="60"/>
        <v>0.1</v>
      </c>
    </row>
    <row r="122" ht="15.75" customHeight="1">
      <c r="A122" s="5"/>
    </row>
    <row r="123" ht="15.75" customHeight="1">
      <c r="A123" s="17" t="s">
        <v>84</v>
      </c>
    </row>
    <row r="124" ht="15.75" customHeight="1">
      <c r="A124" s="5"/>
    </row>
    <row r="125" ht="15.75" customHeight="1">
      <c r="A125" s="1" t="s">
        <v>5</v>
      </c>
      <c r="B125" s="35">
        <f t="shared" ref="B125:J125" si="61">B9/B$3</f>
        <v>0.6344154991</v>
      </c>
      <c r="C125" s="35">
        <f t="shared" si="61"/>
        <v>0.6260982595</v>
      </c>
      <c r="D125" s="35">
        <f t="shared" si="61"/>
        <v>0.5631316612</v>
      </c>
      <c r="E125" s="35">
        <f t="shared" si="61"/>
        <v>0.5231379657</v>
      </c>
      <c r="F125" s="35">
        <f t="shared" si="61"/>
        <v>0.4577689664</v>
      </c>
      <c r="G125" s="35">
        <f t="shared" si="61"/>
        <v>0.4731484113</v>
      </c>
      <c r="H125" s="35">
        <f t="shared" si="61"/>
        <v>0.4499002602</v>
      </c>
      <c r="I125" s="35">
        <f t="shared" si="61"/>
        <v>0.6194769187</v>
      </c>
      <c r="J125" s="35">
        <f t="shared" si="61"/>
        <v>0.5562970628</v>
      </c>
      <c r="K125" s="37">
        <v>0.6</v>
      </c>
      <c r="L125" s="38">
        <f t="shared" ref="L125:P125" si="62">K125</f>
        <v>0.6</v>
      </c>
      <c r="M125" s="38">
        <f t="shared" si="62"/>
        <v>0.6</v>
      </c>
      <c r="N125" s="38">
        <f t="shared" si="62"/>
        <v>0.6</v>
      </c>
      <c r="O125" s="38">
        <f t="shared" si="62"/>
        <v>0.6</v>
      </c>
      <c r="P125" s="38">
        <f t="shared" si="62"/>
        <v>0.6</v>
      </c>
    </row>
    <row r="126" ht="15.75" customHeight="1">
      <c r="A126" s="1" t="s">
        <v>6</v>
      </c>
      <c r="B126" s="35">
        <f t="shared" ref="B126:J126" si="63">B10/B$3</f>
        <v>0.05558038257</v>
      </c>
      <c r="C126" s="35">
        <f t="shared" si="63"/>
        <v>0.06599985312</v>
      </c>
      <c r="D126" s="35">
        <f t="shared" si="63"/>
        <v>0.1253248364</v>
      </c>
      <c r="E126" s="35">
        <f t="shared" si="63"/>
        <v>0.1663895618</v>
      </c>
      <c r="F126" s="35">
        <f t="shared" si="63"/>
        <v>0.2480465239</v>
      </c>
      <c r="G126" s="35">
        <f t="shared" si="63"/>
        <v>0.2451841642</v>
      </c>
      <c r="H126" s="35">
        <f t="shared" si="63"/>
        <v>0.2988515767</v>
      </c>
      <c r="I126" s="35">
        <f t="shared" si="63"/>
        <v>0.1073786905</v>
      </c>
      <c r="J126" s="35">
        <f t="shared" si="63"/>
        <v>0.1494746162</v>
      </c>
      <c r="K126" s="37">
        <v>0.08</v>
      </c>
      <c r="L126" s="38">
        <f t="shared" ref="L126:P126" si="64">K126</f>
        <v>0.08</v>
      </c>
      <c r="M126" s="38">
        <f t="shared" si="64"/>
        <v>0.08</v>
      </c>
      <c r="N126" s="38">
        <f t="shared" si="64"/>
        <v>0.08</v>
      </c>
      <c r="O126" s="38">
        <f t="shared" si="64"/>
        <v>0.08</v>
      </c>
      <c r="P126" s="38">
        <f t="shared" si="64"/>
        <v>0.08</v>
      </c>
    </row>
    <row r="127" ht="15.75" customHeight="1">
      <c r="A127" s="1" t="s">
        <v>8</v>
      </c>
      <c r="B127" s="35">
        <f t="shared" ref="B127:J127" si="65">B11/B$3</f>
        <v>0.0001104071922</v>
      </c>
      <c r="C127" s="35">
        <f t="shared" si="65"/>
        <v>-0.005570977455</v>
      </c>
      <c r="D127" s="35">
        <f t="shared" si="65"/>
        <v>0.0005112179768</v>
      </c>
      <c r="E127" s="35">
        <f t="shared" si="65"/>
        <v>0.002458506887</v>
      </c>
      <c r="F127" s="35">
        <f t="shared" si="65"/>
        <v>-0.003154903516</v>
      </c>
      <c r="G127" s="35">
        <f t="shared" si="65"/>
        <v>0.003887909964</v>
      </c>
      <c r="H127" s="35">
        <f t="shared" si="65"/>
        <v>-0.001054004424</v>
      </c>
      <c r="I127" s="35">
        <f t="shared" si="65"/>
        <v>-0.004902461703</v>
      </c>
      <c r="J127" s="35">
        <f t="shared" si="65"/>
        <v>-0.002668862286</v>
      </c>
      <c r="K127" s="38">
        <f t="shared" ref="K127:P127" si="66">J127</f>
        <v>-0.002668862286</v>
      </c>
      <c r="L127" s="38">
        <f t="shared" si="66"/>
        <v>-0.002668862286</v>
      </c>
      <c r="M127" s="38">
        <f t="shared" si="66"/>
        <v>-0.002668862286</v>
      </c>
      <c r="N127" s="38">
        <f t="shared" si="66"/>
        <v>-0.002668862286</v>
      </c>
      <c r="O127" s="38">
        <f t="shared" si="66"/>
        <v>-0.002668862286</v>
      </c>
      <c r="P127" s="38">
        <f t="shared" si="66"/>
        <v>-0.002668862286</v>
      </c>
    </row>
    <row r="128" ht="15.75" customHeight="1">
      <c r="A128" s="1" t="s">
        <v>10</v>
      </c>
      <c r="B128" s="35">
        <f t="shared" ref="B128:J128" si="67">B12/B$3</f>
        <v>0.03610490436</v>
      </c>
      <c r="C128" s="35">
        <f t="shared" si="67"/>
        <v>0.03466696042</v>
      </c>
      <c r="D128" s="35">
        <f t="shared" si="67"/>
        <v>0.03587797929</v>
      </c>
      <c r="E128" s="35">
        <f t="shared" si="67"/>
        <v>0.03816727374</v>
      </c>
      <c r="F128" s="35">
        <f t="shared" si="67"/>
        <v>0.04515199577</v>
      </c>
      <c r="G128" s="35">
        <f t="shared" si="67"/>
        <v>0.04876371284</v>
      </c>
      <c r="H128" s="35">
        <f t="shared" si="67"/>
        <v>0.04586674033</v>
      </c>
      <c r="I128" s="35">
        <f t="shared" si="67"/>
        <v>0.04483155547</v>
      </c>
      <c r="J128" s="35">
        <f t="shared" si="67"/>
        <v>0.04442182405</v>
      </c>
      <c r="K128" s="37">
        <v>0.04</v>
      </c>
      <c r="L128" s="38">
        <f t="shared" ref="L128:P128" si="68">K128</f>
        <v>0.04</v>
      </c>
      <c r="M128" s="38">
        <f t="shared" si="68"/>
        <v>0.04</v>
      </c>
      <c r="N128" s="38">
        <f t="shared" si="68"/>
        <v>0.04</v>
      </c>
      <c r="O128" s="38">
        <f t="shared" si="68"/>
        <v>0.04</v>
      </c>
      <c r="P128" s="38">
        <f t="shared" si="68"/>
        <v>0.04</v>
      </c>
    </row>
    <row r="129" ht="15.75" customHeight="1">
      <c r="A129" s="1" t="s">
        <v>12</v>
      </c>
      <c r="B129" s="35">
        <f t="shared" ref="B129:J129" si="69">B13/B$3</f>
        <v>0.1422097211</v>
      </c>
      <c r="C129" s="35">
        <f t="shared" si="69"/>
        <v>0.1281927003</v>
      </c>
      <c r="D129" s="35">
        <f t="shared" si="69"/>
        <v>0.1252433924</v>
      </c>
      <c r="E129" s="35">
        <f t="shared" si="69"/>
        <v>0.1434229712</v>
      </c>
      <c r="F129" s="35">
        <f t="shared" si="69"/>
        <v>0.1571451229</v>
      </c>
      <c r="G129" s="35">
        <f t="shared" si="69"/>
        <v>0.1540030126</v>
      </c>
      <c r="H129" s="35">
        <f t="shared" si="69"/>
        <v>0.1434702671</v>
      </c>
      <c r="I129" s="35">
        <f t="shared" si="69"/>
        <v>0.123951629</v>
      </c>
      <c r="J129" s="35">
        <f t="shared" si="69"/>
        <v>0.1237157951</v>
      </c>
      <c r="K129" s="38">
        <f t="shared" ref="K129:P129" si="70">J129</f>
        <v>0.1237157951</v>
      </c>
      <c r="L129" s="38">
        <f t="shared" si="70"/>
        <v>0.1237157951</v>
      </c>
      <c r="M129" s="38">
        <f t="shared" si="70"/>
        <v>0.1237157951</v>
      </c>
      <c r="N129" s="38">
        <f t="shared" si="70"/>
        <v>0.1237157951</v>
      </c>
      <c r="O129" s="38">
        <f t="shared" si="70"/>
        <v>0.1237157951</v>
      </c>
      <c r="P129" s="38">
        <f t="shared" si="70"/>
        <v>0.1237157951</v>
      </c>
    </row>
    <row r="130" ht="15.75" customHeight="1">
      <c r="A130" s="1" t="s">
        <v>85</v>
      </c>
      <c r="B130" s="35">
        <f t="shared" ref="B130:J130" si="71">B14/B$3</f>
        <v>-0.001055002059</v>
      </c>
      <c r="C130" s="35">
        <f t="shared" si="71"/>
        <v>-0.001521627378</v>
      </c>
      <c r="D130" s="35">
        <f t="shared" si="71"/>
        <v>-0.00124170837</v>
      </c>
      <c r="E130" s="35">
        <f t="shared" si="71"/>
        <v>-0.001418637481</v>
      </c>
      <c r="F130" s="35">
        <f t="shared" si="71"/>
        <v>-0.001608511763</v>
      </c>
      <c r="G130" s="35">
        <f t="shared" si="71"/>
        <v>-0.001034502359</v>
      </c>
      <c r="H130" s="35">
        <f t="shared" si="71"/>
        <v>-0.001635914493</v>
      </c>
      <c r="I130" s="35">
        <f t="shared" si="71"/>
        <v>-0.001321680028</v>
      </c>
      <c r="J130" s="35">
        <f t="shared" si="71"/>
        <v>-0.001837750655</v>
      </c>
      <c r="K130" s="38">
        <f t="shared" ref="K130:P130" si="72">J130</f>
        <v>-0.001837750655</v>
      </c>
      <c r="L130" s="38">
        <f t="shared" si="72"/>
        <v>-0.001837750655</v>
      </c>
      <c r="M130" s="38">
        <f t="shared" si="72"/>
        <v>-0.001837750655</v>
      </c>
      <c r="N130" s="38">
        <f t="shared" si="72"/>
        <v>-0.001837750655</v>
      </c>
      <c r="O130" s="38">
        <f t="shared" si="72"/>
        <v>-0.001837750655</v>
      </c>
      <c r="P130" s="38">
        <f t="shared" si="72"/>
        <v>-0.001837750655</v>
      </c>
    </row>
    <row r="131" ht="15.75" customHeight="1">
      <c r="A131" s="5"/>
    </row>
    <row r="132" ht="15.75" hidden="1" customHeight="1">
      <c r="A132" s="5"/>
    </row>
    <row r="133" ht="15.75" hidden="1" customHeight="1">
      <c r="A133" s="18" t="s">
        <v>86</v>
      </c>
    </row>
    <row r="134" ht="15.75" hidden="1" customHeight="1">
      <c r="A134" s="5"/>
    </row>
    <row r="135" ht="15.75" hidden="1" customHeight="1">
      <c r="A135" s="1" t="s">
        <v>5</v>
      </c>
    </row>
    <row r="136" ht="15.75" hidden="1" customHeight="1">
      <c r="A136" s="1" t="s">
        <v>6</v>
      </c>
    </row>
    <row r="137" ht="15.75" hidden="1" customHeight="1">
      <c r="A137" s="1" t="s">
        <v>8</v>
      </c>
    </row>
    <row r="138" ht="15.75" hidden="1" customHeight="1">
      <c r="A138" s="1" t="s">
        <v>10</v>
      </c>
    </row>
    <row r="139" ht="15.75" hidden="1" customHeight="1">
      <c r="A139" s="1" t="s">
        <v>12</v>
      </c>
    </row>
    <row r="140" ht="15.75" hidden="1" customHeight="1">
      <c r="A140" s="1" t="s">
        <v>85</v>
      </c>
    </row>
    <row r="141" ht="15.75" hidden="1" customHeight="1">
      <c r="A141" s="5"/>
    </row>
    <row r="142" ht="15.75" hidden="1" customHeight="1">
      <c r="A142" s="1" t="s">
        <v>83</v>
      </c>
    </row>
    <row r="143" ht="15.75" hidden="1" customHeight="1">
      <c r="A143" s="1" t="s">
        <v>5</v>
      </c>
    </row>
    <row r="144" ht="15.75" hidden="1" customHeight="1">
      <c r="A144" s="1" t="s">
        <v>6</v>
      </c>
    </row>
    <row r="145" ht="15.75" hidden="1" customHeight="1">
      <c r="A145" s="1" t="s">
        <v>8</v>
      </c>
    </row>
    <row r="146" ht="15.75" hidden="1" customHeight="1">
      <c r="A146" s="1" t="s">
        <v>10</v>
      </c>
    </row>
    <row r="147" ht="15.75" hidden="1" customHeight="1">
      <c r="A147" s="1" t="s">
        <v>12</v>
      </c>
    </row>
    <row r="148" ht="15.75" hidden="1" customHeight="1">
      <c r="A148" s="1" t="s">
        <v>85</v>
      </c>
    </row>
    <row r="149" ht="15.75" hidden="1" customHeight="1">
      <c r="A149" s="5"/>
    </row>
    <row r="150" ht="15.75" hidden="1" customHeight="1">
      <c r="A150" s="5"/>
    </row>
    <row r="151" ht="15.75" hidden="1" customHeight="1">
      <c r="A151" s="5"/>
    </row>
    <row r="152" ht="15.75" customHeight="1">
      <c r="A152" s="18" t="s">
        <v>87</v>
      </c>
    </row>
    <row r="153" ht="15.75" customHeight="1">
      <c r="A153" s="5"/>
    </row>
    <row r="154" ht="15.75" customHeight="1">
      <c r="A154" s="17" t="s">
        <v>60</v>
      </c>
    </row>
    <row r="155" ht="15.75" customHeight="1">
      <c r="A155" s="16" t="s">
        <v>61</v>
      </c>
      <c r="B155" s="19">
        <f t="shared" ref="B155:P155" si="73">B83</f>
        <v>31326</v>
      </c>
      <c r="C155" s="19">
        <f t="shared" si="73"/>
        <v>32637</v>
      </c>
      <c r="D155" s="19">
        <f t="shared" si="73"/>
        <v>31602</v>
      </c>
      <c r="E155" s="19">
        <f t="shared" si="73"/>
        <v>33226</v>
      </c>
      <c r="F155" s="19">
        <f t="shared" si="73"/>
        <v>32139</v>
      </c>
      <c r="G155" s="19">
        <f t="shared" si="73"/>
        <v>30490</v>
      </c>
      <c r="H155" s="19">
        <f t="shared" si="73"/>
        <v>35323</v>
      </c>
      <c r="I155" s="19">
        <f t="shared" si="73"/>
        <v>54435</v>
      </c>
      <c r="J155" s="19">
        <f t="shared" si="73"/>
        <v>53181</v>
      </c>
      <c r="K155" s="19" t="str">
        <f t="shared" si="73"/>
        <v/>
      </c>
      <c r="L155" s="19" t="str">
        <f t="shared" si="73"/>
        <v/>
      </c>
      <c r="M155" s="19" t="str">
        <f t="shared" si="73"/>
        <v/>
      </c>
      <c r="N155" s="19" t="str">
        <f t="shared" si="73"/>
        <v/>
      </c>
      <c r="O155" s="19" t="str">
        <f t="shared" si="73"/>
        <v/>
      </c>
      <c r="P155" s="19" t="str">
        <f t="shared" si="73"/>
        <v/>
      </c>
    </row>
    <row r="156" ht="15.75" customHeight="1">
      <c r="A156" s="16" t="s">
        <v>62</v>
      </c>
      <c r="B156" s="19">
        <f t="shared" ref="B156:P156" si="74">B84</f>
        <v>13234</v>
      </c>
      <c r="C156" s="19">
        <f t="shared" si="74"/>
        <v>12026</v>
      </c>
      <c r="D156" s="19">
        <f t="shared" si="74"/>
        <v>14654</v>
      </c>
      <c r="E156" s="19">
        <f t="shared" si="74"/>
        <v>23128</v>
      </c>
      <c r="F156" s="19">
        <f t="shared" si="74"/>
        <v>21298</v>
      </c>
      <c r="G156" s="19">
        <f t="shared" si="74"/>
        <v>12799</v>
      </c>
      <c r="H156" s="19">
        <f t="shared" si="74"/>
        <v>20345</v>
      </c>
      <c r="I156" s="19">
        <f t="shared" si="74"/>
        <v>32848</v>
      </c>
      <c r="J156" s="19">
        <f t="shared" si="74"/>
        <v>45968</v>
      </c>
      <c r="K156" s="19" t="str">
        <f t="shared" si="74"/>
        <v/>
      </c>
      <c r="L156" s="19" t="str">
        <f t="shared" si="74"/>
        <v/>
      </c>
      <c r="M156" s="19" t="str">
        <f t="shared" si="74"/>
        <v/>
      </c>
      <c r="N156" s="19" t="str">
        <f t="shared" si="74"/>
        <v/>
      </c>
      <c r="O156" s="19" t="str">
        <f t="shared" si="74"/>
        <v/>
      </c>
      <c r="P156" s="19" t="str">
        <f t="shared" si="74"/>
        <v/>
      </c>
    </row>
    <row r="157" ht="15.75" customHeight="1">
      <c r="A157" s="16" t="s">
        <v>64</v>
      </c>
      <c r="B157" s="19">
        <f t="shared" ref="B157:P157" si="75">B86</f>
        <v>31</v>
      </c>
      <c r="C157" s="19">
        <f t="shared" si="75"/>
        <v>25</v>
      </c>
      <c r="D157" s="19">
        <f t="shared" si="75"/>
        <v>30</v>
      </c>
      <c r="E157" s="19">
        <f t="shared" si="75"/>
        <v>161</v>
      </c>
      <c r="F157" s="19">
        <f t="shared" si="75"/>
        <v>170</v>
      </c>
      <c r="G157" s="19">
        <f t="shared" si="75"/>
        <v>230</v>
      </c>
      <c r="H157" s="19">
        <f t="shared" si="75"/>
        <v>305</v>
      </c>
      <c r="I157" s="19">
        <f t="shared" si="75"/>
        <v>297</v>
      </c>
      <c r="J157" s="19">
        <f t="shared" si="75"/>
        <v>327</v>
      </c>
      <c r="K157" s="19" t="str">
        <f t="shared" si="75"/>
        <v/>
      </c>
      <c r="L157" s="19" t="str">
        <f t="shared" si="75"/>
        <v/>
      </c>
      <c r="M157" s="19" t="str">
        <f t="shared" si="75"/>
        <v/>
      </c>
      <c r="N157" s="19" t="str">
        <f t="shared" si="75"/>
        <v/>
      </c>
      <c r="O157" s="19" t="str">
        <f t="shared" si="75"/>
        <v/>
      </c>
      <c r="P157" s="19" t="str">
        <f t="shared" si="75"/>
        <v/>
      </c>
    </row>
    <row r="158" ht="15.75" customHeight="1">
      <c r="A158" s="16" t="s">
        <v>65</v>
      </c>
      <c r="B158" s="19">
        <f t="shared" ref="B158:P158" si="76">B87</f>
        <v>16611</v>
      </c>
      <c r="C158" s="19">
        <f t="shared" si="76"/>
        <v>15408</v>
      </c>
      <c r="D158" s="19">
        <f t="shared" si="76"/>
        <v>13140</v>
      </c>
      <c r="E158" s="19">
        <f t="shared" si="76"/>
        <v>5638</v>
      </c>
      <c r="F158" s="19">
        <f t="shared" si="76"/>
        <v>7974</v>
      </c>
      <c r="G158" s="19">
        <f t="shared" si="76"/>
        <v>9581</v>
      </c>
      <c r="H158" s="19">
        <f t="shared" si="76"/>
        <v>14608</v>
      </c>
      <c r="I158" s="19">
        <f t="shared" si="76"/>
        <v>15602</v>
      </c>
      <c r="J158" s="19">
        <f t="shared" si="76"/>
        <v>25077</v>
      </c>
      <c r="K158" s="19" t="str">
        <f t="shared" si="76"/>
        <v/>
      </c>
      <c r="L158" s="19" t="str">
        <f t="shared" si="76"/>
        <v/>
      </c>
      <c r="M158" s="19" t="str">
        <f t="shared" si="76"/>
        <v/>
      </c>
      <c r="N158" s="19" t="str">
        <f t="shared" si="76"/>
        <v/>
      </c>
      <c r="O158" s="19" t="str">
        <f t="shared" si="76"/>
        <v/>
      </c>
      <c r="P158" s="19" t="str">
        <f t="shared" si="76"/>
        <v/>
      </c>
    </row>
    <row r="159" ht="15.75" customHeight="1">
      <c r="A159" s="16" t="s">
        <v>66</v>
      </c>
      <c r="B159" s="19">
        <f t="shared" ref="B159:P159" si="77">B88</f>
        <v>4906</v>
      </c>
      <c r="C159" s="19">
        <f t="shared" si="77"/>
        <v>4910</v>
      </c>
      <c r="D159" s="19">
        <f t="shared" si="77"/>
        <v>4115</v>
      </c>
      <c r="E159" s="19">
        <f t="shared" si="77"/>
        <v>4277</v>
      </c>
      <c r="F159" s="19">
        <f t="shared" si="77"/>
        <v>5272</v>
      </c>
      <c r="G159" s="19">
        <f t="shared" si="77"/>
        <v>0</v>
      </c>
      <c r="H159" s="19">
        <f t="shared" si="77"/>
        <v>0</v>
      </c>
      <c r="I159" s="19">
        <f t="shared" si="77"/>
        <v>0</v>
      </c>
      <c r="J159" s="19">
        <f t="shared" si="77"/>
        <v>0</v>
      </c>
      <c r="K159" s="19" t="str">
        <f t="shared" si="77"/>
        <v/>
      </c>
      <c r="L159" s="19" t="str">
        <f t="shared" si="77"/>
        <v/>
      </c>
      <c r="M159" s="19" t="str">
        <f t="shared" si="77"/>
        <v/>
      </c>
      <c r="N159" s="19" t="str">
        <f t="shared" si="77"/>
        <v/>
      </c>
      <c r="O159" s="19" t="str">
        <f t="shared" si="77"/>
        <v/>
      </c>
      <c r="P159" s="19" t="str">
        <f t="shared" si="77"/>
        <v/>
      </c>
    </row>
    <row r="160" ht="15.75" customHeight="1">
      <c r="A160" s="1" t="s">
        <v>57</v>
      </c>
      <c r="B160" s="19">
        <f t="shared" ref="B160:P160" si="78">B89+B90+B91</f>
        <v>12896</v>
      </c>
      <c r="C160" s="19">
        <f t="shared" si="78"/>
        <v>22739</v>
      </c>
      <c r="D160" s="19">
        <f t="shared" si="78"/>
        <v>15019</v>
      </c>
      <c r="E160" s="19">
        <f t="shared" si="78"/>
        <v>55419</v>
      </c>
      <c r="F160" s="19">
        <f t="shared" si="78"/>
        <v>17263</v>
      </c>
      <c r="G160" s="19">
        <f t="shared" si="78"/>
        <v>97399</v>
      </c>
      <c r="H160" s="19">
        <f t="shared" si="78"/>
        <v>66931</v>
      </c>
      <c r="I160" s="19">
        <f t="shared" si="78"/>
        <v>26025</v>
      </c>
      <c r="J160" s="19">
        <f t="shared" si="78"/>
        <v>73511</v>
      </c>
      <c r="K160" s="19">
        <f t="shared" si="78"/>
        <v>0</v>
      </c>
      <c r="L160" s="19">
        <f t="shared" si="78"/>
        <v>0</v>
      </c>
      <c r="M160" s="19">
        <f t="shared" si="78"/>
        <v>0</v>
      </c>
      <c r="N160" s="19">
        <f t="shared" si="78"/>
        <v>0</v>
      </c>
      <c r="O160" s="19">
        <f t="shared" si="78"/>
        <v>0</v>
      </c>
      <c r="P160" s="19">
        <f t="shared" si="78"/>
        <v>0</v>
      </c>
    </row>
    <row r="161" ht="15.75" customHeight="1">
      <c r="A161" s="5"/>
    </row>
    <row r="162" ht="15.75" customHeight="1">
      <c r="A162" s="17" t="s">
        <v>42</v>
      </c>
    </row>
    <row r="163" ht="15.75" customHeight="1">
      <c r="A163" s="1" t="s">
        <v>43</v>
      </c>
      <c r="B163" s="19">
        <f t="shared" ref="B163:P163" si="79">B56</f>
        <v>7956</v>
      </c>
      <c r="C163" s="19">
        <f t="shared" si="79"/>
        <v>8036</v>
      </c>
      <c r="D163" s="19">
        <f t="shared" si="79"/>
        <v>8541</v>
      </c>
      <c r="E163" s="19">
        <f t="shared" si="79"/>
        <v>6729</v>
      </c>
      <c r="F163" s="19">
        <f t="shared" si="79"/>
        <v>6962</v>
      </c>
      <c r="G163" s="19">
        <f t="shared" si="79"/>
        <v>8547</v>
      </c>
      <c r="H163" s="19">
        <f t="shared" si="79"/>
        <v>11113</v>
      </c>
      <c r="I163" s="19">
        <f t="shared" si="79"/>
        <v>11584</v>
      </c>
      <c r="J163" s="19">
        <f t="shared" si="79"/>
        <v>12030</v>
      </c>
      <c r="K163" s="19" t="str">
        <f t="shared" si="79"/>
        <v/>
      </c>
      <c r="L163" s="19" t="str">
        <f t="shared" si="79"/>
        <v/>
      </c>
      <c r="M163" s="19" t="str">
        <f t="shared" si="79"/>
        <v/>
      </c>
      <c r="N163" s="19" t="str">
        <f t="shared" si="79"/>
        <v/>
      </c>
      <c r="O163" s="19" t="str">
        <f t="shared" si="79"/>
        <v/>
      </c>
      <c r="P163" s="19" t="str">
        <f t="shared" si="79"/>
        <v/>
      </c>
    </row>
    <row r="164" ht="15.75" customHeight="1">
      <c r="A164" s="1" t="s">
        <v>44</v>
      </c>
      <c r="B164" s="19">
        <f t="shared" ref="B164:P164" si="80">B57</f>
        <v>774</v>
      </c>
      <c r="C164" s="19">
        <f t="shared" si="80"/>
        <v>4838</v>
      </c>
      <c r="D164" s="19">
        <f t="shared" si="80"/>
        <v>1108</v>
      </c>
      <c r="E164" s="19">
        <f t="shared" si="80"/>
        <v>1496</v>
      </c>
      <c r="F164" s="19">
        <f t="shared" si="80"/>
        <v>1063</v>
      </c>
      <c r="G164" s="19">
        <f t="shared" si="80"/>
        <v>4962</v>
      </c>
      <c r="H164" s="19">
        <f t="shared" si="80"/>
        <v>3819</v>
      </c>
      <c r="I164" s="19">
        <f t="shared" si="80"/>
        <v>12226</v>
      </c>
      <c r="J164" s="19">
        <f t="shared" si="80"/>
        <v>509</v>
      </c>
      <c r="K164" s="19" t="str">
        <f t="shared" si="80"/>
        <v/>
      </c>
      <c r="L164" s="19" t="str">
        <f t="shared" si="80"/>
        <v/>
      </c>
      <c r="M164" s="19" t="str">
        <f t="shared" si="80"/>
        <v/>
      </c>
      <c r="N164" s="19" t="str">
        <f t="shared" si="80"/>
        <v/>
      </c>
      <c r="O164" s="19" t="str">
        <f t="shared" si="80"/>
        <v/>
      </c>
      <c r="P164" s="19" t="str">
        <f t="shared" si="80"/>
        <v/>
      </c>
    </row>
    <row r="165" ht="15.75" customHeight="1">
      <c r="A165" s="1" t="s">
        <v>45</v>
      </c>
      <c r="B165" s="19">
        <f t="shared" ref="B165:P165" si="81">B58+B59</f>
        <v>74089</v>
      </c>
      <c r="C165" s="19">
        <f t="shared" si="81"/>
        <v>83692</v>
      </c>
      <c r="D165" s="19">
        <f t="shared" si="81"/>
        <v>104993</v>
      </c>
      <c r="E165" s="19">
        <f t="shared" si="81"/>
        <v>96377</v>
      </c>
      <c r="F165" s="19">
        <f t="shared" si="81"/>
        <v>75091</v>
      </c>
      <c r="G165" s="19">
        <f t="shared" si="81"/>
        <v>101681</v>
      </c>
      <c r="H165" s="19">
        <f t="shared" si="81"/>
        <v>97732</v>
      </c>
      <c r="I165" s="19">
        <f t="shared" si="81"/>
        <v>136755</v>
      </c>
      <c r="J165" s="19">
        <f t="shared" si="81"/>
        <v>169884</v>
      </c>
      <c r="K165" s="19">
        <f t="shared" si="81"/>
        <v>0</v>
      </c>
      <c r="L165" s="19">
        <f t="shared" si="81"/>
        <v>0</v>
      </c>
      <c r="M165" s="19">
        <f t="shared" si="81"/>
        <v>0</v>
      </c>
      <c r="N165" s="19">
        <f t="shared" si="81"/>
        <v>0</v>
      </c>
      <c r="O165" s="19">
        <f t="shared" si="81"/>
        <v>0</v>
      </c>
      <c r="P165" s="19">
        <f t="shared" si="81"/>
        <v>0</v>
      </c>
    </row>
    <row r="166" ht="15.75" customHeight="1">
      <c r="A166" s="1" t="s">
        <v>46</v>
      </c>
      <c r="B166" s="19">
        <f t="shared" ref="B166:P166" si="82">B60</f>
        <v>11650</v>
      </c>
      <c r="C166" s="19">
        <f t="shared" si="82"/>
        <v>18278</v>
      </c>
      <c r="D166" s="19">
        <f t="shared" si="82"/>
        <v>20896</v>
      </c>
      <c r="E166" s="19">
        <f t="shared" si="82"/>
        <v>16329</v>
      </c>
      <c r="F166" s="19">
        <f t="shared" si="82"/>
        <v>14091</v>
      </c>
      <c r="G166" s="19">
        <f t="shared" si="82"/>
        <v>26801</v>
      </c>
      <c r="H166" s="19">
        <f t="shared" si="82"/>
        <v>28686</v>
      </c>
      <c r="I166" s="19">
        <f t="shared" si="82"/>
        <v>33372</v>
      </c>
      <c r="J166" s="19">
        <f t="shared" si="82"/>
        <v>41739</v>
      </c>
      <c r="K166" s="19" t="str">
        <f t="shared" si="82"/>
        <v/>
      </c>
      <c r="L166" s="19" t="str">
        <f t="shared" si="82"/>
        <v/>
      </c>
      <c r="M166" s="19" t="str">
        <f t="shared" si="82"/>
        <v/>
      </c>
      <c r="N166" s="19" t="str">
        <f t="shared" si="82"/>
        <v/>
      </c>
      <c r="O166" s="19" t="str">
        <f t="shared" si="82"/>
        <v/>
      </c>
      <c r="P166" s="19" t="str">
        <f t="shared" si="82"/>
        <v/>
      </c>
    </row>
    <row r="167" ht="15.75" customHeight="1">
      <c r="A167" s="1" t="s">
        <v>47</v>
      </c>
      <c r="B167" s="19">
        <f t="shared" ref="B167:P167" si="83">B61</f>
        <v>3994</v>
      </c>
      <c r="C167" s="19">
        <f t="shared" si="83"/>
        <v>4496</v>
      </c>
      <c r="D167" s="19">
        <f t="shared" si="83"/>
        <v>5609</v>
      </c>
      <c r="E167" s="19">
        <f t="shared" si="83"/>
        <v>6254</v>
      </c>
      <c r="F167" s="19">
        <f t="shared" si="83"/>
        <v>6807</v>
      </c>
      <c r="G167" s="19">
        <f t="shared" si="83"/>
        <v>7428</v>
      </c>
      <c r="H167" s="19">
        <f t="shared" si="83"/>
        <v>8613</v>
      </c>
      <c r="I167" s="19">
        <f t="shared" si="83"/>
        <v>10830</v>
      </c>
      <c r="J167" s="19">
        <f t="shared" si="83"/>
        <v>13119</v>
      </c>
      <c r="K167" s="19" t="str">
        <f t="shared" si="83"/>
        <v/>
      </c>
      <c r="L167" s="19" t="str">
        <f t="shared" si="83"/>
        <v/>
      </c>
      <c r="M167" s="19" t="str">
        <f t="shared" si="83"/>
        <v/>
      </c>
      <c r="N167" s="19" t="str">
        <f t="shared" si="83"/>
        <v/>
      </c>
      <c r="O167" s="19" t="str">
        <f t="shared" si="83"/>
        <v/>
      </c>
      <c r="P167" s="19" t="str">
        <f t="shared" si="83"/>
        <v/>
      </c>
    </row>
    <row r="168" ht="15.75" customHeight="1">
      <c r="A168" s="1" t="s">
        <v>48</v>
      </c>
      <c r="B168" s="19">
        <f t="shared" ref="B168:P168" si="84">B62</f>
        <v>11978</v>
      </c>
      <c r="C168" s="19">
        <f t="shared" si="84"/>
        <v>13028</v>
      </c>
      <c r="D168" s="19">
        <f t="shared" si="84"/>
        <v>13338</v>
      </c>
      <c r="E168" s="19">
        <f t="shared" si="84"/>
        <v>14420</v>
      </c>
      <c r="F168" s="19">
        <f t="shared" si="84"/>
        <v>9040</v>
      </c>
      <c r="G168" s="19">
        <f t="shared" si="84"/>
        <v>12720</v>
      </c>
      <c r="H168" s="19">
        <f t="shared" si="84"/>
        <v>20272</v>
      </c>
      <c r="I168" s="19">
        <f t="shared" si="84"/>
        <v>22900</v>
      </c>
      <c r="J168" s="19">
        <f t="shared" si="84"/>
        <v>22237</v>
      </c>
      <c r="K168" s="19" t="str">
        <f t="shared" si="84"/>
        <v/>
      </c>
      <c r="L168" s="19" t="str">
        <f t="shared" si="84"/>
        <v/>
      </c>
      <c r="M168" s="19" t="str">
        <f t="shared" si="84"/>
        <v/>
      </c>
      <c r="N168" s="19" t="str">
        <f t="shared" si="84"/>
        <v/>
      </c>
      <c r="O168" s="19" t="str">
        <f t="shared" si="84"/>
        <v/>
      </c>
      <c r="P168" s="19" t="str">
        <f t="shared" si="84"/>
        <v/>
      </c>
    </row>
    <row r="169" ht="15.75" customHeight="1">
      <c r="A169" s="5"/>
      <c r="B169" s="1"/>
    </row>
    <row r="170" ht="15.75" customHeight="1">
      <c r="A170" s="18" t="s">
        <v>88</v>
      </c>
      <c r="B170" s="27">
        <f t="shared" ref="B170:P170" si="85">B3</f>
        <v>570615</v>
      </c>
      <c r="C170" s="27">
        <f t="shared" si="85"/>
        <v>680850</v>
      </c>
      <c r="D170" s="27">
        <f t="shared" si="85"/>
        <v>798094</v>
      </c>
      <c r="E170" s="27">
        <f t="shared" si="85"/>
        <v>860685</v>
      </c>
      <c r="F170" s="27">
        <f t="shared" si="85"/>
        <v>756600</v>
      </c>
      <c r="G170" s="27">
        <f t="shared" si="85"/>
        <v>703720</v>
      </c>
      <c r="H170" s="27">
        <f t="shared" si="85"/>
        <v>883298</v>
      </c>
      <c r="I170" s="27">
        <f t="shared" si="85"/>
        <v>1184099</v>
      </c>
      <c r="J170" s="27">
        <f t="shared" si="85"/>
        <v>1418582</v>
      </c>
      <c r="K170" s="27">
        <f t="shared" si="85"/>
        <v>1745621.281</v>
      </c>
      <c r="L170" s="27">
        <f t="shared" si="85"/>
        <v>2039535.594</v>
      </c>
      <c r="M170" s="27">
        <f t="shared" si="85"/>
        <v>2383801.008</v>
      </c>
      <c r="N170" s="27">
        <f t="shared" si="85"/>
        <v>2787144.105</v>
      </c>
      <c r="O170" s="27">
        <f t="shared" si="85"/>
        <v>3259815.476</v>
      </c>
      <c r="P170" s="27">
        <f t="shared" si="85"/>
        <v>3813857.181</v>
      </c>
    </row>
    <row r="171" ht="15.75" customHeight="1">
      <c r="A171" s="5"/>
    </row>
    <row r="172" ht="15.75" customHeight="1">
      <c r="A172" s="18" t="s">
        <v>89</v>
      </c>
    </row>
    <row r="173" ht="15.75" customHeight="1">
      <c r="A173" s="17" t="s">
        <v>60</v>
      </c>
    </row>
    <row r="174" ht="15.75" customHeight="1">
      <c r="A174" s="16" t="s">
        <v>61</v>
      </c>
      <c r="B174" s="39">
        <f t="shared" ref="B174:B179" si="86">B155/$B$170</f>
        <v>0.05489866197</v>
      </c>
      <c r="C174" s="39">
        <f>C155/$C$170</f>
        <v>0.04793566865</v>
      </c>
      <c r="D174" s="39">
        <f>D155/$D$170</f>
        <v>0.03959683947</v>
      </c>
      <c r="E174" s="39">
        <f>E155/$E$170</f>
        <v>0.03860413508</v>
      </c>
      <c r="F174" s="39">
        <f>F155/$F$170</f>
        <v>0.04247819191</v>
      </c>
      <c r="G174" s="39">
        <f>G155/$G$170</f>
        <v>0.04332689138</v>
      </c>
      <c r="H174" s="39">
        <f>H155/$H$170</f>
        <v>0.03998990148</v>
      </c>
      <c r="I174" s="39">
        <f>I155/$I$170</f>
        <v>0.04597166284</v>
      </c>
      <c r="J174" s="39">
        <f>J155/$J$170</f>
        <v>0.03748884449</v>
      </c>
      <c r="K174" s="39">
        <f>K155/$K$170</f>
        <v>0</v>
      </c>
      <c r="L174" s="39">
        <f>L155/$L$170</f>
        <v>0</v>
      </c>
      <c r="M174" s="39">
        <f>M155/$M$170</f>
        <v>0</v>
      </c>
      <c r="N174" s="39">
        <f>N155/$N$170</f>
        <v>0</v>
      </c>
      <c r="O174" s="39">
        <f>O155/$O$170</f>
        <v>0</v>
      </c>
      <c r="P174" s="39">
        <f>P155/$P$170</f>
        <v>0</v>
      </c>
    </row>
    <row r="175" ht="15.75" customHeight="1">
      <c r="A175" s="16" t="s">
        <v>62</v>
      </c>
      <c r="B175" s="39">
        <f t="shared" si="86"/>
        <v>0.02319252035</v>
      </c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</row>
    <row r="176" ht="15.75" customHeight="1">
      <c r="A176" s="16" t="s">
        <v>64</v>
      </c>
      <c r="B176" s="39">
        <f t="shared" si="86"/>
        <v>0.00005432734856</v>
      </c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</row>
    <row r="177" ht="15.75" customHeight="1">
      <c r="A177" s="16" t="s">
        <v>65</v>
      </c>
      <c r="B177" s="39">
        <f t="shared" si="86"/>
        <v>0.02911069635</v>
      </c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</row>
    <row r="178" ht="15.75" customHeight="1">
      <c r="A178" s="16" t="s">
        <v>66</v>
      </c>
      <c r="B178" s="39">
        <f t="shared" si="86"/>
        <v>0.008597741034</v>
      </c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</row>
    <row r="179" ht="15.75" customHeight="1">
      <c r="A179" s="1" t="s">
        <v>57</v>
      </c>
      <c r="B179" s="39">
        <f t="shared" si="86"/>
        <v>0.022600177</v>
      </c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</row>
    <row r="180" ht="15.75" customHeight="1">
      <c r="A180" s="5"/>
    </row>
    <row r="181" ht="15.75" customHeight="1">
      <c r="A181" s="5" t="s">
        <v>42</v>
      </c>
    </row>
    <row r="182" ht="15.75" customHeight="1">
      <c r="A182" s="1" t="s">
        <v>43</v>
      </c>
    </row>
    <row r="183" ht="15.75" customHeight="1">
      <c r="A183" s="1" t="s">
        <v>44</v>
      </c>
    </row>
    <row r="184" ht="15.75" customHeight="1">
      <c r="A184" s="1" t="s">
        <v>45</v>
      </c>
    </row>
    <row r="185" ht="15.75" customHeight="1">
      <c r="A185" s="1" t="s">
        <v>46</v>
      </c>
    </row>
    <row r="186" ht="15.75" customHeight="1">
      <c r="A186" s="1" t="s">
        <v>47</v>
      </c>
    </row>
    <row r="187" ht="15.75" customHeight="1">
      <c r="A187" s="1" t="s">
        <v>48</v>
      </c>
    </row>
    <row r="188" ht="15.75" customHeight="1">
      <c r="A188" s="5"/>
    </row>
    <row r="189" ht="15.75" customHeight="1">
      <c r="A189" s="1" t="s">
        <v>90</v>
      </c>
    </row>
    <row r="190" ht="15.75" customHeight="1">
      <c r="A190" s="1" t="s">
        <v>91</v>
      </c>
    </row>
    <row r="191" ht="15.75" customHeight="1">
      <c r="A191" s="5"/>
    </row>
    <row r="192" ht="15.75" customHeight="1">
      <c r="A192" s="5"/>
    </row>
    <row r="193" ht="15.75" customHeight="1">
      <c r="A193" s="5"/>
    </row>
    <row r="194" ht="15.75" customHeight="1">
      <c r="A194" s="18" t="s">
        <v>92</v>
      </c>
    </row>
    <row r="195" ht="15.75" customHeight="1">
      <c r="A195" s="5" t="s">
        <v>93</v>
      </c>
    </row>
    <row r="196" ht="15.75" customHeight="1">
      <c r="A196" s="5" t="s">
        <v>94</v>
      </c>
    </row>
    <row r="197" ht="15.75" customHeight="1">
      <c r="A197" s="5" t="s">
        <v>49</v>
      </c>
    </row>
    <row r="198" ht="15.75" customHeight="1">
      <c r="A198" s="5"/>
    </row>
    <row r="199" ht="15.75" customHeight="1">
      <c r="A199" s="5" t="s">
        <v>95</v>
      </c>
    </row>
    <row r="200" ht="15.75" customHeight="1">
      <c r="A200" s="5"/>
    </row>
    <row r="201" ht="15.75" customHeight="1">
      <c r="A201" s="5" t="s">
        <v>96</v>
      </c>
    </row>
    <row r="202" ht="15.75" customHeight="1">
      <c r="A202" s="5" t="s">
        <v>97</v>
      </c>
    </row>
    <row r="203" ht="15.75" customHeight="1">
      <c r="A203" s="5" t="s">
        <v>98</v>
      </c>
    </row>
    <row r="204" ht="15.75" customHeight="1">
      <c r="A204" s="5"/>
    </row>
    <row r="205" ht="15.75" customHeight="1">
      <c r="A205" s="5" t="s">
        <v>99</v>
      </c>
    </row>
    <row r="206" ht="15.75" customHeight="1">
      <c r="A206" s="5" t="s">
        <v>100</v>
      </c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>
      <c r="A403" s="1"/>
    </row>
    <row r="404" ht="15.75" customHeight="1">
      <c r="A404" s="1"/>
    </row>
    <row r="405" ht="15.75" customHeight="1">
      <c r="A405" s="1"/>
    </row>
    <row r="406" ht="15.75" customHeight="1">
      <c r="A406" s="1"/>
    </row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29" t="s">
        <v>176</v>
      </c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  <c r="K3" s="19">
        <f t="shared" ref="K3:P3" si="2">(K100*K120)/10^6</f>
        <v>1745621.281</v>
      </c>
      <c r="L3" s="19">
        <f t="shared" si="2"/>
        <v>2039535.594</v>
      </c>
      <c r="M3" s="19">
        <f t="shared" si="2"/>
        <v>2383801.008</v>
      </c>
      <c r="N3" s="19">
        <f t="shared" si="2"/>
        <v>2787144.105</v>
      </c>
      <c r="O3" s="19">
        <f t="shared" si="2"/>
        <v>3259815.476</v>
      </c>
      <c r="P3" s="19">
        <f t="shared" si="2"/>
        <v>3813857.181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  <c r="K4" s="20">
        <v>20000.0</v>
      </c>
      <c r="L4" s="21">
        <f t="shared" ref="L4:P4" si="3">K4</f>
        <v>20000</v>
      </c>
      <c r="M4" s="21">
        <f t="shared" si="3"/>
        <v>20000</v>
      </c>
      <c r="N4" s="21">
        <f t="shared" si="3"/>
        <v>20000</v>
      </c>
      <c r="O4" s="21">
        <f t="shared" si="3"/>
        <v>20000</v>
      </c>
      <c r="P4" s="21">
        <f t="shared" si="3"/>
        <v>20000</v>
      </c>
    </row>
    <row r="5" ht="15.75" customHeight="1">
      <c r="A5" s="7"/>
    </row>
    <row r="6" ht="15.75" customHeight="1">
      <c r="A6" s="8" t="s">
        <v>3</v>
      </c>
      <c r="B6" s="9">
        <f t="shared" ref="B6:P6" si="4">SUM(B3:B4)</f>
        <v>586120</v>
      </c>
      <c r="C6" s="9">
        <f t="shared" si="4"/>
        <v>703746</v>
      </c>
      <c r="D6" s="9">
        <f t="shared" si="4"/>
        <v>818552</v>
      </c>
      <c r="E6" s="9">
        <f t="shared" si="4"/>
        <v>886301</v>
      </c>
      <c r="F6" s="9">
        <f t="shared" si="4"/>
        <v>789944</v>
      </c>
      <c r="G6" s="9">
        <f t="shared" si="4"/>
        <v>733083</v>
      </c>
      <c r="H6" s="9">
        <f t="shared" si="4"/>
        <v>900745</v>
      </c>
      <c r="I6" s="9">
        <f t="shared" si="4"/>
        <v>1206746</v>
      </c>
      <c r="J6" s="9">
        <f t="shared" si="4"/>
        <v>1459517</v>
      </c>
      <c r="K6" s="9">
        <f t="shared" si="4"/>
        <v>1765621.281</v>
      </c>
      <c r="L6" s="9">
        <f t="shared" si="4"/>
        <v>2059535.594</v>
      </c>
      <c r="M6" s="9">
        <f t="shared" si="4"/>
        <v>2403801.008</v>
      </c>
      <c r="N6" s="9">
        <f t="shared" si="4"/>
        <v>2807144.105</v>
      </c>
      <c r="O6" s="9">
        <f t="shared" si="4"/>
        <v>3279815.476</v>
      </c>
      <c r="P6" s="9">
        <f t="shared" si="4"/>
        <v>3833857.181</v>
      </c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  <c r="K9" s="22">
        <f t="shared" ref="K9:P9" si="5">K$3*K125</f>
        <v>1047372.768</v>
      </c>
      <c r="L9" s="22">
        <f t="shared" si="5"/>
        <v>1223721.356</v>
      </c>
      <c r="M9" s="22">
        <f t="shared" si="5"/>
        <v>1430280.605</v>
      </c>
      <c r="N9" s="22">
        <f t="shared" si="5"/>
        <v>1672286.463</v>
      </c>
      <c r="O9" s="22">
        <f t="shared" si="5"/>
        <v>1955889.286</v>
      </c>
      <c r="P9" s="22">
        <f t="shared" si="5"/>
        <v>2288314.309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  <c r="K10" s="22">
        <f t="shared" ref="K10:P10" si="6">K$3*K126</f>
        <v>139649.7024</v>
      </c>
      <c r="L10" s="22">
        <f t="shared" si="6"/>
        <v>163162.8475</v>
      </c>
      <c r="M10" s="22">
        <f t="shared" si="6"/>
        <v>190704.0806</v>
      </c>
      <c r="N10" s="22">
        <f t="shared" si="6"/>
        <v>222971.5284</v>
      </c>
      <c r="O10" s="22">
        <f t="shared" si="6"/>
        <v>260785.2381</v>
      </c>
      <c r="P10" s="22">
        <f t="shared" si="6"/>
        <v>305108.5745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  <c r="K11" s="22">
        <f t="shared" ref="K11:P11" si="7">K$3*K127</f>
        <v>-4658.822802</v>
      </c>
      <c r="L11" s="22">
        <f t="shared" si="7"/>
        <v>-5443.239628</v>
      </c>
      <c r="M11" s="22">
        <f t="shared" si="7"/>
        <v>-6362.036607</v>
      </c>
      <c r="N11" s="22">
        <f t="shared" si="7"/>
        <v>-7438.503788</v>
      </c>
      <c r="O11" s="22">
        <f t="shared" si="7"/>
        <v>-8699.998584</v>
      </c>
      <c r="P11" s="22">
        <f t="shared" si="7"/>
        <v>-10178.6596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  <c r="K12" s="22">
        <f t="shared" ref="K12:P12" si="8">K$3*K128</f>
        <v>69824.85122</v>
      </c>
      <c r="L12" s="22">
        <f t="shared" si="8"/>
        <v>81581.42375</v>
      </c>
      <c r="M12" s="22">
        <f t="shared" si="8"/>
        <v>95352.0403</v>
      </c>
      <c r="N12" s="22">
        <f t="shared" si="8"/>
        <v>111485.7642</v>
      </c>
      <c r="O12" s="22">
        <f t="shared" si="8"/>
        <v>130392.619</v>
      </c>
      <c r="P12" s="22">
        <f t="shared" si="8"/>
        <v>152554.2873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  <c r="K13" s="22">
        <f t="shared" ref="K13:P13" si="9">K$3*K129</f>
        <v>215960.9246</v>
      </c>
      <c r="L13" s="22">
        <f t="shared" si="9"/>
        <v>252322.7675</v>
      </c>
      <c r="M13" s="22">
        <f t="shared" si="9"/>
        <v>294913.8369</v>
      </c>
      <c r="N13" s="22">
        <f t="shared" si="9"/>
        <v>344813.7489</v>
      </c>
      <c r="O13" s="22">
        <f t="shared" si="9"/>
        <v>403290.6634</v>
      </c>
      <c r="P13" s="22">
        <f t="shared" si="9"/>
        <v>471834.3735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  <c r="K14" s="22">
        <f t="shared" ref="K14:P14" si="10">K$3*K130</f>
        <v>-3208.016652</v>
      </c>
      <c r="L14" s="22">
        <f t="shared" si="10"/>
        <v>-3748.157874</v>
      </c>
      <c r="M14" s="22">
        <f t="shared" si="10"/>
        <v>-4380.831864</v>
      </c>
      <c r="N14" s="22">
        <f t="shared" si="10"/>
        <v>-5122.075905</v>
      </c>
      <c r="O14" s="22">
        <f t="shared" si="10"/>
        <v>-5990.728027</v>
      </c>
      <c r="P14" s="22">
        <f t="shared" si="10"/>
        <v>-7008.918534</v>
      </c>
    </row>
    <row r="15" ht="15.75" customHeight="1">
      <c r="A15" s="7"/>
    </row>
    <row r="16" ht="15.75" customHeight="1">
      <c r="A16" s="45" t="s">
        <v>109</v>
      </c>
      <c r="B16" s="13">
        <f t="shared" ref="B16:P16" si="11">SUM(B9:B14)</f>
        <v>494932</v>
      </c>
      <c r="C16" s="13">
        <f t="shared" si="11"/>
        <v>577269</v>
      </c>
      <c r="D16" s="13">
        <f t="shared" si="11"/>
        <v>677460</v>
      </c>
      <c r="E16" s="13">
        <f t="shared" si="11"/>
        <v>750653</v>
      </c>
      <c r="F16" s="13">
        <f t="shared" si="11"/>
        <v>683474</v>
      </c>
      <c r="G16" s="13">
        <f t="shared" si="11"/>
        <v>650204</v>
      </c>
      <c r="H16" s="13">
        <f t="shared" si="11"/>
        <v>826236</v>
      </c>
      <c r="I16" s="13">
        <f t="shared" si="11"/>
        <v>1053155</v>
      </c>
      <c r="J16" s="13">
        <f t="shared" si="11"/>
        <v>1233319</v>
      </c>
      <c r="K16" s="13">
        <f t="shared" si="11"/>
        <v>1464941.407</v>
      </c>
      <c r="L16" s="13">
        <f t="shared" si="11"/>
        <v>1711596.997</v>
      </c>
      <c r="M16" s="13">
        <f t="shared" si="11"/>
        <v>2000507.694</v>
      </c>
      <c r="N16" s="13">
        <f t="shared" si="11"/>
        <v>2338996.925</v>
      </c>
      <c r="O16" s="13">
        <f t="shared" si="11"/>
        <v>2735667.079</v>
      </c>
      <c r="P16" s="13">
        <f t="shared" si="11"/>
        <v>3200623.966</v>
      </c>
    </row>
    <row r="17" ht="15.75" customHeight="1">
      <c r="A17" s="7"/>
    </row>
    <row r="18" ht="15.75" customHeight="1">
      <c r="A18" s="113" t="s">
        <v>190</v>
      </c>
      <c r="B18" s="23">
        <f t="shared" ref="B18:P18" si="12">B6-B16</f>
        <v>91188</v>
      </c>
      <c r="C18" s="23">
        <f t="shared" si="12"/>
        <v>126477</v>
      </c>
      <c r="D18" s="23">
        <f t="shared" si="12"/>
        <v>141092</v>
      </c>
      <c r="E18" s="23">
        <f t="shared" si="12"/>
        <v>135648</v>
      </c>
      <c r="F18" s="23">
        <f t="shared" si="12"/>
        <v>106470</v>
      </c>
      <c r="G18" s="23">
        <f t="shared" si="12"/>
        <v>82879</v>
      </c>
      <c r="H18" s="23">
        <f t="shared" si="12"/>
        <v>74509</v>
      </c>
      <c r="I18" s="23">
        <f t="shared" si="12"/>
        <v>153591</v>
      </c>
      <c r="J18" s="23">
        <f t="shared" si="12"/>
        <v>226198</v>
      </c>
      <c r="K18" s="23">
        <f t="shared" si="12"/>
        <v>300679.8734</v>
      </c>
      <c r="L18" s="23">
        <f t="shared" si="12"/>
        <v>347938.5962</v>
      </c>
      <c r="M18" s="23">
        <f t="shared" si="12"/>
        <v>403293.3137</v>
      </c>
      <c r="N18" s="23">
        <f t="shared" si="12"/>
        <v>468147.1802</v>
      </c>
      <c r="O18" s="23">
        <f t="shared" si="12"/>
        <v>544148.3965</v>
      </c>
      <c r="P18" s="23">
        <f t="shared" si="12"/>
        <v>633233.2155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  <c r="K20" s="24"/>
      <c r="L20" s="24"/>
      <c r="M20" s="24"/>
      <c r="N20" s="24"/>
      <c r="O20" s="24"/>
      <c r="P20" s="24"/>
    </row>
    <row r="21" ht="15.75" customHeight="1">
      <c r="A21" s="7"/>
    </row>
    <row r="22" ht="15.75" customHeight="1">
      <c r="A22" s="4" t="s">
        <v>18</v>
      </c>
      <c r="B22" s="23">
        <f t="shared" ref="B22:P22" si="13">B18-B20</f>
        <v>62518</v>
      </c>
      <c r="C22" s="23">
        <f t="shared" si="13"/>
        <v>100438</v>
      </c>
      <c r="D22" s="23">
        <f t="shared" si="13"/>
        <v>113494</v>
      </c>
      <c r="E22" s="23">
        <f t="shared" si="13"/>
        <v>105440</v>
      </c>
      <c r="F22" s="23">
        <f t="shared" si="13"/>
        <v>71186</v>
      </c>
      <c r="G22" s="23">
        <f t="shared" si="13"/>
        <v>52538</v>
      </c>
      <c r="H22" s="23">
        <f t="shared" si="13"/>
        <v>46619</v>
      </c>
      <c r="I22" s="23">
        <f t="shared" si="13"/>
        <v>105131</v>
      </c>
      <c r="J22" s="23">
        <f t="shared" si="13"/>
        <v>173640</v>
      </c>
      <c r="K22" s="23">
        <f t="shared" si="13"/>
        <v>300679.8734</v>
      </c>
      <c r="L22" s="23">
        <f t="shared" si="13"/>
        <v>347938.5962</v>
      </c>
      <c r="M22" s="23">
        <f t="shared" si="13"/>
        <v>403293.3137</v>
      </c>
      <c r="N22" s="23">
        <f t="shared" si="13"/>
        <v>468147.1802</v>
      </c>
      <c r="O22" s="23">
        <f t="shared" si="13"/>
        <v>544148.3965</v>
      </c>
      <c r="P22" s="23">
        <f t="shared" si="13"/>
        <v>633233.2155</v>
      </c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  <c r="K24" s="20">
        <f t="shared" ref="K24:P24" si="14">J24</f>
        <v>1936</v>
      </c>
      <c r="L24" s="21">
        <f t="shared" si="14"/>
        <v>1936</v>
      </c>
      <c r="M24" s="21">
        <f t="shared" si="14"/>
        <v>1936</v>
      </c>
      <c r="N24" s="21">
        <f t="shared" si="14"/>
        <v>1936</v>
      </c>
      <c r="O24" s="21">
        <f t="shared" si="14"/>
        <v>1936</v>
      </c>
      <c r="P24" s="21">
        <f t="shared" si="14"/>
        <v>1936</v>
      </c>
    </row>
    <row r="25" ht="15.75" customHeight="1">
      <c r="A25" s="7"/>
    </row>
    <row r="26" ht="15.75" customHeight="1">
      <c r="A26" s="7" t="s">
        <v>23</v>
      </c>
      <c r="B26" s="6">
        <f t="shared" ref="B26:P26" si="15">B22-B24</f>
        <v>61581</v>
      </c>
      <c r="C26" s="6">
        <f t="shared" si="15"/>
        <v>99544</v>
      </c>
      <c r="D26" s="6">
        <f t="shared" si="15"/>
        <v>110036</v>
      </c>
      <c r="E26" s="6">
        <f t="shared" si="15"/>
        <v>104681</v>
      </c>
      <c r="F26" s="6">
        <f t="shared" si="15"/>
        <v>69844</v>
      </c>
      <c r="G26" s="6">
        <f t="shared" si="15"/>
        <v>51520</v>
      </c>
      <c r="H26" s="6">
        <f t="shared" si="15"/>
        <v>45353</v>
      </c>
      <c r="I26" s="6">
        <f t="shared" si="15"/>
        <v>102608</v>
      </c>
      <c r="J26" s="6">
        <f t="shared" si="15"/>
        <v>171704</v>
      </c>
      <c r="K26" s="6">
        <f t="shared" si="15"/>
        <v>298743.8734</v>
      </c>
      <c r="L26" s="6">
        <f t="shared" si="15"/>
        <v>346002.5962</v>
      </c>
      <c r="M26" s="6">
        <f t="shared" si="15"/>
        <v>401357.3137</v>
      </c>
      <c r="N26" s="6">
        <f t="shared" si="15"/>
        <v>466211.1802</v>
      </c>
      <c r="O26" s="6">
        <f t="shared" si="15"/>
        <v>542212.3965</v>
      </c>
      <c r="P26" s="6">
        <f t="shared" si="15"/>
        <v>631297.2155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  <c r="K27" s="20">
        <f t="shared" ref="K27:P27" si="16">J27</f>
        <v>2669</v>
      </c>
      <c r="L27" s="21">
        <f t="shared" si="16"/>
        <v>2669</v>
      </c>
      <c r="M27" s="21">
        <f t="shared" si="16"/>
        <v>2669</v>
      </c>
      <c r="N27" s="21">
        <f t="shared" si="16"/>
        <v>2669</v>
      </c>
      <c r="O27" s="21">
        <f t="shared" si="16"/>
        <v>2669</v>
      </c>
      <c r="P27" s="21">
        <f t="shared" si="16"/>
        <v>2669</v>
      </c>
    </row>
    <row r="28" ht="15.75" customHeight="1">
      <c r="A28" s="113" t="s">
        <v>179</v>
      </c>
      <c r="B28" s="23">
        <f t="shared" ref="B28:P28" si="17">SUM(B26:B27)</f>
        <v>66296</v>
      </c>
      <c r="C28" s="23">
        <f t="shared" si="17"/>
        <v>101272</v>
      </c>
      <c r="D28" s="23">
        <f t="shared" si="17"/>
        <v>111669</v>
      </c>
      <c r="E28" s="23">
        <f t="shared" si="17"/>
        <v>102651</v>
      </c>
      <c r="F28" s="23">
        <f t="shared" si="17"/>
        <v>65427</v>
      </c>
      <c r="G28" s="23">
        <f t="shared" si="17"/>
        <v>56656</v>
      </c>
      <c r="H28" s="23">
        <f t="shared" si="17"/>
        <v>48482</v>
      </c>
      <c r="I28" s="23">
        <f t="shared" si="17"/>
        <v>103194</v>
      </c>
      <c r="J28" s="23">
        <f t="shared" si="17"/>
        <v>174373</v>
      </c>
      <c r="K28" s="23">
        <f t="shared" si="17"/>
        <v>301412.8734</v>
      </c>
      <c r="L28" s="23">
        <f t="shared" si="17"/>
        <v>348671.5962</v>
      </c>
      <c r="M28" s="23">
        <f t="shared" si="17"/>
        <v>404026.3137</v>
      </c>
      <c r="N28" s="23">
        <f t="shared" si="17"/>
        <v>468880.1802</v>
      </c>
      <c r="O28" s="23">
        <f t="shared" si="17"/>
        <v>544881.3965</v>
      </c>
      <c r="P28" s="23">
        <f t="shared" si="17"/>
        <v>633966.2155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  <c r="K30" s="19">
        <f t="shared" ref="K30:P30" si="18">K28*K31</f>
        <v>90423.86202</v>
      </c>
      <c r="L30" s="19">
        <f t="shared" si="18"/>
        <v>104601.4789</v>
      </c>
      <c r="M30" s="19">
        <f t="shared" si="18"/>
        <v>121207.8941</v>
      </c>
      <c r="N30" s="19">
        <f t="shared" si="18"/>
        <v>140664.054</v>
      </c>
      <c r="O30" s="19">
        <f t="shared" si="18"/>
        <v>163464.4189</v>
      </c>
      <c r="P30" s="19">
        <f t="shared" si="18"/>
        <v>190189.8646</v>
      </c>
    </row>
    <row r="31" ht="15.75" customHeight="1">
      <c r="A31" s="7"/>
      <c r="B31" s="57"/>
      <c r="C31" s="57"/>
      <c r="D31" s="57"/>
      <c r="E31" s="57"/>
      <c r="F31" s="57"/>
      <c r="G31" s="57"/>
      <c r="H31" s="57"/>
      <c r="I31" s="57"/>
      <c r="J31" s="57"/>
      <c r="K31" s="37">
        <v>0.3</v>
      </c>
      <c r="L31" s="38">
        <f t="shared" ref="L31:P31" si="19">K31</f>
        <v>0.3</v>
      </c>
      <c r="M31" s="38">
        <f t="shared" si="19"/>
        <v>0.3</v>
      </c>
      <c r="N31" s="38">
        <f t="shared" si="19"/>
        <v>0.3</v>
      </c>
      <c r="O31" s="38">
        <f t="shared" si="19"/>
        <v>0.3</v>
      </c>
      <c r="P31" s="38">
        <f t="shared" si="19"/>
        <v>0.3</v>
      </c>
    </row>
    <row r="32" ht="15.75" customHeight="1">
      <c r="A32" s="7" t="s">
        <v>27</v>
      </c>
      <c r="B32" s="6">
        <f t="shared" ref="B32:P32" si="20">B28-B30</f>
        <v>46309</v>
      </c>
      <c r="C32" s="6">
        <f t="shared" si="20"/>
        <v>75110</v>
      </c>
      <c r="D32" s="6">
        <f t="shared" si="20"/>
        <v>78807</v>
      </c>
      <c r="E32" s="6">
        <f t="shared" si="20"/>
        <v>72919</v>
      </c>
      <c r="F32" s="6">
        <f t="shared" si="20"/>
        <v>51175</v>
      </c>
      <c r="G32" s="6">
        <f t="shared" si="20"/>
        <v>47337</v>
      </c>
      <c r="H32" s="6">
        <f t="shared" si="20"/>
        <v>40305</v>
      </c>
      <c r="I32" s="6">
        <f t="shared" si="20"/>
        <v>81449</v>
      </c>
      <c r="J32" s="6">
        <f t="shared" si="20"/>
        <v>135010</v>
      </c>
      <c r="K32" s="6">
        <f t="shared" si="20"/>
        <v>210989.0114</v>
      </c>
      <c r="L32" s="6">
        <f t="shared" si="20"/>
        <v>244070.1173</v>
      </c>
      <c r="M32" s="6">
        <f t="shared" si="20"/>
        <v>282818.4196</v>
      </c>
      <c r="N32" s="6">
        <f t="shared" si="20"/>
        <v>328216.1261</v>
      </c>
      <c r="O32" s="6">
        <f t="shared" si="20"/>
        <v>381416.9775</v>
      </c>
      <c r="P32" s="6">
        <f t="shared" si="20"/>
        <v>443776.3508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  <c r="K33" s="20">
        <f t="shared" ref="K33:P33" si="21">J33</f>
        <v>2541</v>
      </c>
      <c r="L33" s="21">
        <f t="shared" si="21"/>
        <v>2541</v>
      </c>
      <c r="M33" s="21">
        <f t="shared" si="21"/>
        <v>2541</v>
      </c>
      <c r="N33" s="21">
        <f t="shared" si="21"/>
        <v>2541</v>
      </c>
      <c r="O33" s="21">
        <f t="shared" si="21"/>
        <v>2541</v>
      </c>
      <c r="P33" s="21">
        <f t="shared" si="21"/>
        <v>2541</v>
      </c>
    </row>
    <row r="34" ht="15.75" customHeight="1">
      <c r="A34" s="1"/>
    </row>
    <row r="35" ht="15.75" customHeight="1">
      <c r="A35" s="1"/>
    </row>
    <row r="36" ht="15.75" customHeight="1">
      <c r="A36" s="45" t="s">
        <v>180</v>
      </c>
      <c r="B36" s="9">
        <f t="shared" ref="B36:D36" si="22">B32+B33</f>
        <v>46988</v>
      </c>
      <c r="C36" s="9">
        <f t="shared" si="22"/>
        <v>77326</v>
      </c>
      <c r="D36" s="9">
        <f t="shared" si="22"/>
        <v>82118</v>
      </c>
      <c r="E36" s="9">
        <f>E32+F33</f>
        <v>74103</v>
      </c>
      <c r="F36" s="9">
        <f t="shared" ref="F36:P36" si="23">F32+F33</f>
        <v>52359</v>
      </c>
      <c r="G36" s="9">
        <f t="shared" si="23"/>
        <v>49027</v>
      </c>
      <c r="H36" s="9">
        <f t="shared" si="23"/>
        <v>41924</v>
      </c>
      <c r="I36" s="9">
        <f t="shared" si="23"/>
        <v>83223</v>
      </c>
      <c r="J36" s="9">
        <f t="shared" si="23"/>
        <v>137551</v>
      </c>
      <c r="K36" s="9">
        <f t="shared" si="23"/>
        <v>213530.0114</v>
      </c>
      <c r="L36" s="9">
        <f t="shared" si="23"/>
        <v>246611.1173</v>
      </c>
      <c r="M36" s="9">
        <f t="shared" si="23"/>
        <v>285359.4196</v>
      </c>
      <c r="N36" s="9">
        <f t="shared" si="23"/>
        <v>330757.1261</v>
      </c>
      <c r="O36" s="9">
        <f t="shared" si="23"/>
        <v>383957.9775</v>
      </c>
      <c r="P36" s="9">
        <f t="shared" si="23"/>
        <v>446317.3508</v>
      </c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ht="15.75" customHeight="1">
      <c r="A40" s="7"/>
    </row>
    <row r="41" ht="15.75" customHeight="1">
      <c r="A41" s="4" t="s">
        <v>31</v>
      </c>
      <c r="B41" s="27">
        <f t="shared" ref="B41:P41" si="24">SUM(B42:B47)</f>
        <v>306304</v>
      </c>
      <c r="C41" s="27">
        <f t="shared" si="24"/>
        <v>370905</v>
      </c>
      <c r="D41" s="27">
        <f t="shared" si="24"/>
        <v>425755</v>
      </c>
      <c r="E41" s="27">
        <f t="shared" si="24"/>
        <v>471097</v>
      </c>
      <c r="F41" s="27">
        <f t="shared" si="24"/>
        <v>494322</v>
      </c>
      <c r="G41" s="27">
        <f t="shared" si="24"/>
        <v>525006</v>
      </c>
      <c r="H41" s="27">
        <f t="shared" si="24"/>
        <v>553335</v>
      </c>
      <c r="I41" s="27">
        <f t="shared" si="24"/>
        <v>746002</v>
      </c>
      <c r="J41" s="27">
        <f t="shared" si="24"/>
        <v>856360</v>
      </c>
      <c r="K41" s="27">
        <f t="shared" si="24"/>
        <v>1069890.011</v>
      </c>
      <c r="L41" s="27">
        <f t="shared" si="24"/>
        <v>1316501.129</v>
      </c>
      <c r="M41" s="27">
        <f t="shared" si="24"/>
        <v>1601860.548</v>
      </c>
      <c r="N41" s="27">
        <f t="shared" si="24"/>
        <v>1932617.674</v>
      </c>
      <c r="O41" s="27">
        <f t="shared" si="24"/>
        <v>2316575.652</v>
      </c>
      <c r="P41" s="27">
        <f t="shared" si="24"/>
        <v>2762893.003</v>
      </c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ht="15.75" customHeight="1">
      <c r="A42" s="1" t="s">
        <v>32</v>
      </c>
      <c r="B42" s="22">
        <v>1510.0</v>
      </c>
      <c r="C42" s="22">
        <v>1510.0</v>
      </c>
      <c r="D42" s="22">
        <v>1510.0</v>
      </c>
      <c r="E42" s="22">
        <v>1510.0</v>
      </c>
      <c r="F42" s="22">
        <v>1510.0</v>
      </c>
      <c r="G42" s="22">
        <v>1510.0</v>
      </c>
      <c r="H42" s="22">
        <v>1510.0</v>
      </c>
      <c r="I42" s="22">
        <v>1572.0</v>
      </c>
      <c r="J42" s="22">
        <v>1572.0</v>
      </c>
      <c r="K42" s="21">
        <f t="shared" ref="K42:P42" si="25">J42</f>
        <v>1572</v>
      </c>
      <c r="L42" s="21">
        <f t="shared" si="25"/>
        <v>1572</v>
      </c>
      <c r="M42" s="21">
        <f t="shared" si="25"/>
        <v>1572</v>
      </c>
      <c r="N42" s="21">
        <f t="shared" si="25"/>
        <v>1572</v>
      </c>
      <c r="O42" s="21">
        <f t="shared" si="25"/>
        <v>1572</v>
      </c>
      <c r="P42" s="21">
        <f t="shared" si="25"/>
        <v>1572</v>
      </c>
    </row>
    <row r="43" ht="15.75" customHeight="1">
      <c r="A43" s="1" t="s">
        <v>33</v>
      </c>
      <c r="B43" s="22">
        <v>304650.0</v>
      </c>
      <c r="C43" s="22">
        <v>369241.0</v>
      </c>
      <c r="D43" s="22">
        <v>424084.0</v>
      </c>
      <c r="E43" s="22">
        <v>469411.0</v>
      </c>
      <c r="F43" s="22">
        <v>492620.0</v>
      </c>
      <c r="G43" s="22">
        <v>523496.0</v>
      </c>
      <c r="H43" s="22">
        <v>551825.0</v>
      </c>
      <c r="I43" s="22">
        <v>744430.0</v>
      </c>
      <c r="J43" s="22">
        <v>854788.0</v>
      </c>
      <c r="K43" s="19">
        <f t="shared" ref="K43:P43" si="26">J43+K36</f>
        <v>1068318.011</v>
      </c>
      <c r="L43" s="19">
        <f t="shared" si="26"/>
        <v>1314929.129</v>
      </c>
      <c r="M43" s="19">
        <f t="shared" si="26"/>
        <v>1600288.548</v>
      </c>
      <c r="N43" s="19">
        <f t="shared" si="26"/>
        <v>1931045.674</v>
      </c>
      <c r="O43" s="19">
        <f t="shared" si="26"/>
        <v>2315003.652</v>
      </c>
      <c r="P43" s="19">
        <f t="shared" si="26"/>
        <v>2761321.003</v>
      </c>
    </row>
    <row r="44" ht="15.75" customHeight="1">
      <c r="A44" s="1" t="s">
        <v>34</v>
      </c>
      <c r="B44" s="22">
        <v>0.0</v>
      </c>
      <c r="C44" s="22">
        <v>0.0</v>
      </c>
      <c r="D44" s="22">
        <v>0.0</v>
      </c>
      <c r="E44" s="22">
        <v>0.0</v>
      </c>
      <c r="F44" s="22">
        <v>0.0</v>
      </c>
      <c r="G44" s="22">
        <v>0.0</v>
      </c>
      <c r="H44" s="22">
        <v>0.0</v>
      </c>
      <c r="I44" s="22">
        <v>0.0</v>
      </c>
      <c r="J44" s="22">
        <v>0.0</v>
      </c>
      <c r="K44" s="21">
        <f t="shared" ref="K44:P44" si="27">J44</f>
        <v>0</v>
      </c>
      <c r="L44" s="21">
        <f t="shared" si="27"/>
        <v>0</v>
      </c>
      <c r="M44" s="21">
        <f t="shared" si="27"/>
        <v>0</v>
      </c>
      <c r="N44" s="21">
        <f t="shared" si="27"/>
        <v>0</v>
      </c>
      <c r="O44" s="21">
        <f t="shared" si="27"/>
        <v>0</v>
      </c>
      <c r="P44" s="21">
        <f t="shared" si="27"/>
        <v>0</v>
      </c>
    </row>
    <row r="45" ht="15.75" customHeight="1">
      <c r="A45" s="7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ht="15.75" customHeight="1">
      <c r="A46" s="7" t="s">
        <v>35</v>
      </c>
      <c r="B46" s="22">
        <v>144.0</v>
      </c>
      <c r="C46" s="22">
        <v>154.0</v>
      </c>
      <c r="D46" s="22">
        <v>161.0</v>
      </c>
      <c r="E46" s="22">
        <v>176.0</v>
      </c>
      <c r="F46" s="22">
        <v>192.0</v>
      </c>
      <c r="G46" s="22">
        <v>0.0</v>
      </c>
      <c r="H46" s="22">
        <v>0.0</v>
      </c>
      <c r="I46" s="22">
        <v>0.0</v>
      </c>
      <c r="J46" s="22">
        <v>0.0</v>
      </c>
      <c r="K46" s="21">
        <f t="shared" ref="K46:P46" si="28">J46</f>
        <v>0</v>
      </c>
      <c r="L46" s="21">
        <f t="shared" si="28"/>
        <v>0</v>
      </c>
      <c r="M46" s="21">
        <f t="shared" si="28"/>
        <v>0</v>
      </c>
      <c r="N46" s="21">
        <f t="shared" si="28"/>
        <v>0</v>
      </c>
      <c r="O46" s="21">
        <f t="shared" si="28"/>
        <v>0</v>
      </c>
      <c r="P46" s="21">
        <f t="shared" si="28"/>
        <v>0</v>
      </c>
    </row>
    <row r="47" ht="15.75" customHeight="1">
      <c r="A47" s="7" t="s">
        <v>36</v>
      </c>
      <c r="B47" s="22">
        <v>0.0</v>
      </c>
      <c r="C47" s="22">
        <v>0.0</v>
      </c>
      <c r="D47" s="22">
        <v>0.0</v>
      </c>
      <c r="E47" s="22">
        <v>0.0</v>
      </c>
      <c r="F47" s="22">
        <v>0.0</v>
      </c>
      <c r="G47" s="22">
        <v>0.0</v>
      </c>
      <c r="H47" s="22">
        <v>0.0</v>
      </c>
      <c r="I47" s="22">
        <v>0.0</v>
      </c>
      <c r="J47" s="22">
        <v>0.0</v>
      </c>
      <c r="K47" s="21">
        <f t="shared" ref="K47:P47" si="29">J47</f>
        <v>0</v>
      </c>
      <c r="L47" s="21">
        <f t="shared" si="29"/>
        <v>0</v>
      </c>
      <c r="M47" s="21">
        <f t="shared" si="29"/>
        <v>0</v>
      </c>
      <c r="N47" s="21">
        <f t="shared" si="29"/>
        <v>0</v>
      </c>
      <c r="O47" s="21">
        <f t="shared" si="29"/>
        <v>0</v>
      </c>
      <c r="P47" s="21">
        <f t="shared" si="29"/>
        <v>0</v>
      </c>
    </row>
    <row r="48" ht="15.75" customHeight="1">
      <c r="A48" s="7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</row>
    <row r="49" ht="15.75" customHeight="1">
      <c r="A49" s="4" t="s">
        <v>37</v>
      </c>
      <c r="B49" s="27">
        <f t="shared" ref="B49:P49" si="30">SUM(B50:B54)</f>
        <v>10510</v>
      </c>
      <c r="C49" s="27">
        <f t="shared" si="30"/>
        <v>16332</v>
      </c>
      <c r="D49" s="27">
        <f t="shared" si="30"/>
        <v>22244</v>
      </c>
      <c r="E49" s="27">
        <f t="shared" si="30"/>
        <v>26985</v>
      </c>
      <c r="F49" s="27">
        <f t="shared" si="30"/>
        <v>28901</v>
      </c>
      <c r="G49" s="27">
        <f t="shared" si="30"/>
        <v>26616</v>
      </c>
      <c r="H49" s="27">
        <f t="shared" si="30"/>
        <v>22985</v>
      </c>
      <c r="I49" s="27">
        <f t="shared" si="30"/>
        <v>30185</v>
      </c>
      <c r="J49" s="27">
        <f t="shared" si="30"/>
        <v>37630</v>
      </c>
      <c r="K49" s="27">
        <f t="shared" si="30"/>
        <v>37630</v>
      </c>
      <c r="L49" s="27">
        <f t="shared" si="30"/>
        <v>37630</v>
      </c>
      <c r="M49" s="27">
        <f t="shared" si="30"/>
        <v>37630</v>
      </c>
      <c r="N49" s="27">
        <f t="shared" si="30"/>
        <v>37630</v>
      </c>
      <c r="O49" s="27">
        <f t="shared" si="30"/>
        <v>37630</v>
      </c>
      <c r="P49" s="27">
        <f t="shared" si="30"/>
        <v>37630</v>
      </c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ht="15.75" customHeight="1">
      <c r="A50" s="1" t="s">
        <v>38</v>
      </c>
      <c r="B50" s="22">
        <v>0.0</v>
      </c>
      <c r="C50" s="22">
        <v>0.0</v>
      </c>
      <c r="D50" s="22">
        <v>100.0</v>
      </c>
      <c r="E50" s="22">
        <v>80.0</v>
      </c>
      <c r="F50" s="22">
        <v>652.0</v>
      </c>
      <c r="G50" s="22">
        <v>420.0</v>
      </c>
      <c r="H50" s="22">
        <v>329.0</v>
      </c>
      <c r="I50" s="22">
        <v>250.0</v>
      </c>
      <c r="J50" s="22">
        <v>677.0</v>
      </c>
      <c r="K50" s="21">
        <f t="shared" ref="K50:P50" si="31">J50</f>
        <v>677</v>
      </c>
      <c r="L50" s="21">
        <f t="shared" si="31"/>
        <v>677</v>
      </c>
      <c r="M50" s="21">
        <f t="shared" si="31"/>
        <v>677</v>
      </c>
      <c r="N50" s="21">
        <f t="shared" si="31"/>
        <v>677</v>
      </c>
      <c r="O50" s="21">
        <f t="shared" si="31"/>
        <v>677</v>
      </c>
      <c r="P50" s="21">
        <f t="shared" si="31"/>
        <v>677</v>
      </c>
    </row>
    <row r="51" ht="15.75" customHeight="1">
      <c r="A51" s="1" t="s">
        <v>39</v>
      </c>
      <c r="B51" s="22">
        <v>8075.0</v>
      </c>
      <c r="C51" s="22">
        <v>11055.0</v>
      </c>
      <c r="D51" s="22">
        <v>15859.0</v>
      </c>
      <c r="E51" s="22">
        <v>20371.0</v>
      </c>
      <c r="F51" s="22">
        <v>21158.0</v>
      </c>
      <c r="G51" s="22">
        <v>21295.0</v>
      </c>
      <c r="H51" s="22">
        <v>21812.0</v>
      </c>
      <c r="I51" s="22">
        <v>25850.0</v>
      </c>
      <c r="J51" s="22">
        <v>31617.0</v>
      </c>
      <c r="K51" s="21">
        <f t="shared" ref="K51:P51" si="32">J51</f>
        <v>31617</v>
      </c>
      <c r="L51" s="21">
        <f t="shared" si="32"/>
        <v>31617</v>
      </c>
      <c r="M51" s="21">
        <f t="shared" si="32"/>
        <v>31617</v>
      </c>
      <c r="N51" s="21">
        <f t="shared" si="32"/>
        <v>31617</v>
      </c>
      <c r="O51" s="21">
        <f t="shared" si="32"/>
        <v>31617</v>
      </c>
      <c r="P51" s="21">
        <f t="shared" si="32"/>
        <v>31617</v>
      </c>
    </row>
    <row r="52" ht="15.75" customHeight="1">
      <c r="A52" s="1" t="s">
        <v>40</v>
      </c>
      <c r="B52" s="22">
        <v>148.0</v>
      </c>
      <c r="C52" s="22">
        <v>219.0</v>
      </c>
      <c r="D52" s="22">
        <v>265.0</v>
      </c>
      <c r="E52" s="22">
        <v>395.0</v>
      </c>
      <c r="F52" s="22">
        <v>516.0</v>
      </c>
      <c r="G52" s="22">
        <v>447.0</v>
      </c>
      <c r="H52" s="22">
        <v>844.0</v>
      </c>
      <c r="I52" s="22">
        <v>875.0</v>
      </c>
      <c r="J52" s="22">
        <v>1448.0</v>
      </c>
      <c r="K52" s="21">
        <f t="shared" ref="K52:P52" si="33">J52</f>
        <v>1448</v>
      </c>
      <c r="L52" s="21">
        <f t="shared" si="33"/>
        <v>1448</v>
      </c>
      <c r="M52" s="21">
        <f t="shared" si="33"/>
        <v>1448</v>
      </c>
      <c r="N52" s="21">
        <f t="shared" si="33"/>
        <v>1448</v>
      </c>
      <c r="O52" s="21">
        <f t="shared" si="33"/>
        <v>1448</v>
      </c>
      <c r="P52" s="21">
        <f t="shared" si="33"/>
        <v>1448</v>
      </c>
    </row>
    <row r="53" ht="15.75" customHeight="1">
      <c r="A53" s="1" t="s">
        <v>41</v>
      </c>
      <c r="B53" s="22">
        <v>2287.0</v>
      </c>
      <c r="C53" s="22">
        <v>5058.0</v>
      </c>
      <c r="D53" s="22">
        <v>6020.0</v>
      </c>
      <c r="E53" s="22">
        <v>6139.0</v>
      </c>
      <c r="F53" s="22">
        <v>6575.0</v>
      </c>
      <c r="G53" s="22">
        <v>4454.0</v>
      </c>
      <c r="H53" s="22">
        <v>0.0</v>
      </c>
      <c r="I53" s="22">
        <v>3210.0</v>
      </c>
      <c r="J53" s="22">
        <v>3888.0</v>
      </c>
      <c r="K53" s="21">
        <f t="shared" ref="K53:P53" si="34">J53</f>
        <v>3888</v>
      </c>
      <c r="L53" s="21">
        <f t="shared" si="34"/>
        <v>3888</v>
      </c>
      <c r="M53" s="21">
        <f t="shared" si="34"/>
        <v>3888</v>
      </c>
      <c r="N53" s="21">
        <f t="shared" si="34"/>
        <v>3888</v>
      </c>
      <c r="O53" s="21">
        <f t="shared" si="34"/>
        <v>3888</v>
      </c>
      <c r="P53" s="21">
        <f t="shared" si="34"/>
        <v>3888</v>
      </c>
    </row>
    <row r="54" ht="15.75" customHeight="1">
      <c r="A54" s="7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</row>
    <row r="55" ht="15.75" customHeight="1">
      <c r="A55" s="18" t="s">
        <v>42</v>
      </c>
      <c r="B55" s="27">
        <f t="shared" ref="B55:P55" si="35">SUM(B56:B62)</f>
        <v>110441</v>
      </c>
      <c r="C55" s="27">
        <f t="shared" si="35"/>
        <v>132368</v>
      </c>
      <c r="D55" s="27">
        <f t="shared" si="35"/>
        <v>154485</v>
      </c>
      <c r="E55" s="27">
        <f t="shared" si="35"/>
        <v>141605</v>
      </c>
      <c r="F55" s="27">
        <f t="shared" si="35"/>
        <v>113054</v>
      </c>
      <c r="G55" s="27">
        <f t="shared" si="35"/>
        <v>162139</v>
      </c>
      <c r="H55" s="27">
        <f t="shared" si="35"/>
        <v>170235</v>
      </c>
      <c r="I55" s="27">
        <f t="shared" si="35"/>
        <v>227667</v>
      </c>
      <c r="J55" s="27">
        <f t="shared" si="35"/>
        <v>259518</v>
      </c>
      <c r="K55" s="27">
        <f t="shared" si="35"/>
        <v>0</v>
      </c>
      <c r="L55" s="27">
        <f t="shared" si="35"/>
        <v>0</v>
      </c>
      <c r="M55" s="27">
        <f t="shared" si="35"/>
        <v>0</v>
      </c>
      <c r="N55" s="27">
        <f t="shared" si="35"/>
        <v>0</v>
      </c>
      <c r="O55" s="27">
        <f t="shared" si="35"/>
        <v>0</v>
      </c>
      <c r="P55" s="27">
        <f t="shared" si="35"/>
        <v>0</v>
      </c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ht="15.75" customHeight="1">
      <c r="A56" s="1" t="s">
        <v>43</v>
      </c>
      <c r="B56" s="22">
        <v>7956.0</v>
      </c>
      <c r="C56" s="22">
        <v>8036.0</v>
      </c>
      <c r="D56" s="22">
        <v>8541.0</v>
      </c>
      <c r="E56" s="22">
        <v>6729.0</v>
      </c>
      <c r="F56" s="22">
        <v>6962.0</v>
      </c>
      <c r="G56" s="22">
        <v>8547.0</v>
      </c>
      <c r="H56" s="22">
        <v>11113.0</v>
      </c>
      <c r="I56" s="22">
        <v>11584.0</v>
      </c>
      <c r="J56" s="22">
        <v>12030.0</v>
      </c>
      <c r="K56" s="19"/>
      <c r="L56" s="19"/>
      <c r="M56" s="19"/>
      <c r="N56" s="19"/>
      <c r="O56" s="19"/>
      <c r="P56" s="19"/>
    </row>
    <row r="57" ht="15.75" customHeight="1">
      <c r="A57" s="1" t="s">
        <v>44</v>
      </c>
      <c r="B57" s="22">
        <v>774.0</v>
      </c>
      <c r="C57" s="22">
        <v>4838.0</v>
      </c>
      <c r="D57" s="22">
        <v>1108.0</v>
      </c>
      <c r="E57" s="22">
        <v>1496.0</v>
      </c>
      <c r="F57" s="22">
        <v>1063.0</v>
      </c>
      <c r="G57" s="22">
        <v>4962.0</v>
      </c>
      <c r="H57" s="22">
        <v>3819.0</v>
      </c>
      <c r="I57" s="22">
        <v>12226.0</v>
      </c>
      <c r="J57" s="22">
        <v>509.0</v>
      </c>
      <c r="K57" s="19"/>
      <c r="L57" s="19"/>
      <c r="M57" s="19"/>
      <c r="N57" s="19"/>
      <c r="O57" s="19"/>
      <c r="P57" s="19"/>
    </row>
    <row r="58" ht="15.75" customHeight="1">
      <c r="A58" s="29" t="s">
        <v>110</v>
      </c>
      <c r="B58" s="22">
        <v>74089.0</v>
      </c>
      <c r="C58" s="22">
        <v>83692.0</v>
      </c>
      <c r="D58" s="22">
        <v>104993.0</v>
      </c>
      <c r="E58" s="22">
        <v>96377.0</v>
      </c>
      <c r="F58" s="22">
        <v>75091.0</v>
      </c>
      <c r="G58" s="22">
        <v>101681.0</v>
      </c>
      <c r="H58" s="22">
        <v>97732.0</v>
      </c>
      <c r="I58" s="22">
        <v>1947.0</v>
      </c>
      <c r="J58" s="22">
        <v>2070.0</v>
      </c>
      <c r="K58" s="19"/>
      <c r="L58" s="19"/>
      <c r="M58" s="19"/>
      <c r="N58" s="19"/>
      <c r="O58" s="19"/>
      <c r="P58" s="19"/>
    </row>
    <row r="59" ht="15.75" customHeight="1">
      <c r="A59" s="1" t="s">
        <v>45</v>
      </c>
      <c r="B59" s="22">
        <v>0.0</v>
      </c>
      <c r="C59" s="22">
        <v>0.0</v>
      </c>
      <c r="D59" s="22">
        <v>0.0</v>
      </c>
      <c r="E59" s="22">
        <v>0.0</v>
      </c>
      <c r="F59" s="22">
        <v>0.0</v>
      </c>
      <c r="G59" s="22">
        <v>0.0</v>
      </c>
      <c r="H59" s="22">
        <v>0.0</v>
      </c>
      <c r="I59" s="22">
        <v>134808.0</v>
      </c>
      <c r="J59" s="22">
        <v>167814.0</v>
      </c>
      <c r="K59" s="19"/>
      <c r="L59" s="19"/>
      <c r="M59" s="19"/>
      <c r="N59" s="19"/>
      <c r="O59" s="19"/>
      <c r="P59" s="19"/>
    </row>
    <row r="60" ht="15.75" customHeight="1">
      <c r="A60" s="1" t="s">
        <v>46</v>
      </c>
      <c r="B60" s="22">
        <v>11650.0</v>
      </c>
      <c r="C60" s="22">
        <v>18278.0</v>
      </c>
      <c r="D60" s="22">
        <v>20896.0</v>
      </c>
      <c r="E60" s="22">
        <v>16329.0</v>
      </c>
      <c r="F60" s="22">
        <v>14091.0</v>
      </c>
      <c r="G60" s="22">
        <v>26801.0</v>
      </c>
      <c r="H60" s="22">
        <v>28686.0</v>
      </c>
      <c r="I60" s="22">
        <v>33372.0</v>
      </c>
      <c r="J60" s="22">
        <v>41739.0</v>
      </c>
      <c r="K60" s="19"/>
      <c r="L60" s="19"/>
      <c r="M60" s="19"/>
      <c r="N60" s="19"/>
      <c r="O60" s="19"/>
      <c r="P60" s="19"/>
    </row>
    <row r="61" ht="15.75" customHeight="1">
      <c r="A61" s="1" t="s">
        <v>47</v>
      </c>
      <c r="B61" s="22">
        <v>3994.0</v>
      </c>
      <c r="C61" s="22">
        <v>4496.0</v>
      </c>
      <c r="D61" s="22">
        <v>5609.0</v>
      </c>
      <c r="E61" s="22">
        <v>6254.0</v>
      </c>
      <c r="F61" s="22">
        <v>6807.0</v>
      </c>
      <c r="G61" s="22">
        <v>7428.0</v>
      </c>
      <c r="H61" s="22">
        <v>8613.0</v>
      </c>
      <c r="I61" s="22">
        <v>10830.0</v>
      </c>
      <c r="J61" s="22">
        <v>13119.0</v>
      </c>
      <c r="K61" s="19"/>
      <c r="L61" s="19"/>
      <c r="M61" s="19"/>
      <c r="N61" s="19"/>
      <c r="O61" s="19"/>
      <c r="P61" s="19"/>
    </row>
    <row r="62" ht="15.75" customHeight="1">
      <c r="A62" s="1" t="s">
        <v>48</v>
      </c>
      <c r="B62" s="22">
        <v>11978.0</v>
      </c>
      <c r="C62" s="22">
        <v>13028.0</v>
      </c>
      <c r="D62" s="22">
        <v>13338.0</v>
      </c>
      <c r="E62" s="22">
        <v>14420.0</v>
      </c>
      <c r="F62" s="22">
        <v>9040.0</v>
      </c>
      <c r="G62" s="22">
        <v>12720.0</v>
      </c>
      <c r="H62" s="22">
        <v>20272.0</v>
      </c>
      <c r="I62" s="22">
        <v>22900.0</v>
      </c>
      <c r="J62" s="22">
        <v>22237.0</v>
      </c>
      <c r="K62" s="19"/>
      <c r="L62" s="19"/>
      <c r="M62" s="19"/>
      <c r="N62" s="19"/>
      <c r="O62" s="19"/>
      <c r="P62" s="19"/>
    </row>
    <row r="63" ht="15.75" customHeight="1">
      <c r="A63" s="8" t="s">
        <v>49</v>
      </c>
      <c r="B63" s="30">
        <f t="shared" ref="B63:P63" si="36">sum(B41,B49,B55)</f>
        <v>427255</v>
      </c>
      <c r="C63" s="30">
        <f t="shared" si="36"/>
        <v>519605</v>
      </c>
      <c r="D63" s="30">
        <f t="shared" si="36"/>
        <v>602484</v>
      </c>
      <c r="E63" s="30">
        <f t="shared" si="36"/>
        <v>639687</v>
      </c>
      <c r="F63" s="30">
        <f t="shared" si="36"/>
        <v>636277</v>
      </c>
      <c r="G63" s="30">
        <f t="shared" si="36"/>
        <v>713761</v>
      </c>
      <c r="H63" s="30">
        <f t="shared" si="36"/>
        <v>746555</v>
      </c>
      <c r="I63" s="30">
        <f t="shared" si="36"/>
        <v>1003854</v>
      </c>
      <c r="J63" s="30">
        <f t="shared" si="36"/>
        <v>1153508</v>
      </c>
      <c r="K63" s="30">
        <f t="shared" si="36"/>
        <v>1107520.011</v>
      </c>
      <c r="L63" s="30">
        <f t="shared" si="36"/>
        <v>1354131.129</v>
      </c>
      <c r="M63" s="30">
        <f t="shared" si="36"/>
        <v>1639490.548</v>
      </c>
      <c r="N63" s="30">
        <f t="shared" si="36"/>
        <v>1970247.674</v>
      </c>
      <c r="O63" s="30">
        <f t="shared" si="36"/>
        <v>2354205.652</v>
      </c>
      <c r="P63" s="30">
        <f t="shared" si="36"/>
        <v>2800523.003</v>
      </c>
    </row>
    <row r="64" ht="15.75" customHeight="1">
      <c r="A64" s="7"/>
    </row>
    <row r="65" ht="15.75" customHeight="1">
      <c r="A65" s="7"/>
    </row>
    <row r="66" ht="15.75" customHeight="1">
      <c r="A66" s="4" t="s">
        <v>50</v>
      </c>
    </row>
    <row r="67" ht="15.75" customHeight="1">
      <c r="A67" s="7"/>
    </row>
    <row r="68" ht="15.75" customHeight="1">
      <c r="A68" s="18" t="s">
        <v>51</v>
      </c>
      <c r="B68" s="27">
        <f t="shared" ref="B68:P68" si="37">SUM(B69:B80)</f>
        <v>347744</v>
      </c>
      <c r="C68" s="27">
        <f t="shared" si="37"/>
        <v>431625</v>
      </c>
      <c r="D68" s="27">
        <f t="shared" si="37"/>
        <v>523184</v>
      </c>
      <c r="E68" s="27">
        <f t="shared" si="37"/>
        <v>515960</v>
      </c>
      <c r="F68" s="27">
        <f t="shared" si="37"/>
        <v>551871</v>
      </c>
      <c r="G68" s="27">
        <f t="shared" si="37"/>
        <v>532791</v>
      </c>
      <c r="H68" s="27">
        <f t="shared" si="37"/>
        <v>578621</v>
      </c>
      <c r="I68" s="27">
        <f t="shared" si="37"/>
        <v>847162</v>
      </c>
      <c r="J68" s="27">
        <f t="shared" si="37"/>
        <v>927170</v>
      </c>
      <c r="K68" s="27">
        <f t="shared" si="37"/>
        <v>571174</v>
      </c>
      <c r="L68" s="27">
        <f t="shared" si="37"/>
        <v>571174</v>
      </c>
      <c r="M68" s="27">
        <f t="shared" si="37"/>
        <v>571174</v>
      </c>
      <c r="N68" s="27">
        <f t="shared" si="37"/>
        <v>571174</v>
      </c>
      <c r="O68" s="27">
        <f t="shared" si="37"/>
        <v>571174</v>
      </c>
      <c r="P68" s="27">
        <f t="shared" si="37"/>
        <v>571174</v>
      </c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ht="15.75" customHeight="1">
      <c r="A69" s="28" t="s">
        <v>101</v>
      </c>
      <c r="B69" s="22">
        <v>121827.0</v>
      </c>
      <c r="C69" s="22">
        <v>129377.0</v>
      </c>
      <c r="D69" s="22">
        <v>130771.0</v>
      </c>
      <c r="E69" s="22">
        <v>149862.0</v>
      </c>
      <c r="F69" s="22">
        <v>147905.0</v>
      </c>
      <c r="G69" s="22">
        <v>141785.0</v>
      </c>
      <c r="H69" s="22">
        <v>128261.0</v>
      </c>
      <c r="I69" s="22">
        <v>268028.0</v>
      </c>
      <c r="J69" s="22">
        <v>267982.0</v>
      </c>
      <c r="K69" s="19"/>
      <c r="L69" s="19"/>
      <c r="M69" s="19"/>
      <c r="N69" s="19"/>
      <c r="O69" s="19"/>
      <c r="P69" s="19"/>
    </row>
    <row r="70" ht="15.75" customHeight="1">
      <c r="A70" s="16" t="s">
        <v>53</v>
      </c>
      <c r="B70" s="22">
        <v>3469.0</v>
      </c>
      <c r="C70" s="22">
        <v>3730.0</v>
      </c>
      <c r="D70" s="22">
        <v>3117.0</v>
      </c>
      <c r="E70" s="22">
        <v>4511.0</v>
      </c>
      <c r="F70" s="22">
        <v>4067.0</v>
      </c>
      <c r="G70" s="22">
        <v>2242.0</v>
      </c>
      <c r="H70" s="22">
        <v>3499.0</v>
      </c>
      <c r="I70" s="22">
        <v>5479.0</v>
      </c>
      <c r="J70" s="22">
        <v>4537.0</v>
      </c>
      <c r="K70" s="19"/>
      <c r="L70" s="19"/>
      <c r="M70" s="19"/>
      <c r="N70" s="19"/>
      <c r="O70" s="19"/>
      <c r="P70" s="19"/>
    </row>
    <row r="71" ht="15.75" customHeight="1">
      <c r="A71" s="16" t="s">
        <v>54</v>
      </c>
      <c r="B71" s="22">
        <v>10069.0</v>
      </c>
      <c r="C71" s="22">
        <v>12523.0</v>
      </c>
      <c r="D71" s="22">
        <v>21321.0</v>
      </c>
      <c r="E71" s="22">
        <v>16069.0</v>
      </c>
      <c r="F71" s="22">
        <v>13443.0</v>
      </c>
      <c r="G71" s="22">
        <v>11993.0</v>
      </c>
      <c r="H71" s="22">
        <v>26462.0</v>
      </c>
      <c r="I71" s="22">
        <v>40541.0</v>
      </c>
      <c r="J71" s="22">
        <v>75043.0</v>
      </c>
      <c r="K71" s="19"/>
      <c r="L71" s="19"/>
      <c r="M71" s="19"/>
      <c r="N71" s="19"/>
      <c r="O71" s="19"/>
      <c r="P71" s="19"/>
    </row>
    <row r="72" ht="15.75" customHeight="1">
      <c r="A72" s="16" t="s">
        <v>55</v>
      </c>
      <c r="B72" s="22">
        <v>0.0</v>
      </c>
      <c r="C72" s="22">
        <v>0.0</v>
      </c>
      <c r="D72" s="22">
        <v>0.0</v>
      </c>
      <c r="E72" s="22">
        <v>0.0</v>
      </c>
      <c r="F72" s="22">
        <v>0.0</v>
      </c>
      <c r="G72" s="22">
        <v>2975.0</v>
      </c>
      <c r="H72" s="22">
        <v>2903.0</v>
      </c>
      <c r="I72" s="15">
        <v>889.0</v>
      </c>
      <c r="J72" s="22">
        <v>2305.0</v>
      </c>
      <c r="K72" s="19"/>
      <c r="L72" s="19"/>
      <c r="M72" s="19"/>
      <c r="N72" s="19"/>
      <c r="O72" s="19"/>
      <c r="P72" s="19"/>
    </row>
    <row r="73" ht="15.75" customHeight="1">
      <c r="A73" s="29" t="s">
        <v>102</v>
      </c>
      <c r="B73" s="22">
        <v>0.0</v>
      </c>
      <c r="C73" s="22">
        <v>0.0</v>
      </c>
      <c r="D73" s="22">
        <v>0.0</v>
      </c>
      <c r="E73" s="22">
        <v>0.0</v>
      </c>
      <c r="F73" s="22">
        <v>6181.0</v>
      </c>
      <c r="G73" s="22">
        <v>5860.0</v>
      </c>
      <c r="H73" s="22">
        <v>5712.0</v>
      </c>
      <c r="I73" s="22">
        <v>5907.0</v>
      </c>
      <c r="J73" s="22">
        <v>6129.0</v>
      </c>
      <c r="K73" s="19"/>
      <c r="L73" s="19"/>
      <c r="M73" s="19"/>
      <c r="N73" s="19"/>
      <c r="O73" s="19"/>
      <c r="P73" s="19"/>
    </row>
    <row r="74" ht="15.75" customHeight="1">
      <c r="A74" s="1" t="s">
        <v>56</v>
      </c>
      <c r="B74" s="22">
        <v>195345.0</v>
      </c>
      <c r="C74" s="22">
        <v>269718.0</v>
      </c>
      <c r="D74" s="22">
        <v>349058.0</v>
      </c>
      <c r="E74" s="22">
        <v>324581.0</v>
      </c>
      <c r="F74" s="22">
        <v>362692.0</v>
      </c>
      <c r="G74" s="22">
        <v>345291.0</v>
      </c>
      <c r="H74" s="22">
        <v>379348.0</v>
      </c>
      <c r="I74" s="22">
        <v>491843.0</v>
      </c>
      <c r="J74" s="22">
        <v>533838.0</v>
      </c>
      <c r="K74" s="21">
        <f t="shared" ref="K74:P74" si="38">J74</f>
        <v>533838</v>
      </c>
      <c r="L74" s="21">
        <f t="shared" si="38"/>
        <v>533838</v>
      </c>
      <c r="M74" s="21">
        <f t="shared" si="38"/>
        <v>533838</v>
      </c>
      <c r="N74" s="21">
        <f t="shared" si="38"/>
        <v>533838</v>
      </c>
      <c r="O74" s="21">
        <f t="shared" si="38"/>
        <v>533838</v>
      </c>
      <c r="P74" s="21">
        <f t="shared" si="38"/>
        <v>533838</v>
      </c>
    </row>
    <row r="75" ht="15.75" customHeight="1">
      <c r="A75" s="1" t="s">
        <v>57</v>
      </c>
      <c r="B75" s="22">
        <v>234.0</v>
      </c>
      <c r="C75" s="22">
        <v>241.0</v>
      </c>
      <c r="D75" s="22">
        <v>328.0</v>
      </c>
      <c r="E75" s="22">
        <v>344.0</v>
      </c>
      <c r="F75" s="22">
        <v>365.0</v>
      </c>
      <c r="G75" s="22">
        <v>369.0</v>
      </c>
      <c r="H75" s="22">
        <v>375.0</v>
      </c>
      <c r="I75" s="22">
        <v>2398.0</v>
      </c>
      <c r="J75" s="22">
        <v>2981.0</v>
      </c>
      <c r="K75" s="21">
        <f t="shared" ref="K75:P75" si="39">J75</f>
        <v>2981</v>
      </c>
      <c r="L75" s="21">
        <f t="shared" si="39"/>
        <v>2981</v>
      </c>
      <c r="M75" s="21">
        <f t="shared" si="39"/>
        <v>2981</v>
      </c>
      <c r="N75" s="21">
        <f t="shared" si="39"/>
        <v>2981</v>
      </c>
      <c r="O75" s="21">
        <f t="shared" si="39"/>
        <v>2981</v>
      </c>
      <c r="P75" s="21">
        <f t="shared" si="39"/>
        <v>2981</v>
      </c>
    </row>
    <row r="76" ht="15.75" customHeight="1">
      <c r="A76" s="1" t="s">
        <v>58</v>
      </c>
      <c r="B76" s="22">
        <v>4.0</v>
      </c>
      <c r="C76" s="22">
        <v>3.0</v>
      </c>
      <c r="D76" s="22">
        <v>2.0</v>
      </c>
      <c r="E76" s="22">
        <v>2.0</v>
      </c>
      <c r="F76" s="22">
        <v>2.0</v>
      </c>
      <c r="G76" s="22">
        <v>2.0</v>
      </c>
      <c r="H76" s="22">
        <v>5446.0</v>
      </c>
      <c r="I76" s="22">
        <v>2.0</v>
      </c>
      <c r="J76" s="22">
        <v>1.0</v>
      </c>
      <c r="K76" s="21">
        <f t="shared" ref="K76:P76" si="40">J76</f>
        <v>1</v>
      </c>
      <c r="L76" s="21">
        <f t="shared" si="40"/>
        <v>1</v>
      </c>
      <c r="M76" s="21">
        <f t="shared" si="40"/>
        <v>1</v>
      </c>
      <c r="N76" s="21">
        <f t="shared" si="40"/>
        <v>1</v>
      </c>
      <c r="O76" s="21">
        <f t="shared" si="40"/>
        <v>1</v>
      </c>
      <c r="P76" s="21">
        <f t="shared" si="40"/>
        <v>1</v>
      </c>
    </row>
    <row r="77" ht="15.75" customHeight="1">
      <c r="A77" s="1" t="s">
        <v>59</v>
      </c>
      <c r="B77" s="22">
        <v>16796.0</v>
      </c>
      <c r="C77" s="22">
        <v>16033.0</v>
      </c>
      <c r="D77" s="22">
        <v>18587.0</v>
      </c>
      <c r="E77" s="22">
        <v>20591.0</v>
      </c>
      <c r="F77" s="22">
        <v>17216.0</v>
      </c>
      <c r="G77" s="22">
        <v>16867.0</v>
      </c>
      <c r="H77" s="22">
        <v>1411.0</v>
      </c>
      <c r="I77" s="22">
        <v>23226.0</v>
      </c>
      <c r="J77" s="22">
        <v>28049.0</v>
      </c>
      <c r="K77" s="21">
        <f t="shared" ref="K77:P77" si="41">J77</f>
        <v>28049</v>
      </c>
      <c r="L77" s="21">
        <f t="shared" si="41"/>
        <v>28049</v>
      </c>
      <c r="M77" s="21">
        <f t="shared" si="41"/>
        <v>28049</v>
      </c>
      <c r="N77" s="21">
        <f t="shared" si="41"/>
        <v>28049</v>
      </c>
      <c r="O77" s="21">
        <f t="shared" si="41"/>
        <v>28049</v>
      </c>
      <c r="P77" s="21">
        <f t="shared" si="41"/>
        <v>28049</v>
      </c>
    </row>
    <row r="78" ht="15.75" customHeight="1">
      <c r="A78" s="29" t="s">
        <v>103</v>
      </c>
      <c r="B78" s="22">
        <v>0.0</v>
      </c>
      <c r="C78" s="22">
        <v>0.0</v>
      </c>
      <c r="D78" s="22">
        <v>0.0</v>
      </c>
      <c r="E78" s="22">
        <v>0.0</v>
      </c>
      <c r="F78" s="22">
        <v>0.0</v>
      </c>
      <c r="G78" s="22">
        <v>0.0</v>
      </c>
      <c r="H78" s="22">
        <v>0.0</v>
      </c>
      <c r="I78" s="22">
        <v>6055.0</v>
      </c>
      <c r="J78" s="22">
        <v>5838.0</v>
      </c>
      <c r="K78" s="21">
        <f t="shared" ref="K78:P78" si="42">J78</f>
        <v>5838</v>
      </c>
      <c r="L78" s="21">
        <f t="shared" si="42"/>
        <v>5838</v>
      </c>
      <c r="M78" s="21">
        <f t="shared" si="42"/>
        <v>5838</v>
      </c>
      <c r="N78" s="21">
        <f t="shared" si="42"/>
        <v>5838</v>
      </c>
      <c r="O78" s="21">
        <f t="shared" si="42"/>
        <v>5838</v>
      </c>
      <c r="P78" s="21">
        <f t="shared" si="42"/>
        <v>5838</v>
      </c>
    </row>
    <row r="79" ht="15.75" customHeight="1">
      <c r="A79" s="29" t="s">
        <v>104</v>
      </c>
      <c r="B79" s="22">
        <v>0.0</v>
      </c>
      <c r="C79" s="22">
        <v>0.0</v>
      </c>
      <c r="D79" s="22">
        <v>0.0</v>
      </c>
      <c r="E79" s="22">
        <v>0.0</v>
      </c>
      <c r="F79" s="22">
        <v>0.0</v>
      </c>
      <c r="G79" s="22">
        <v>5407.0</v>
      </c>
      <c r="H79" s="22">
        <v>25204.0</v>
      </c>
      <c r="I79" s="22">
        <v>2794.0</v>
      </c>
      <c r="J79" s="22">
        <v>467.0</v>
      </c>
      <c r="K79" s="21">
        <f t="shared" ref="K79:P79" si="43">J79</f>
        <v>467</v>
      </c>
      <c r="L79" s="21">
        <f t="shared" si="43"/>
        <v>467</v>
      </c>
      <c r="M79" s="21">
        <f t="shared" si="43"/>
        <v>467</v>
      </c>
      <c r="N79" s="21">
        <f t="shared" si="43"/>
        <v>467</v>
      </c>
      <c r="O79" s="21">
        <f t="shared" si="43"/>
        <v>467</v>
      </c>
      <c r="P79" s="21">
        <f t="shared" si="43"/>
        <v>467</v>
      </c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ht="15.75" customHeight="1">
      <c r="A80" s="18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ht="15.75" customHeight="1">
      <c r="A81" s="18" t="s">
        <v>60</v>
      </c>
      <c r="B81" s="27">
        <f t="shared" ref="B81:P81" si="44">SUM(B82:B91)</f>
        <v>79511</v>
      </c>
      <c r="C81" s="27">
        <f t="shared" si="44"/>
        <v>87980</v>
      </c>
      <c r="D81" s="27">
        <f t="shared" si="44"/>
        <v>79300</v>
      </c>
      <c r="E81" s="27">
        <f t="shared" si="44"/>
        <v>123727</v>
      </c>
      <c r="F81" s="27">
        <f t="shared" si="44"/>
        <v>84406</v>
      </c>
      <c r="G81" s="27">
        <f t="shared" si="44"/>
        <v>180970</v>
      </c>
      <c r="H81" s="27">
        <f t="shared" si="44"/>
        <v>167934</v>
      </c>
      <c r="I81" s="27">
        <f t="shared" si="44"/>
        <v>156692</v>
      </c>
      <c r="J81" s="27">
        <f t="shared" si="44"/>
        <v>226338</v>
      </c>
      <c r="K81" s="27">
        <f t="shared" si="44"/>
        <v>0</v>
      </c>
      <c r="L81" s="27">
        <f t="shared" si="44"/>
        <v>0</v>
      </c>
      <c r="M81" s="27">
        <f t="shared" si="44"/>
        <v>0</v>
      </c>
      <c r="N81" s="27">
        <f t="shared" si="44"/>
        <v>0</v>
      </c>
      <c r="O81" s="27">
        <f t="shared" si="44"/>
        <v>0</v>
      </c>
      <c r="P81" s="27">
        <f t="shared" si="44"/>
        <v>0</v>
      </c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ht="15.75" customHeight="1">
      <c r="A82" s="1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</row>
    <row r="83" ht="15.75" customHeight="1">
      <c r="A83" s="16" t="s">
        <v>61</v>
      </c>
      <c r="B83" s="22">
        <v>31326.0</v>
      </c>
      <c r="C83" s="22">
        <v>32637.0</v>
      </c>
      <c r="D83" s="22">
        <v>31602.0</v>
      </c>
      <c r="E83" s="22">
        <v>33226.0</v>
      </c>
      <c r="F83" s="22">
        <v>32139.0</v>
      </c>
      <c r="G83" s="22">
        <v>30490.0</v>
      </c>
      <c r="H83" s="22">
        <v>35323.0</v>
      </c>
      <c r="I83" s="22">
        <v>54435.0</v>
      </c>
      <c r="J83" s="22">
        <v>53181.0</v>
      </c>
      <c r="K83" s="19"/>
      <c r="L83" s="19"/>
      <c r="M83" s="19"/>
      <c r="N83" s="19"/>
      <c r="O83" s="19"/>
      <c r="P83" s="19"/>
    </row>
    <row r="84" ht="15.75" customHeight="1">
      <c r="A84" s="16" t="s">
        <v>62</v>
      </c>
      <c r="B84" s="22">
        <v>13234.0</v>
      </c>
      <c r="C84" s="22">
        <v>12026.0</v>
      </c>
      <c r="D84" s="22">
        <v>14654.0</v>
      </c>
      <c r="E84" s="22">
        <v>23128.0</v>
      </c>
      <c r="F84" s="22">
        <v>21298.0</v>
      </c>
      <c r="G84" s="22">
        <v>12799.0</v>
      </c>
      <c r="H84" s="22">
        <v>20345.0</v>
      </c>
      <c r="I84" s="22">
        <v>32848.0</v>
      </c>
      <c r="J84" s="22">
        <v>45968.0</v>
      </c>
      <c r="K84" s="19"/>
      <c r="L84" s="19"/>
      <c r="M84" s="19"/>
      <c r="N84" s="19"/>
      <c r="O84" s="19"/>
      <c r="P84" s="19"/>
    </row>
    <row r="85" ht="15.75" customHeight="1">
      <c r="A85" s="16" t="s">
        <v>63</v>
      </c>
      <c r="B85" s="22">
        <v>507.0</v>
      </c>
      <c r="C85" s="22">
        <v>235.0</v>
      </c>
      <c r="D85" s="22">
        <v>740.0</v>
      </c>
      <c r="E85" s="22">
        <v>1878.0</v>
      </c>
      <c r="F85" s="22">
        <v>290.0</v>
      </c>
      <c r="G85" s="22">
        <v>30471.0</v>
      </c>
      <c r="H85" s="22">
        <v>30422.0</v>
      </c>
      <c r="I85" s="22">
        <v>27485.0</v>
      </c>
      <c r="J85" s="22">
        <v>28274.0</v>
      </c>
      <c r="K85" s="19"/>
      <c r="L85" s="19"/>
      <c r="M85" s="19"/>
      <c r="N85" s="19"/>
      <c r="O85" s="19"/>
      <c r="P85" s="19"/>
    </row>
    <row r="86" ht="15.75" customHeight="1">
      <c r="A86" s="16" t="s">
        <v>64</v>
      </c>
      <c r="B86" s="22">
        <v>31.0</v>
      </c>
      <c r="C86" s="22">
        <v>25.0</v>
      </c>
      <c r="D86" s="22">
        <v>30.0</v>
      </c>
      <c r="E86" s="22">
        <v>161.0</v>
      </c>
      <c r="F86" s="22">
        <v>170.0</v>
      </c>
      <c r="G86" s="22">
        <v>230.0</v>
      </c>
      <c r="H86" s="22">
        <v>305.0</v>
      </c>
      <c r="I86" s="22">
        <v>297.0</v>
      </c>
      <c r="J86" s="22">
        <v>327.0</v>
      </c>
      <c r="K86" s="19"/>
      <c r="L86" s="19"/>
      <c r="M86" s="19"/>
      <c r="N86" s="19"/>
      <c r="O86" s="19"/>
      <c r="P86" s="19"/>
    </row>
    <row r="87" ht="15.75" customHeight="1">
      <c r="A87" s="16" t="s">
        <v>65</v>
      </c>
      <c r="B87" s="22">
        <v>16611.0</v>
      </c>
      <c r="C87" s="22">
        <v>15408.0</v>
      </c>
      <c r="D87" s="22">
        <v>13140.0</v>
      </c>
      <c r="E87" s="22">
        <v>5638.0</v>
      </c>
      <c r="F87" s="22">
        <v>7974.0</v>
      </c>
      <c r="G87" s="22">
        <v>9581.0</v>
      </c>
      <c r="H87" s="22">
        <v>14608.0</v>
      </c>
      <c r="I87" s="22">
        <v>15602.0</v>
      </c>
      <c r="J87" s="22">
        <v>25077.0</v>
      </c>
      <c r="K87" s="19"/>
      <c r="L87" s="19"/>
      <c r="M87" s="19"/>
      <c r="N87" s="19"/>
      <c r="O87" s="19"/>
      <c r="P87" s="19"/>
    </row>
    <row r="88" ht="15.75" customHeight="1">
      <c r="A88" s="16" t="s">
        <v>66</v>
      </c>
      <c r="B88" s="22">
        <v>4906.0</v>
      </c>
      <c r="C88" s="22">
        <v>4910.0</v>
      </c>
      <c r="D88" s="22">
        <v>4115.0</v>
      </c>
      <c r="E88" s="22">
        <v>4277.0</v>
      </c>
      <c r="F88" s="22">
        <v>5272.0</v>
      </c>
      <c r="G88" s="22">
        <v>0.0</v>
      </c>
      <c r="H88" s="22">
        <v>0.0</v>
      </c>
      <c r="I88" s="22">
        <v>0.0</v>
      </c>
      <c r="J88" s="22">
        <v>0.0</v>
      </c>
      <c r="K88" s="19"/>
      <c r="L88" s="19"/>
      <c r="M88" s="19"/>
      <c r="N88" s="19"/>
      <c r="O88" s="19"/>
      <c r="P88" s="19"/>
    </row>
    <row r="89" ht="15.75" customHeight="1">
      <c r="A89" s="16" t="s">
        <v>67</v>
      </c>
      <c r="B89" s="22">
        <v>11413.0</v>
      </c>
      <c r="C89" s="22">
        <v>21788.0</v>
      </c>
      <c r="D89" s="22">
        <v>12173.0</v>
      </c>
      <c r="E89" s="22">
        <v>50455.0</v>
      </c>
      <c r="F89" s="22">
        <v>12188.0</v>
      </c>
      <c r="G89" s="22">
        <v>84157.0</v>
      </c>
      <c r="H89" s="22">
        <v>41001.0</v>
      </c>
      <c r="I89" s="22">
        <v>0.0</v>
      </c>
      <c r="J89" s="22">
        <v>39122.0</v>
      </c>
      <c r="K89" s="19"/>
      <c r="L89" s="19"/>
      <c r="M89" s="19"/>
      <c r="N89" s="19"/>
      <c r="O89" s="19"/>
      <c r="P89" s="19"/>
    </row>
    <row r="90" ht="15.75" customHeight="1">
      <c r="A90" s="1" t="s">
        <v>57</v>
      </c>
      <c r="B90" s="22">
        <v>1483.0</v>
      </c>
      <c r="C90" s="22">
        <v>951.0</v>
      </c>
      <c r="D90" s="22">
        <v>2846.0</v>
      </c>
      <c r="E90" s="22">
        <v>4964.0</v>
      </c>
      <c r="F90" s="22">
        <v>5075.0</v>
      </c>
      <c r="G90" s="22">
        <v>13242.0</v>
      </c>
      <c r="H90" s="22">
        <v>25930.0</v>
      </c>
      <c r="I90" s="22">
        <v>26025.0</v>
      </c>
      <c r="J90" s="22">
        <v>34186.0</v>
      </c>
      <c r="K90" s="19"/>
      <c r="L90" s="19"/>
      <c r="M90" s="19"/>
      <c r="N90" s="19"/>
      <c r="O90" s="19"/>
      <c r="P90" s="19"/>
    </row>
    <row r="91" ht="15.75" customHeight="1">
      <c r="A91" s="29" t="s">
        <v>105</v>
      </c>
      <c r="B91" s="22">
        <v>0.0</v>
      </c>
      <c r="C91" s="22">
        <v>0.0</v>
      </c>
      <c r="D91" s="22">
        <v>0.0</v>
      </c>
      <c r="E91" s="22">
        <v>0.0</v>
      </c>
      <c r="F91" s="22">
        <v>0.0</v>
      </c>
      <c r="G91" s="22">
        <v>0.0</v>
      </c>
      <c r="H91" s="22">
        <v>0.0</v>
      </c>
      <c r="I91" s="22">
        <v>0.0</v>
      </c>
      <c r="J91" s="22">
        <v>203.0</v>
      </c>
      <c r="K91" s="19"/>
      <c r="L91" s="19"/>
      <c r="M91" s="19"/>
      <c r="N91" s="19"/>
      <c r="O91" s="19"/>
      <c r="P91" s="19"/>
    </row>
    <row r="92" ht="15.75" customHeight="1">
      <c r="A92" s="8" t="s">
        <v>49</v>
      </c>
      <c r="B92" s="30">
        <f t="shared" ref="B92:P92" si="45">SUM(B68,B81)</f>
        <v>427255</v>
      </c>
      <c r="C92" s="30">
        <f t="shared" si="45"/>
        <v>519605</v>
      </c>
      <c r="D92" s="30">
        <f t="shared" si="45"/>
        <v>602484</v>
      </c>
      <c r="E92" s="30">
        <f t="shared" si="45"/>
        <v>639687</v>
      </c>
      <c r="F92" s="30">
        <f t="shared" si="45"/>
        <v>636277</v>
      </c>
      <c r="G92" s="30">
        <f t="shared" si="45"/>
        <v>713761</v>
      </c>
      <c r="H92" s="30">
        <f t="shared" si="45"/>
        <v>746555</v>
      </c>
      <c r="I92" s="30">
        <f t="shared" si="45"/>
        <v>1003854</v>
      </c>
      <c r="J92" s="30">
        <f t="shared" si="45"/>
        <v>1153508</v>
      </c>
      <c r="K92" s="30">
        <f t="shared" si="45"/>
        <v>571174</v>
      </c>
      <c r="L92" s="30">
        <f t="shared" si="45"/>
        <v>571174</v>
      </c>
      <c r="M92" s="30">
        <f t="shared" si="45"/>
        <v>571174</v>
      </c>
      <c r="N92" s="30">
        <f t="shared" si="45"/>
        <v>571174</v>
      </c>
      <c r="O92" s="30">
        <f t="shared" si="45"/>
        <v>571174</v>
      </c>
      <c r="P92" s="30">
        <f t="shared" si="45"/>
        <v>571174</v>
      </c>
    </row>
    <row r="93" ht="15.75" customHeight="1">
      <c r="A93" s="32" t="s">
        <v>106</v>
      </c>
      <c r="B93" s="33">
        <f t="shared" ref="B93:P93" si="46">B63-B92</f>
        <v>0</v>
      </c>
      <c r="C93" s="33">
        <f t="shared" si="46"/>
        <v>0</v>
      </c>
      <c r="D93" s="33">
        <f t="shared" si="46"/>
        <v>0</v>
      </c>
      <c r="E93" s="33">
        <f t="shared" si="46"/>
        <v>0</v>
      </c>
      <c r="F93" s="33">
        <f t="shared" si="46"/>
        <v>0</v>
      </c>
      <c r="G93" s="33">
        <f t="shared" si="46"/>
        <v>0</v>
      </c>
      <c r="H93" s="33">
        <f t="shared" si="46"/>
        <v>0</v>
      </c>
      <c r="I93" s="33">
        <f t="shared" si="46"/>
        <v>0</v>
      </c>
      <c r="J93" s="33">
        <f t="shared" si="46"/>
        <v>0</v>
      </c>
      <c r="K93" s="33">
        <f t="shared" si="46"/>
        <v>536346.0114</v>
      </c>
      <c r="L93" s="33">
        <f t="shared" si="46"/>
        <v>782957.1287</v>
      </c>
      <c r="M93" s="33">
        <f t="shared" si="46"/>
        <v>1068316.548</v>
      </c>
      <c r="N93" s="33">
        <f t="shared" si="46"/>
        <v>1399073.674</v>
      </c>
      <c r="O93" s="33">
        <f t="shared" si="46"/>
        <v>1783031.652</v>
      </c>
      <c r="P93" s="33">
        <f t="shared" si="46"/>
        <v>2229349.003</v>
      </c>
    </row>
    <row r="94" ht="15.75" customHeight="1">
      <c r="A94" s="5"/>
      <c r="B94" s="22"/>
      <c r="C94" s="22"/>
      <c r="D94" s="22"/>
      <c r="E94" s="22"/>
      <c r="F94" s="22"/>
      <c r="G94" s="22"/>
      <c r="H94" s="22"/>
      <c r="I94" s="22"/>
      <c r="J94" s="22"/>
    </row>
    <row r="95" ht="15.75" customHeight="1">
      <c r="A95" s="5" t="s">
        <v>68</v>
      </c>
      <c r="B95" s="22">
        <v>1500000.0</v>
      </c>
      <c r="C95" s="22">
        <v>1550000.0</v>
      </c>
      <c r="D95" s="22">
        <v>1560000.0</v>
      </c>
      <c r="E95" s="22">
        <v>1580000.0</v>
      </c>
      <c r="F95" s="22">
        <v>2000000.0</v>
      </c>
      <c r="G95" s="22">
        <v>2250000.0</v>
      </c>
      <c r="H95" s="22">
        <v>2250000.0</v>
      </c>
      <c r="I95" s="22">
        <v>2250000.0</v>
      </c>
      <c r="J95" s="22">
        <v>2250000.0</v>
      </c>
      <c r="K95" s="19">
        <f t="shared" ref="K95:P95" si="47">J95+K96</f>
        <v>2550000</v>
      </c>
      <c r="L95" s="19">
        <f t="shared" si="47"/>
        <v>2850000</v>
      </c>
      <c r="M95" s="19">
        <f t="shared" si="47"/>
        <v>3150000</v>
      </c>
      <c r="N95" s="19">
        <f t="shared" si="47"/>
        <v>3450000</v>
      </c>
      <c r="O95" s="19">
        <f t="shared" si="47"/>
        <v>3750000</v>
      </c>
      <c r="P95" s="19">
        <f t="shared" si="47"/>
        <v>4050000</v>
      </c>
    </row>
    <row r="96" ht="15.75" customHeight="1">
      <c r="A96" s="5" t="s">
        <v>69</v>
      </c>
      <c r="C96" s="19">
        <f t="shared" ref="C96:J96" si="48">C95-B95</f>
        <v>50000</v>
      </c>
      <c r="D96" s="19">
        <f t="shared" si="48"/>
        <v>10000</v>
      </c>
      <c r="E96" s="19">
        <f t="shared" si="48"/>
        <v>20000</v>
      </c>
      <c r="F96" s="19">
        <f t="shared" si="48"/>
        <v>420000</v>
      </c>
      <c r="G96" s="19">
        <f t="shared" si="48"/>
        <v>250000</v>
      </c>
      <c r="H96" s="19">
        <f t="shared" si="48"/>
        <v>0</v>
      </c>
      <c r="I96" s="19">
        <f t="shared" si="48"/>
        <v>0</v>
      </c>
      <c r="J96" s="19">
        <f t="shared" si="48"/>
        <v>0</v>
      </c>
      <c r="K96" s="20">
        <v>300000.0</v>
      </c>
      <c r="L96" s="116">
        <f t="shared" ref="L96:P96" si="49">K96</f>
        <v>300000</v>
      </c>
      <c r="M96" s="116">
        <f t="shared" si="49"/>
        <v>300000</v>
      </c>
      <c r="N96" s="116">
        <f t="shared" si="49"/>
        <v>300000</v>
      </c>
      <c r="O96" s="116">
        <f t="shared" si="49"/>
        <v>300000</v>
      </c>
      <c r="P96" s="116">
        <f t="shared" si="49"/>
        <v>300000</v>
      </c>
      <c r="Q96" s="19"/>
    </row>
    <row r="97" ht="15.75" customHeight="1">
      <c r="A97" s="5"/>
    </row>
    <row r="98" ht="15.75" customHeight="1">
      <c r="A98" s="5" t="s">
        <v>70</v>
      </c>
      <c r="B98" s="22">
        <v>1305351.0</v>
      </c>
      <c r="C98" s="22">
        <v>1444541.0</v>
      </c>
      <c r="D98" s="22">
        <v>1653500.0</v>
      </c>
      <c r="E98" s="22">
        <v>1753700.0</v>
      </c>
      <c r="F98" s="22">
        <v>1461126.0</v>
      </c>
      <c r="G98" s="22">
        <v>1361722.0</v>
      </c>
      <c r="H98" s="22">
        <v>1414277.0</v>
      </c>
      <c r="I98" s="22">
        <v>1706831.0</v>
      </c>
      <c r="J98" s="22">
        <v>1852256.0</v>
      </c>
      <c r="K98" s="114"/>
      <c r="L98" s="114"/>
      <c r="M98" s="114"/>
      <c r="N98" s="114"/>
      <c r="O98" s="114"/>
      <c r="P98" s="114"/>
    </row>
    <row r="99" ht="15.75" customHeight="1">
      <c r="A99" s="15" t="s">
        <v>181</v>
      </c>
      <c r="B99" s="22">
        <v>123897.0</v>
      </c>
      <c r="C99" s="22">
        <v>124062.0</v>
      </c>
      <c r="D99" s="22">
        <v>126074.0</v>
      </c>
      <c r="E99" s="22">
        <v>108749.0</v>
      </c>
      <c r="F99" s="22">
        <v>102171.0</v>
      </c>
      <c r="G99" s="22">
        <v>96139.0</v>
      </c>
      <c r="H99" s="22">
        <v>238376.0</v>
      </c>
      <c r="I99" s="22">
        <v>259333.0</v>
      </c>
      <c r="J99" s="22">
        <v>283067.0</v>
      </c>
      <c r="K99" s="114"/>
      <c r="L99" s="114"/>
      <c r="M99" s="114"/>
      <c r="N99" s="114"/>
      <c r="O99" s="114"/>
      <c r="P99" s="114"/>
    </row>
    <row r="100" ht="15.75" customHeight="1">
      <c r="A100" s="17" t="s">
        <v>49</v>
      </c>
      <c r="B100" s="27">
        <f t="shared" ref="B100:J100" si="50">SUM(B98:B99)</f>
        <v>1429248</v>
      </c>
      <c r="C100" s="27">
        <f t="shared" si="50"/>
        <v>1568603</v>
      </c>
      <c r="D100" s="27">
        <f t="shared" si="50"/>
        <v>1779574</v>
      </c>
      <c r="E100" s="27">
        <f t="shared" si="50"/>
        <v>1862449</v>
      </c>
      <c r="F100" s="27">
        <f t="shared" si="50"/>
        <v>1563297</v>
      </c>
      <c r="G100" s="27">
        <f t="shared" si="50"/>
        <v>1457861</v>
      </c>
      <c r="H100" s="27">
        <f t="shared" si="50"/>
        <v>1652653</v>
      </c>
      <c r="I100" s="27">
        <f t="shared" si="50"/>
        <v>1966164</v>
      </c>
      <c r="J100" s="27">
        <f t="shared" si="50"/>
        <v>2135323</v>
      </c>
      <c r="K100" s="52">
        <f t="shared" ref="K100:P100" si="51">K111*K118</f>
        <v>2388726.764</v>
      </c>
      <c r="L100" s="52">
        <f t="shared" si="51"/>
        <v>2537202.039</v>
      </c>
      <c r="M100" s="52">
        <f t="shared" si="51"/>
        <v>2695883.226</v>
      </c>
      <c r="N100" s="52">
        <f t="shared" si="51"/>
        <v>2865482.868</v>
      </c>
      <c r="O100" s="52">
        <f t="shared" si="51"/>
        <v>3046763.362</v>
      </c>
      <c r="P100" s="52">
        <f t="shared" si="51"/>
        <v>3240540.458</v>
      </c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ht="15.75" customHeight="1">
      <c r="A101" s="5"/>
    </row>
    <row r="102" ht="15.75" customHeight="1">
      <c r="A102" s="5" t="s">
        <v>72</v>
      </c>
      <c r="B102" s="35">
        <f t="shared" ref="B102:P102" si="52">B100/B95</f>
        <v>0.952832</v>
      </c>
      <c r="C102" s="35">
        <f t="shared" si="52"/>
        <v>1.012001935</v>
      </c>
      <c r="D102" s="35">
        <f t="shared" si="52"/>
        <v>1.140752564</v>
      </c>
      <c r="E102" s="35">
        <f t="shared" si="52"/>
        <v>1.17876519</v>
      </c>
      <c r="F102" s="35">
        <f t="shared" si="52"/>
        <v>0.7816485</v>
      </c>
      <c r="G102" s="35">
        <f t="shared" si="52"/>
        <v>0.6479382222</v>
      </c>
      <c r="H102" s="35">
        <f t="shared" si="52"/>
        <v>0.7345124444</v>
      </c>
      <c r="I102" s="35">
        <f t="shared" si="52"/>
        <v>0.8738506667</v>
      </c>
      <c r="J102" s="35">
        <f t="shared" si="52"/>
        <v>0.9490324444</v>
      </c>
      <c r="K102" s="35">
        <f t="shared" si="52"/>
        <v>0.9367555938</v>
      </c>
      <c r="L102" s="35">
        <f t="shared" si="52"/>
        <v>0.8902463294</v>
      </c>
      <c r="M102" s="35">
        <f t="shared" si="52"/>
        <v>0.8558359449</v>
      </c>
      <c r="N102" s="35">
        <f t="shared" si="52"/>
        <v>0.8305747443</v>
      </c>
      <c r="O102" s="35">
        <f t="shared" si="52"/>
        <v>0.8124702299</v>
      </c>
      <c r="P102" s="35">
        <f t="shared" si="52"/>
        <v>0.8001334464</v>
      </c>
    </row>
    <row r="103" ht="15.75" customHeight="1">
      <c r="A103" s="5"/>
      <c r="L103" s="117"/>
    </row>
    <row r="104" ht="15.75" customHeight="1">
      <c r="A104" s="5" t="s">
        <v>73</v>
      </c>
      <c r="C104" s="35">
        <f t="shared" ref="C104:J104" si="53">C98/B98-1</f>
        <v>0.106630324</v>
      </c>
      <c r="D104" s="35">
        <f t="shared" si="53"/>
        <v>0.1446542535</v>
      </c>
      <c r="E104" s="35">
        <f t="shared" si="53"/>
        <v>0.06059872997</v>
      </c>
      <c r="F104" s="35">
        <f t="shared" si="53"/>
        <v>-0.1668324115</v>
      </c>
      <c r="G104" s="35">
        <f t="shared" si="53"/>
        <v>-0.06803246263</v>
      </c>
      <c r="H104" s="35">
        <f t="shared" si="53"/>
        <v>0.03859451489</v>
      </c>
      <c r="I104" s="35">
        <f t="shared" si="53"/>
        <v>0.2068576382</v>
      </c>
      <c r="J104" s="35">
        <f t="shared" si="53"/>
        <v>0.08520175694</v>
      </c>
    </row>
    <row r="105" ht="15.75" customHeight="1">
      <c r="A105" s="5" t="s">
        <v>74</v>
      </c>
      <c r="C105" s="35">
        <f t="shared" ref="C105:J105" si="54">C99/B99-1</f>
        <v>0.001331751374</v>
      </c>
      <c r="D105" s="35">
        <f t="shared" si="54"/>
        <v>0.0162176976</v>
      </c>
      <c r="E105" s="35">
        <f t="shared" si="54"/>
        <v>-0.1374192934</v>
      </c>
      <c r="F105" s="35">
        <f t="shared" si="54"/>
        <v>-0.06048791253</v>
      </c>
      <c r="G105" s="35">
        <f t="shared" si="54"/>
        <v>-0.05903827896</v>
      </c>
      <c r="H105" s="35">
        <f t="shared" si="54"/>
        <v>1.479493234</v>
      </c>
      <c r="I105" s="35">
        <f t="shared" si="54"/>
        <v>0.08791572977</v>
      </c>
      <c r="J105" s="35">
        <f t="shared" si="54"/>
        <v>0.09151939784</v>
      </c>
    </row>
    <row r="106" ht="15.75" customHeight="1">
      <c r="A106" s="17" t="s">
        <v>75</v>
      </c>
      <c r="B106" s="34"/>
      <c r="C106" s="36">
        <f t="shared" ref="C106:J106" si="55">C100/B100-1</f>
        <v>0.0975023229</v>
      </c>
      <c r="D106" s="36">
        <f t="shared" si="55"/>
        <v>0.134496109</v>
      </c>
      <c r="E106" s="36">
        <f t="shared" si="55"/>
        <v>0.0465701342</v>
      </c>
      <c r="F106" s="36">
        <f t="shared" si="55"/>
        <v>-0.1606229218</v>
      </c>
      <c r="G106" s="36">
        <f t="shared" si="55"/>
        <v>-0.06744463784</v>
      </c>
      <c r="H106" s="36">
        <f t="shared" si="55"/>
        <v>0.1336149331</v>
      </c>
      <c r="I106" s="36">
        <f t="shared" si="55"/>
        <v>0.1897016494</v>
      </c>
      <c r="J106" s="36">
        <f t="shared" si="55"/>
        <v>0.08603504082</v>
      </c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ht="15.75" customHeight="1">
      <c r="A107" s="5"/>
    </row>
    <row r="108" ht="15.75" customHeight="1">
      <c r="A108" s="17" t="s">
        <v>76</v>
      </c>
    </row>
    <row r="109" ht="15.75" customHeight="1">
      <c r="A109" s="5" t="s">
        <v>77</v>
      </c>
      <c r="B109" s="22">
        <v>2789208.0</v>
      </c>
      <c r="C109" s="22">
        <v>3047582.0</v>
      </c>
      <c r="D109" s="22">
        <v>3288581.0</v>
      </c>
      <c r="E109" s="22">
        <v>3377389.0</v>
      </c>
      <c r="F109" s="22">
        <v>2773519.0</v>
      </c>
      <c r="G109" s="22">
        <v>2711457.0</v>
      </c>
      <c r="H109" s="22">
        <v>3069523.0</v>
      </c>
      <c r="I109" s="22">
        <v>3890114.0</v>
      </c>
      <c r="J109" s="22">
        <v>4218746.0</v>
      </c>
      <c r="K109" s="19">
        <f t="shared" ref="K109:P109" si="56">J109*(1+K112)</f>
        <v>4514058.22</v>
      </c>
      <c r="L109" s="19">
        <f t="shared" si="56"/>
        <v>4830042.295</v>
      </c>
      <c r="M109" s="19">
        <f t="shared" si="56"/>
        <v>5168145.256</v>
      </c>
      <c r="N109" s="19">
        <f t="shared" si="56"/>
        <v>5529915.424</v>
      </c>
      <c r="O109" s="19">
        <f t="shared" si="56"/>
        <v>5917009.504</v>
      </c>
      <c r="P109" s="19">
        <f t="shared" si="56"/>
        <v>6331200.169</v>
      </c>
    </row>
    <row r="110" ht="15.75" customHeight="1">
      <c r="A110" s="5" t="s">
        <v>71</v>
      </c>
      <c r="B110" s="22">
        <v>653053.0</v>
      </c>
      <c r="C110" s="22">
        <v>758727.0</v>
      </c>
      <c r="D110" s="22">
        <v>748366.0</v>
      </c>
      <c r="E110" s="22">
        <v>676192.0</v>
      </c>
      <c r="F110" s="22">
        <v>662118.0</v>
      </c>
      <c r="G110" s="22">
        <v>404397.0</v>
      </c>
      <c r="H110" s="22">
        <v>577875.0</v>
      </c>
      <c r="I110" s="22">
        <v>662891.0</v>
      </c>
      <c r="J110" s="22">
        <v>672105.0</v>
      </c>
      <c r="K110" s="19">
        <f t="shared" ref="K110:P110" si="57">J110*(1+K113)</f>
        <v>678826.05</v>
      </c>
      <c r="L110" s="19">
        <f t="shared" si="57"/>
        <v>685614.3105</v>
      </c>
      <c r="M110" s="19">
        <f t="shared" si="57"/>
        <v>692470.4536</v>
      </c>
      <c r="N110" s="19">
        <f t="shared" si="57"/>
        <v>699395.1581</v>
      </c>
      <c r="O110" s="19">
        <f t="shared" si="57"/>
        <v>706389.1097</v>
      </c>
      <c r="P110" s="19">
        <f t="shared" si="57"/>
        <v>713453.0008</v>
      </c>
    </row>
    <row r="111" ht="15.75" customHeight="1">
      <c r="A111" s="17" t="s">
        <v>49</v>
      </c>
      <c r="B111" s="27">
        <f t="shared" ref="B111:P111" si="58">SUM(B109:B110)</f>
        <v>3442261</v>
      </c>
      <c r="C111" s="27">
        <f t="shared" si="58"/>
        <v>3806309</v>
      </c>
      <c r="D111" s="27">
        <f t="shared" si="58"/>
        <v>4036947</v>
      </c>
      <c r="E111" s="27">
        <f t="shared" si="58"/>
        <v>4053581</v>
      </c>
      <c r="F111" s="27">
        <f t="shared" si="58"/>
        <v>3435637</v>
      </c>
      <c r="G111" s="27">
        <f t="shared" si="58"/>
        <v>3115854</v>
      </c>
      <c r="H111" s="27">
        <f t="shared" si="58"/>
        <v>3647398</v>
      </c>
      <c r="I111" s="27">
        <f t="shared" si="58"/>
        <v>4553005</v>
      </c>
      <c r="J111" s="27">
        <f t="shared" si="58"/>
        <v>4890851</v>
      </c>
      <c r="K111" s="27">
        <f t="shared" si="58"/>
        <v>5192884.27</v>
      </c>
      <c r="L111" s="27">
        <f t="shared" si="58"/>
        <v>5515656.606</v>
      </c>
      <c r="M111" s="27">
        <f t="shared" si="58"/>
        <v>5860615.71</v>
      </c>
      <c r="N111" s="27">
        <f t="shared" si="58"/>
        <v>6229310.582</v>
      </c>
      <c r="O111" s="27">
        <f t="shared" si="58"/>
        <v>6623398.613</v>
      </c>
      <c r="P111" s="27">
        <f t="shared" si="58"/>
        <v>7044653.17</v>
      </c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ht="15.75" customHeight="1">
      <c r="A112" s="5" t="s">
        <v>78</v>
      </c>
      <c r="C112" s="35">
        <f t="shared" ref="C112:J112" si="59">C109/B109-1</f>
        <v>0.09263346441</v>
      </c>
      <c r="D112" s="35">
        <f t="shared" si="59"/>
        <v>0.07907875818</v>
      </c>
      <c r="E112" s="35">
        <f t="shared" si="59"/>
        <v>0.0270049605</v>
      </c>
      <c r="F112" s="35">
        <f t="shared" si="59"/>
        <v>-0.178797882</v>
      </c>
      <c r="G112" s="35">
        <f t="shared" si="59"/>
        <v>-0.02237662695</v>
      </c>
      <c r="H112" s="35">
        <f t="shared" si="59"/>
        <v>0.1320566765</v>
      </c>
      <c r="I112" s="35">
        <f t="shared" si="59"/>
        <v>0.2673350224</v>
      </c>
      <c r="J112" s="35">
        <f t="shared" si="59"/>
        <v>0.08447875821</v>
      </c>
      <c r="K112" s="37">
        <v>0.07</v>
      </c>
      <c r="L112" s="38">
        <f t="shared" ref="L112:P112" si="60">K112</f>
        <v>0.07</v>
      </c>
      <c r="M112" s="38">
        <f t="shared" si="60"/>
        <v>0.07</v>
      </c>
      <c r="N112" s="38">
        <f t="shared" si="60"/>
        <v>0.07</v>
      </c>
      <c r="O112" s="38">
        <f t="shared" si="60"/>
        <v>0.07</v>
      </c>
      <c r="P112" s="38">
        <f t="shared" si="60"/>
        <v>0.07</v>
      </c>
    </row>
    <row r="113" ht="15.75" customHeight="1">
      <c r="A113" s="5" t="s">
        <v>79</v>
      </c>
      <c r="C113" s="35">
        <f t="shared" ref="C113:J113" si="61">C110/B110-1</f>
        <v>0.1618153504</v>
      </c>
      <c r="D113" s="35">
        <f t="shared" si="61"/>
        <v>-0.01365576815</v>
      </c>
      <c r="E113" s="35">
        <f t="shared" si="61"/>
        <v>-0.09644211522</v>
      </c>
      <c r="F113" s="35">
        <f t="shared" si="61"/>
        <v>-0.02081361507</v>
      </c>
      <c r="G113" s="35">
        <f t="shared" si="61"/>
        <v>-0.3892372659</v>
      </c>
      <c r="H113" s="35">
        <f t="shared" si="61"/>
        <v>0.4289794435</v>
      </c>
      <c r="I113" s="35">
        <f t="shared" si="61"/>
        <v>0.1471183214</v>
      </c>
      <c r="J113" s="35">
        <f t="shared" si="61"/>
        <v>0.01389972107</v>
      </c>
      <c r="K113" s="37">
        <v>0.01</v>
      </c>
      <c r="L113" s="38">
        <f t="shared" ref="L113:P113" si="62">K113</f>
        <v>0.01</v>
      </c>
      <c r="M113" s="38">
        <f t="shared" si="62"/>
        <v>0.01</v>
      </c>
      <c r="N113" s="38">
        <f t="shared" si="62"/>
        <v>0.01</v>
      </c>
      <c r="O113" s="38">
        <f t="shared" si="62"/>
        <v>0.01</v>
      </c>
      <c r="P113" s="38">
        <f t="shared" si="62"/>
        <v>0.01</v>
      </c>
    </row>
    <row r="114" ht="15.75" customHeight="1">
      <c r="A114" s="5"/>
    </row>
    <row r="115" ht="15.75" customHeight="1">
      <c r="A115" s="17" t="s">
        <v>80</v>
      </c>
    </row>
    <row r="116" ht="15.75" customHeight="1">
      <c r="A116" s="5" t="s">
        <v>70</v>
      </c>
      <c r="B116" s="35">
        <f t="shared" ref="B116:J116" si="63">B98/B109</f>
        <v>0.4680005937</v>
      </c>
      <c r="C116" s="35">
        <f t="shared" si="63"/>
        <v>0.4739957776</v>
      </c>
      <c r="D116" s="35">
        <f t="shared" si="63"/>
        <v>0.502800448</v>
      </c>
      <c r="E116" s="35">
        <f t="shared" si="63"/>
        <v>0.5192472647</v>
      </c>
      <c r="F116" s="35">
        <f t="shared" si="63"/>
        <v>0.5268130487</v>
      </c>
      <c r="G116" s="35">
        <f t="shared" si="63"/>
        <v>0.5022104352</v>
      </c>
      <c r="H116" s="35">
        <f t="shared" si="63"/>
        <v>0.4607481358</v>
      </c>
      <c r="I116" s="35">
        <f t="shared" si="63"/>
        <v>0.4387611777</v>
      </c>
      <c r="J116" s="35">
        <f t="shared" si="63"/>
        <v>0.4390536904</v>
      </c>
    </row>
    <row r="117" ht="15.75" customHeight="1">
      <c r="A117" s="5" t="s">
        <v>71</v>
      </c>
      <c r="B117" s="35">
        <f t="shared" ref="B117:J117" si="64">B99/B110</f>
        <v>0.1897196705</v>
      </c>
      <c r="C117" s="35">
        <f t="shared" si="64"/>
        <v>0.1635133586</v>
      </c>
      <c r="D117" s="35">
        <f t="shared" si="64"/>
        <v>0.1684656973</v>
      </c>
      <c r="E117" s="35">
        <f t="shared" si="64"/>
        <v>0.1608256235</v>
      </c>
      <c r="F117" s="35">
        <f t="shared" si="64"/>
        <v>0.1543093527</v>
      </c>
      <c r="G117" s="35">
        <f t="shared" si="64"/>
        <v>0.2377342067</v>
      </c>
      <c r="H117" s="35">
        <f t="shared" si="64"/>
        <v>0.4125044343</v>
      </c>
      <c r="I117" s="35">
        <f t="shared" si="64"/>
        <v>0.391215147</v>
      </c>
      <c r="J117" s="35">
        <f t="shared" si="64"/>
        <v>0.4211648478</v>
      </c>
    </row>
    <row r="118" ht="15.75" customHeight="1">
      <c r="A118" s="17" t="s">
        <v>81</v>
      </c>
      <c r="B118" s="36">
        <f t="shared" ref="B118:J118" si="65">B100/B111</f>
        <v>0.4152061683</v>
      </c>
      <c r="C118" s="36">
        <f t="shared" si="65"/>
        <v>0.4121060587</v>
      </c>
      <c r="D118" s="36">
        <f t="shared" si="65"/>
        <v>0.4408217398</v>
      </c>
      <c r="E118" s="36">
        <f t="shared" si="65"/>
        <v>0.4594576993</v>
      </c>
      <c r="F118" s="36">
        <f t="shared" si="65"/>
        <v>0.4550239155</v>
      </c>
      <c r="G118" s="36">
        <f t="shared" si="65"/>
        <v>0.4678848881</v>
      </c>
      <c r="H118" s="36">
        <f t="shared" si="65"/>
        <v>0.4531046516</v>
      </c>
      <c r="I118" s="36">
        <f t="shared" si="65"/>
        <v>0.4318387526</v>
      </c>
      <c r="J118" s="36">
        <f t="shared" si="65"/>
        <v>0.43659539</v>
      </c>
      <c r="K118" s="118">
        <v>0.46</v>
      </c>
      <c r="L118" s="119">
        <f t="shared" ref="L118:P118" si="66">K118</f>
        <v>0.46</v>
      </c>
      <c r="M118" s="119">
        <f t="shared" si="66"/>
        <v>0.46</v>
      </c>
      <c r="N118" s="119">
        <f t="shared" si="66"/>
        <v>0.46</v>
      </c>
      <c r="O118" s="119">
        <f t="shared" si="66"/>
        <v>0.46</v>
      </c>
      <c r="P118" s="119">
        <f t="shared" si="66"/>
        <v>0.46</v>
      </c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ht="15.75" customHeight="1">
      <c r="A119" s="5"/>
    </row>
    <row r="120" ht="15.75" customHeight="1">
      <c r="A120" s="5" t="s">
        <v>82</v>
      </c>
      <c r="B120" s="19">
        <f t="shared" ref="B120:J120" si="67">(B3/B100)*10^6</f>
        <v>399241.4193</v>
      </c>
      <c r="C120" s="19">
        <f t="shared" si="67"/>
        <v>434048.6407</v>
      </c>
      <c r="D120" s="19">
        <f t="shared" si="67"/>
        <v>448474.7473</v>
      </c>
      <c r="E120" s="19">
        <f t="shared" si="67"/>
        <v>462125.4059</v>
      </c>
      <c r="F120" s="19">
        <f t="shared" si="67"/>
        <v>483977.1329</v>
      </c>
      <c r="G120" s="19">
        <f t="shared" si="67"/>
        <v>482707.1991</v>
      </c>
      <c r="H120" s="19">
        <f t="shared" si="67"/>
        <v>534472.7538</v>
      </c>
      <c r="I120" s="19">
        <f t="shared" si="67"/>
        <v>602238.1653</v>
      </c>
      <c r="J120" s="19">
        <f t="shared" si="67"/>
        <v>664340.711</v>
      </c>
      <c r="K120" s="19">
        <f t="shared" ref="K120:P120" si="68">J120*(1+K121)</f>
        <v>730774.7821</v>
      </c>
      <c r="L120" s="19">
        <f t="shared" si="68"/>
        <v>803852.2603</v>
      </c>
      <c r="M120" s="19">
        <f t="shared" si="68"/>
        <v>884237.4863</v>
      </c>
      <c r="N120" s="19">
        <f t="shared" si="68"/>
        <v>972661.235</v>
      </c>
      <c r="O120" s="19">
        <f t="shared" si="68"/>
        <v>1069927.358</v>
      </c>
      <c r="P120" s="19">
        <f t="shared" si="68"/>
        <v>1176920.094</v>
      </c>
    </row>
    <row r="121" ht="15.75" customHeight="1">
      <c r="A121" s="5" t="s">
        <v>83</v>
      </c>
      <c r="C121" s="35">
        <f t="shared" ref="C121:J121" si="69">C120/B120-1</f>
        <v>0.08718339278</v>
      </c>
      <c r="D121" s="35">
        <f t="shared" si="69"/>
        <v>0.03323615199</v>
      </c>
      <c r="E121" s="35">
        <f t="shared" si="69"/>
        <v>0.03043796469</v>
      </c>
      <c r="F121" s="35">
        <f t="shared" si="69"/>
        <v>0.04728527542</v>
      </c>
      <c r="G121" s="35">
        <f t="shared" si="69"/>
        <v>-0.002623954209</v>
      </c>
      <c r="H121" s="35">
        <f t="shared" si="69"/>
        <v>0.1072400718</v>
      </c>
      <c r="I121" s="35">
        <f t="shared" si="69"/>
        <v>0.1267892722</v>
      </c>
      <c r="J121" s="35">
        <f t="shared" si="69"/>
        <v>0.1031195784</v>
      </c>
      <c r="K121" s="37">
        <v>0.1</v>
      </c>
      <c r="L121" s="38">
        <f t="shared" ref="L121:P121" si="70">K121</f>
        <v>0.1</v>
      </c>
      <c r="M121" s="38">
        <f t="shared" si="70"/>
        <v>0.1</v>
      </c>
      <c r="N121" s="38">
        <f t="shared" si="70"/>
        <v>0.1</v>
      </c>
      <c r="O121" s="38">
        <f t="shared" si="70"/>
        <v>0.1</v>
      </c>
      <c r="P121" s="38">
        <f t="shared" si="70"/>
        <v>0.1</v>
      </c>
    </row>
    <row r="122" ht="15.75" customHeight="1">
      <c r="A122" s="5"/>
    </row>
    <row r="123" ht="15.75" customHeight="1">
      <c r="A123" s="17" t="s">
        <v>84</v>
      </c>
    </row>
    <row r="124" ht="15.75" customHeight="1">
      <c r="A124" s="5"/>
    </row>
    <row r="125" ht="15.75" customHeight="1">
      <c r="A125" s="1" t="s">
        <v>5</v>
      </c>
      <c r="B125" s="35">
        <f t="shared" ref="B125:J125" si="71">B9/B$3</f>
        <v>0.6344154991</v>
      </c>
      <c r="C125" s="35">
        <f t="shared" si="71"/>
        <v>0.6260982595</v>
      </c>
      <c r="D125" s="35">
        <f t="shared" si="71"/>
        <v>0.5631316612</v>
      </c>
      <c r="E125" s="35">
        <f t="shared" si="71"/>
        <v>0.5231379657</v>
      </c>
      <c r="F125" s="35">
        <f t="shared" si="71"/>
        <v>0.4577689664</v>
      </c>
      <c r="G125" s="35">
        <f t="shared" si="71"/>
        <v>0.4731484113</v>
      </c>
      <c r="H125" s="35">
        <f t="shared" si="71"/>
        <v>0.4499002602</v>
      </c>
      <c r="I125" s="35">
        <f t="shared" si="71"/>
        <v>0.6194769187</v>
      </c>
      <c r="J125" s="35">
        <f t="shared" si="71"/>
        <v>0.5562970628</v>
      </c>
      <c r="K125" s="37">
        <v>0.6</v>
      </c>
      <c r="L125" s="38">
        <f t="shared" ref="L125:P125" si="72">K125</f>
        <v>0.6</v>
      </c>
      <c r="M125" s="38">
        <f t="shared" si="72"/>
        <v>0.6</v>
      </c>
      <c r="N125" s="38">
        <f t="shared" si="72"/>
        <v>0.6</v>
      </c>
      <c r="O125" s="38">
        <f t="shared" si="72"/>
        <v>0.6</v>
      </c>
      <c r="P125" s="38">
        <f t="shared" si="72"/>
        <v>0.6</v>
      </c>
    </row>
    <row r="126" ht="15.75" customHeight="1">
      <c r="A126" s="1" t="s">
        <v>6</v>
      </c>
      <c r="B126" s="35">
        <f t="shared" ref="B126:J126" si="73">B10/B$3</f>
        <v>0.05558038257</v>
      </c>
      <c r="C126" s="35">
        <f t="shared" si="73"/>
        <v>0.06599985312</v>
      </c>
      <c r="D126" s="35">
        <f t="shared" si="73"/>
        <v>0.1253248364</v>
      </c>
      <c r="E126" s="35">
        <f t="shared" si="73"/>
        <v>0.1663895618</v>
      </c>
      <c r="F126" s="35">
        <f t="shared" si="73"/>
        <v>0.2480465239</v>
      </c>
      <c r="G126" s="35">
        <f t="shared" si="73"/>
        <v>0.2451841642</v>
      </c>
      <c r="H126" s="35">
        <f t="shared" si="73"/>
        <v>0.2988515767</v>
      </c>
      <c r="I126" s="35">
        <f t="shared" si="73"/>
        <v>0.1073786905</v>
      </c>
      <c r="J126" s="35">
        <f t="shared" si="73"/>
        <v>0.1494746162</v>
      </c>
      <c r="K126" s="37">
        <v>0.08</v>
      </c>
      <c r="L126" s="38">
        <f t="shared" ref="L126:P126" si="74">K126</f>
        <v>0.08</v>
      </c>
      <c r="M126" s="38">
        <f t="shared" si="74"/>
        <v>0.08</v>
      </c>
      <c r="N126" s="38">
        <f t="shared" si="74"/>
        <v>0.08</v>
      </c>
      <c r="O126" s="38">
        <f t="shared" si="74"/>
        <v>0.08</v>
      </c>
      <c r="P126" s="38">
        <f t="shared" si="74"/>
        <v>0.08</v>
      </c>
    </row>
    <row r="127" ht="15.75" customHeight="1">
      <c r="A127" s="1" t="s">
        <v>8</v>
      </c>
      <c r="B127" s="35">
        <f t="shared" ref="B127:J127" si="75">B11/B$3</f>
        <v>0.0001104071922</v>
      </c>
      <c r="C127" s="35">
        <f t="shared" si="75"/>
        <v>-0.005570977455</v>
      </c>
      <c r="D127" s="35">
        <f t="shared" si="75"/>
        <v>0.0005112179768</v>
      </c>
      <c r="E127" s="35">
        <f t="shared" si="75"/>
        <v>0.002458506887</v>
      </c>
      <c r="F127" s="35">
        <f t="shared" si="75"/>
        <v>-0.003154903516</v>
      </c>
      <c r="G127" s="35">
        <f t="shared" si="75"/>
        <v>0.003887909964</v>
      </c>
      <c r="H127" s="35">
        <f t="shared" si="75"/>
        <v>-0.001054004424</v>
      </c>
      <c r="I127" s="35">
        <f t="shared" si="75"/>
        <v>-0.004902461703</v>
      </c>
      <c r="J127" s="35">
        <f t="shared" si="75"/>
        <v>-0.002668862286</v>
      </c>
      <c r="K127" s="38">
        <f t="shared" ref="K127:P127" si="76">J127</f>
        <v>-0.002668862286</v>
      </c>
      <c r="L127" s="38">
        <f t="shared" si="76"/>
        <v>-0.002668862286</v>
      </c>
      <c r="M127" s="38">
        <f t="shared" si="76"/>
        <v>-0.002668862286</v>
      </c>
      <c r="N127" s="38">
        <f t="shared" si="76"/>
        <v>-0.002668862286</v>
      </c>
      <c r="O127" s="38">
        <f t="shared" si="76"/>
        <v>-0.002668862286</v>
      </c>
      <c r="P127" s="38">
        <f t="shared" si="76"/>
        <v>-0.002668862286</v>
      </c>
    </row>
    <row r="128" ht="15.75" customHeight="1">
      <c r="A128" s="1" t="s">
        <v>10</v>
      </c>
      <c r="B128" s="35">
        <f t="shared" ref="B128:J128" si="77">B12/B$3</f>
        <v>0.03610490436</v>
      </c>
      <c r="C128" s="35">
        <f t="shared" si="77"/>
        <v>0.03466696042</v>
      </c>
      <c r="D128" s="35">
        <f t="shared" si="77"/>
        <v>0.03587797929</v>
      </c>
      <c r="E128" s="35">
        <f t="shared" si="77"/>
        <v>0.03816727374</v>
      </c>
      <c r="F128" s="35">
        <f t="shared" si="77"/>
        <v>0.04515199577</v>
      </c>
      <c r="G128" s="35">
        <f t="shared" si="77"/>
        <v>0.04876371284</v>
      </c>
      <c r="H128" s="35">
        <f t="shared" si="77"/>
        <v>0.04586674033</v>
      </c>
      <c r="I128" s="35">
        <f t="shared" si="77"/>
        <v>0.04483155547</v>
      </c>
      <c r="J128" s="35">
        <f t="shared" si="77"/>
        <v>0.04442182405</v>
      </c>
      <c r="K128" s="37">
        <v>0.04</v>
      </c>
      <c r="L128" s="38">
        <f t="shared" ref="L128:P128" si="78">K128</f>
        <v>0.04</v>
      </c>
      <c r="M128" s="38">
        <f t="shared" si="78"/>
        <v>0.04</v>
      </c>
      <c r="N128" s="38">
        <f t="shared" si="78"/>
        <v>0.04</v>
      </c>
      <c r="O128" s="38">
        <f t="shared" si="78"/>
        <v>0.04</v>
      </c>
      <c r="P128" s="38">
        <f t="shared" si="78"/>
        <v>0.04</v>
      </c>
    </row>
    <row r="129" ht="15.75" customHeight="1">
      <c r="A129" s="1" t="s">
        <v>12</v>
      </c>
      <c r="B129" s="35">
        <f t="shared" ref="B129:J129" si="79">B13/B$3</f>
        <v>0.1422097211</v>
      </c>
      <c r="C129" s="35">
        <f t="shared" si="79"/>
        <v>0.1281927003</v>
      </c>
      <c r="D129" s="35">
        <f t="shared" si="79"/>
        <v>0.1252433924</v>
      </c>
      <c r="E129" s="35">
        <f t="shared" si="79"/>
        <v>0.1434229712</v>
      </c>
      <c r="F129" s="35">
        <f t="shared" si="79"/>
        <v>0.1571451229</v>
      </c>
      <c r="G129" s="35">
        <f t="shared" si="79"/>
        <v>0.1540030126</v>
      </c>
      <c r="H129" s="35">
        <f t="shared" si="79"/>
        <v>0.1434702671</v>
      </c>
      <c r="I129" s="35">
        <f t="shared" si="79"/>
        <v>0.123951629</v>
      </c>
      <c r="J129" s="35">
        <f t="shared" si="79"/>
        <v>0.1237157951</v>
      </c>
      <c r="K129" s="38">
        <f t="shared" ref="K129:P129" si="80">J129</f>
        <v>0.1237157951</v>
      </c>
      <c r="L129" s="38">
        <f t="shared" si="80"/>
        <v>0.1237157951</v>
      </c>
      <c r="M129" s="38">
        <f t="shared" si="80"/>
        <v>0.1237157951</v>
      </c>
      <c r="N129" s="38">
        <f t="shared" si="80"/>
        <v>0.1237157951</v>
      </c>
      <c r="O129" s="38">
        <f t="shared" si="80"/>
        <v>0.1237157951</v>
      </c>
      <c r="P129" s="38">
        <f t="shared" si="80"/>
        <v>0.1237157951</v>
      </c>
    </row>
    <row r="130" ht="15.75" customHeight="1">
      <c r="A130" s="1" t="s">
        <v>85</v>
      </c>
      <c r="B130" s="35">
        <f t="shared" ref="B130:J130" si="81">B14/B$3</f>
        <v>-0.001055002059</v>
      </c>
      <c r="C130" s="35">
        <f t="shared" si="81"/>
        <v>-0.001521627378</v>
      </c>
      <c r="D130" s="35">
        <f t="shared" si="81"/>
        <v>-0.00124170837</v>
      </c>
      <c r="E130" s="35">
        <f t="shared" si="81"/>
        <v>-0.001418637481</v>
      </c>
      <c r="F130" s="35">
        <f t="shared" si="81"/>
        <v>-0.001608511763</v>
      </c>
      <c r="G130" s="35">
        <f t="shared" si="81"/>
        <v>-0.001034502359</v>
      </c>
      <c r="H130" s="35">
        <f t="shared" si="81"/>
        <v>-0.001635914493</v>
      </c>
      <c r="I130" s="35">
        <f t="shared" si="81"/>
        <v>-0.001321680028</v>
      </c>
      <c r="J130" s="35">
        <f t="shared" si="81"/>
        <v>-0.001837750655</v>
      </c>
      <c r="K130" s="38">
        <f t="shared" ref="K130:P130" si="82">J130</f>
        <v>-0.001837750655</v>
      </c>
      <c r="L130" s="38">
        <f t="shared" si="82"/>
        <v>-0.001837750655</v>
      </c>
      <c r="M130" s="38">
        <f t="shared" si="82"/>
        <v>-0.001837750655</v>
      </c>
      <c r="N130" s="38">
        <f t="shared" si="82"/>
        <v>-0.001837750655</v>
      </c>
      <c r="O130" s="38">
        <f t="shared" si="82"/>
        <v>-0.001837750655</v>
      </c>
      <c r="P130" s="38">
        <f t="shared" si="82"/>
        <v>-0.001837750655</v>
      </c>
    </row>
    <row r="131" ht="15.75" customHeight="1">
      <c r="A131" s="5"/>
    </row>
    <row r="132" ht="15.75" hidden="1" customHeight="1">
      <c r="A132" s="5"/>
    </row>
    <row r="133" ht="15.75" hidden="1" customHeight="1">
      <c r="A133" s="18" t="s">
        <v>86</v>
      </c>
    </row>
    <row r="134" ht="15.75" hidden="1" customHeight="1">
      <c r="A134" s="5"/>
    </row>
    <row r="135" ht="15.75" hidden="1" customHeight="1">
      <c r="A135" s="1" t="s">
        <v>5</v>
      </c>
    </row>
    <row r="136" ht="15.75" hidden="1" customHeight="1">
      <c r="A136" s="1" t="s">
        <v>6</v>
      </c>
    </row>
    <row r="137" ht="15.75" hidden="1" customHeight="1">
      <c r="A137" s="1" t="s">
        <v>8</v>
      </c>
    </row>
    <row r="138" ht="15.75" hidden="1" customHeight="1">
      <c r="A138" s="1" t="s">
        <v>10</v>
      </c>
    </row>
    <row r="139" ht="15.75" hidden="1" customHeight="1">
      <c r="A139" s="1" t="s">
        <v>12</v>
      </c>
    </row>
    <row r="140" ht="15.75" hidden="1" customHeight="1">
      <c r="A140" s="1" t="s">
        <v>85</v>
      </c>
    </row>
    <row r="141" ht="15.75" hidden="1" customHeight="1">
      <c r="A141" s="5"/>
    </row>
    <row r="142" ht="15.75" hidden="1" customHeight="1">
      <c r="A142" s="1" t="s">
        <v>83</v>
      </c>
    </row>
    <row r="143" ht="15.75" hidden="1" customHeight="1">
      <c r="A143" s="1" t="s">
        <v>5</v>
      </c>
    </row>
    <row r="144" ht="15.75" hidden="1" customHeight="1">
      <c r="A144" s="1" t="s">
        <v>6</v>
      </c>
    </row>
    <row r="145" ht="15.75" hidden="1" customHeight="1">
      <c r="A145" s="1" t="s">
        <v>8</v>
      </c>
    </row>
    <row r="146" ht="15.75" hidden="1" customHeight="1">
      <c r="A146" s="1" t="s">
        <v>10</v>
      </c>
    </row>
    <row r="147" ht="15.75" hidden="1" customHeight="1">
      <c r="A147" s="1" t="s">
        <v>12</v>
      </c>
    </row>
    <row r="148" ht="15.75" hidden="1" customHeight="1">
      <c r="A148" s="1" t="s">
        <v>85</v>
      </c>
    </row>
    <row r="149" ht="15.75" hidden="1" customHeight="1">
      <c r="A149" s="5"/>
    </row>
    <row r="150" ht="15.75" hidden="1" customHeight="1">
      <c r="A150" s="5"/>
    </row>
    <row r="151" ht="15.75" hidden="1" customHeight="1">
      <c r="A151" s="5"/>
    </row>
    <row r="152" ht="15.75" customHeight="1">
      <c r="A152" s="18" t="s">
        <v>87</v>
      </c>
    </row>
    <row r="153" ht="15.75" customHeight="1">
      <c r="A153" s="5"/>
    </row>
    <row r="154" ht="15.75" customHeight="1">
      <c r="A154" s="5" t="s">
        <v>60</v>
      </c>
    </row>
    <row r="155" ht="15.75" customHeight="1">
      <c r="A155" s="16" t="s">
        <v>61</v>
      </c>
    </row>
    <row r="156" ht="15.75" customHeight="1">
      <c r="A156" s="16" t="s">
        <v>62</v>
      </c>
    </row>
    <row r="157" ht="15.75" customHeight="1">
      <c r="A157" s="16" t="s">
        <v>64</v>
      </c>
    </row>
    <row r="158" ht="15.75" customHeight="1">
      <c r="A158" s="16" t="s">
        <v>65</v>
      </c>
    </row>
    <row r="159" ht="15.75" customHeight="1">
      <c r="A159" s="16" t="s">
        <v>66</v>
      </c>
    </row>
    <row r="160" ht="15.75" customHeight="1">
      <c r="A160" s="1" t="s">
        <v>57</v>
      </c>
    </row>
    <row r="161" ht="15.75" customHeight="1">
      <c r="A161" s="5"/>
    </row>
    <row r="162" ht="15.75" customHeight="1">
      <c r="A162" s="5" t="s">
        <v>42</v>
      </c>
    </row>
    <row r="163" ht="15.75" customHeight="1">
      <c r="A163" s="1" t="s">
        <v>43</v>
      </c>
    </row>
    <row r="164" ht="15.75" customHeight="1">
      <c r="A164" s="1" t="s">
        <v>44</v>
      </c>
    </row>
    <row r="165" ht="15.75" customHeight="1">
      <c r="A165" s="1" t="s">
        <v>45</v>
      </c>
    </row>
    <row r="166" ht="15.75" customHeight="1">
      <c r="A166" s="1" t="s">
        <v>46</v>
      </c>
    </row>
    <row r="167" ht="15.75" customHeight="1">
      <c r="A167" s="1" t="s">
        <v>47</v>
      </c>
    </row>
    <row r="168" ht="15.75" customHeight="1">
      <c r="A168" s="1" t="s">
        <v>48</v>
      </c>
    </row>
    <row r="169" ht="15.75" customHeight="1">
      <c r="A169" s="5"/>
    </row>
    <row r="170" ht="15.75" customHeight="1">
      <c r="A170" s="1" t="s">
        <v>88</v>
      </c>
    </row>
    <row r="171" ht="15.75" customHeight="1">
      <c r="A171" s="5"/>
    </row>
    <row r="172" ht="15.75" customHeight="1">
      <c r="A172" s="18" t="s">
        <v>89</v>
      </c>
    </row>
    <row r="173" ht="15.75" customHeight="1">
      <c r="A173" s="5" t="s">
        <v>60</v>
      </c>
    </row>
    <row r="174" ht="15.75" customHeight="1">
      <c r="A174" s="16" t="s">
        <v>61</v>
      </c>
    </row>
    <row r="175" ht="15.75" customHeight="1">
      <c r="A175" s="16" t="s">
        <v>62</v>
      </c>
    </row>
    <row r="176" ht="15.75" customHeight="1">
      <c r="A176" s="16" t="s">
        <v>64</v>
      </c>
    </row>
    <row r="177" ht="15.75" customHeight="1">
      <c r="A177" s="16" t="s">
        <v>65</v>
      </c>
    </row>
    <row r="178" ht="15.75" customHeight="1">
      <c r="A178" s="16" t="s">
        <v>66</v>
      </c>
    </row>
    <row r="179" ht="15.75" customHeight="1">
      <c r="A179" s="1" t="s">
        <v>57</v>
      </c>
    </row>
    <row r="180" ht="15.75" customHeight="1">
      <c r="A180" s="5"/>
    </row>
    <row r="181" ht="15.75" customHeight="1">
      <c r="A181" s="5" t="s">
        <v>42</v>
      </c>
    </row>
    <row r="182" ht="15.75" customHeight="1">
      <c r="A182" s="1" t="s">
        <v>43</v>
      </c>
    </row>
    <row r="183" ht="15.75" customHeight="1">
      <c r="A183" s="1" t="s">
        <v>44</v>
      </c>
    </row>
    <row r="184" ht="15.75" customHeight="1">
      <c r="A184" s="1" t="s">
        <v>45</v>
      </c>
    </row>
    <row r="185" ht="15.75" customHeight="1">
      <c r="A185" s="1" t="s">
        <v>46</v>
      </c>
    </row>
    <row r="186" ht="15.75" customHeight="1">
      <c r="A186" s="1" t="s">
        <v>47</v>
      </c>
    </row>
    <row r="187" ht="15.75" customHeight="1">
      <c r="A187" s="1" t="s">
        <v>48</v>
      </c>
    </row>
    <row r="188" ht="15.75" customHeight="1">
      <c r="A188" s="5"/>
    </row>
    <row r="189" ht="15.75" customHeight="1">
      <c r="A189" s="1" t="s">
        <v>90</v>
      </c>
    </row>
    <row r="190" ht="15.75" customHeight="1">
      <c r="A190" s="1" t="s">
        <v>91</v>
      </c>
    </row>
    <row r="191" ht="15.75" customHeight="1">
      <c r="A191" s="5"/>
    </row>
    <row r="192" ht="15.75" customHeight="1">
      <c r="A192" s="5"/>
    </row>
    <row r="193" ht="15.75" customHeight="1">
      <c r="A193" s="5"/>
    </row>
    <row r="194" ht="15.75" customHeight="1">
      <c r="A194" s="18" t="s">
        <v>92</v>
      </c>
    </row>
    <row r="195" ht="15.75" customHeight="1">
      <c r="A195" s="5" t="s">
        <v>93</v>
      </c>
    </row>
    <row r="196" ht="15.75" customHeight="1">
      <c r="A196" s="5" t="s">
        <v>94</v>
      </c>
    </row>
    <row r="197" ht="15.75" customHeight="1">
      <c r="A197" s="5" t="s">
        <v>49</v>
      </c>
    </row>
    <row r="198" ht="15.75" customHeight="1">
      <c r="A198" s="5"/>
    </row>
    <row r="199" ht="15.75" customHeight="1">
      <c r="A199" s="5" t="s">
        <v>95</v>
      </c>
    </row>
    <row r="200" ht="15.75" customHeight="1">
      <c r="A200" s="5"/>
    </row>
    <row r="201" ht="15.75" customHeight="1">
      <c r="A201" s="5" t="s">
        <v>96</v>
      </c>
    </row>
    <row r="202" ht="15.75" customHeight="1">
      <c r="A202" s="5" t="s">
        <v>97</v>
      </c>
    </row>
    <row r="203" ht="15.75" customHeight="1">
      <c r="A203" s="5" t="s">
        <v>98</v>
      </c>
    </row>
    <row r="204" ht="15.75" customHeight="1">
      <c r="A204" s="5"/>
    </row>
    <row r="205" ht="15.75" customHeight="1">
      <c r="A205" s="5" t="s">
        <v>99</v>
      </c>
    </row>
    <row r="206" ht="15.75" customHeight="1">
      <c r="A206" s="5" t="s">
        <v>100</v>
      </c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>
      <c r="A403" s="1"/>
    </row>
    <row r="404" ht="15.75" customHeight="1">
      <c r="A404" s="1"/>
    </row>
    <row r="405" ht="15.75" customHeight="1">
      <c r="A405" s="1"/>
    </row>
    <row r="406" ht="15.75" customHeight="1">
      <c r="A406" s="1"/>
    </row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29" t="s">
        <v>107</v>
      </c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</row>
    <row r="5" ht="15.75" customHeight="1">
      <c r="A5" s="7"/>
    </row>
    <row r="6" ht="15.75" customHeight="1">
      <c r="A6" s="8" t="s">
        <v>3</v>
      </c>
      <c r="B6" s="9">
        <f t="shared" ref="B6:J6" si="2">SUM(B3:B4)</f>
        <v>586120</v>
      </c>
      <c r="C6" s="9">
        <f t="shared" si="2"/>
        <v>703746</v>
      </c>
      <c r="D6" s="9">
        <f t="shared" si="2"/>
        <v>818552</v>
      </c>
      <c r="E6" s="9">
        <f t="shared" si="2"/>
        <v>886301</v>
      </c>
      <c r="F6" s="9">
        <f t="shared" si="2"/>
        <v>789944</v>
      </c>
      <c r="G6" s="9">
        <f t="shared" si="2"/>
        <v>733083</v>
      </c>
      <c r="H6" s="9">
        <f t="shared" si="2"/>
        <v>900745</v>
      </c>
      <c r="I6" s="9">
        <f t="shared" si="2"/>
        <v>1206746</v>
      </c>
      <c r="J6" s="9">
        <f t="shared" si="2"/>
        <v>1459517</v>
      </c>
      <c r="K6" s="10"/>
      <c r="L6" s="10"/>
      <c r="M6" s="10"/>
      <c r="N6" s="10"/>
      <c r="O6" s="10"/>
      <c r="P6" s="10"/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</row>
    <row r="15" ht="15.75" customHeight="1">
      <c r="A15" s="7"/>
    </row>
    <row r="16" ht="15.75" customHeight="1">
      <c r="A16" s="8" t="s">
        <v>14</v>
      </c>
      <c r="B16" s="13">
        <f t="shared" ref="B16:J16" si="3">SUM(B9:B14)</f>
        <v>494932</v>
      </c>
      <c r="C16" s="13">
        <f t="shared" si="3"/>
        <v>577269</v>
      </c>
      <c r="D16" s="13">
        <f t="shared" si="3"/>
        <v>677460</v>
      </c>
      <c r="E16" s="13">
        <f t="shared" si="3"/>
        <v>750653</v>
      </c>
      <c r="F16" s="13">
        <f t="shared" si="3"/>
        <v>683474</v>
      </c>
      <c r="G16" s="13">
        <f t="shared" si="3"/>
        <v>650204</v>
      </c>
      <c r="H16" s="13">
        <f t="shared" si="3"/>
        <v>826236</v>
      </c>
      <c r="I16" s="13">
        <f t="shared" si="3"/>
        <v>1053155</v>
      </c>
      <c r="J16" s="13">
        <f t="shared" si="3"/>
        <v>1233319</v>
      </c>
      <c r="K16" s="14"/>
      <c r="L16" s="14"/>
      <c r="M16" s="14"/>
      <c r="N16" s="14"/>
      <c r="O16" s="14"/>
      <c r="P16" s="14"/>
    </row>
    <row r="17" ht="15.75" customHeight="1">
      <c r="A17" s="7"/>
    </row>
    <row r="18" ht="15.75" customHeight="1">
      <c r="A18" s="4" t="s">
        <v>15</v>
      </c>
      <c r="B18" s="6">
        <f t="shared" ref="B18:J18" si="4">B6-B16</f>
        <v>91188</v>
      </c>
      <c r="C18" s="6">
        <f t="shared" si="4"/>
        <v>126477</v>
      </c>
      <c r="D18" s="6">
        <f t="shared" si="4"/>
        <v>141092</v>
      </c>
      <c r="E18" s="6">
        <f t="shared" si="4"/>
        <v>135648</v>
      </c>
      <c r="F18" s="6">
        <f t="shared" si="4"/>
        <v>106470</v>
      </c>
      <c r="G18" s="6">
        <f t="shared" si="4"/>
        <v>82879</v>
      </c>
      <c r="H18" s="6">
        <f t="shared" si="4"/>
        <v>74509</v>
      </c>
      <c r="I18" s="6">
        <f t="shared" si="4"/>
        <v>153591</v>
      </c>
      <c r="J18" s="6">
        <f t="shared" si="4"/>
        <v>226198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</row>
    <row r="21" ht="15.75" customHeight="1">
      <c r="A21" s="7"/>
    </row>
    <row r="22" ht="15.75" customHeight="1">
      <c r="A22" s="7" t="s">
        <v>18</v>
      </c>
      <c r="B22" s="6">
        <f t="shared" ref="B22:J22" si="5">B18-B20</f>
        <v>62518</v>
      </c>
      <c r="C22" s="6">
        <f t="shared" si="5"/>
        <v>100438</v>
      </c>
      <c r="D22" s="6">
        <f t="shared" si="5"/>
        <v>113494</v>
      </c>
      <c r="E22" s="6">
        <f t="shared" si="5"/>
        <v>105440</v>
      </c>
      <c r="F22" s="6">
        <f t="shared" si="5"/>
        <v>71186</v>
      </c>
      <c r="G22" s="6">
        <f t="shared" si="5"/>
        <v>52538</v>
      </c>
      <c r="H22" s="6">
        <f t="shared" si="5"/>
        <v>46619</v>
      </c>
      <c r="I22" s="6">
        <f t="shared" si="5"/>
        <v>105131</v>
      </c>
      <c r="J22" s="6">
        <f t="shared" si="5"/>
        <v>173640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</row>
    <row r="25" ht="15.75" customHeight="1">
      <c r="A25" s="7"/>
    </row>
    <row r="26" ht="15.75" customHeight="1">
      <c r="A26" s="7" t="s">
        <v>23</v>
      </c>
      <c r="B26" s="6">
        <f t="shared" ref="B26:J26" si="6">B22-B24</f>
        <v>61581</v>
      </c>
      <c r="C26" s="6">
        <f t="shared" si="6"/>
        <v>99544</v>
      </c>
      <c r="D26" s="6">
        <f t="shared" si="6"/>
        <v>110036</v>
      </c>
      <c r="E26" s="6">
        <f t="shared" si="6"/>
        <v>104681</v>
      </c>
      <c r="F26" s="6">
        <f t="shared" si="6"/>
        <v>69844</v>
      </c>
      <c r="G26" s="6">
        <f t="shared" si="6"/>
        <v>51520</v>
      </c>
      <c r="H26" s="6">
        <f t="shared" si="6"/>
        <v>45353</v>
      </c>
      <c r="I26" s="6">
        <f t="shared" si="6"/>
        <v>102608</v>
      </c>
      <c r="J26" s="6">
        <f t="shared" si="6"/>
        <v>171704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</row>
    <row r="28" ht="15.75" customHeight="1">
      <c r="A28" s="7" t="s">
        <v>25</v>
      </c>
      <c r="B28" s="6">
        <f t="shared" ref="B28:J28" si="7">SUM(B26:B27)</f>
        <v>66296</v>
      </c>
      <c r="C28" s="6">
        <f t="shared" si="7"/>
        <v>101272</v>
      </c>
      <c r="D28" s="6">
        <f t="shared" si="7"/>
        <v>111669</v>
      </c>
      <c r="E28" s="6">
        <f t="shared" si="7"/>
        <v>102651</v>
      </c>
      <c r="F28" s="6">
        <f t="shared" si="7"/>
        <v>65427</v>
      </c>
      <c r="G28" s="6">
        <f t="shared" si="7"/>
        <v>56656</v>
      </c>
      <c r="H28" s="6">
        <f t="shared" si="7"/>
        <v>48482</v>
      </c>
      <c r="I28" s="6">
        <f t="shared" si="7"/>
        <v>103194</v>
      </c>
      <c r="J28" s="6">
        <f t="shared" si="7"/>
        <v>174373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</row>
    <row r="31" ht="15.75" customHeight="1">
      <c r="A31" s="7"/>
    </row>
    <row r="32" ht="15.75" customHeight="1">
      <c r="A32" s="7" t="s">
        <v>27</v>
      </c>
      <c r="B32" s="6">
        <f t="shared" ref="B32:J32" si="8">B28-B30</f>
        <v>46309</v>
      </c>
      <c r="C32" s="6">
        <f t="shared" si="8"/>
        <v>75110</v>
      </c>
      <c r="D32" s="6">
        <f t="shared" si="8"/>
        <v>78807</v>
      </c>
      <c r="E32" s="6">
        <f t="shared" si="8"/>
        <v>72919</v>
      </c>
      <c r="F32" s="6">
        <f t="shared" si="8"/>
        <v>51175</v>
      </c>
      <c r="G32" s="6">
        <f t="shared" si="8"/>
        <v>47337</v>
      </c>
      <c r="H32" s="6">
        <f t="shared" si="8"/>
        <v>40305</v>
      </c>
      <c r="I32" s="6">
        <f t="shared" si="8"/>
        <v>81449</v>
      </c>
      <c r="J32" s="6">
        <f t="shared" si="8"/>
        <v>135010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9">B32+B33</f>
        <v>46988</v>
      </c>
      <c r="C36" s="9">
        <f t="shared" si="9"/>
        <v>77326</v>
      </c>
      <c r="D36" s="9">
        <f t="shared" si="9"/>
        <v>82118</v>
      </c>
      <c r="E36" s="9">
        <f>E32+F33</f>
        <v>74103</v>
      </c>
      <c r="F36" s="9">
        <f t="shared" ref="F36:J36" si="10">F32+F33</f>
        <v>52359</v>
      </c>
      <c r="G36" s="9">
        <f t="shared" si="10"/>
        <v>49027</v>
      </c>
      <c r="H36" s="9">
        <f t="shared" si="10"/>
        <v>41924</v>
      </c>
      <c r="I36" s="9">
        <f t="shared" si="10"/>
        <v>83223</v>
      </c>
      <c r="J36" s="9">
        <f t="shared" si="10"/>
        <v>137551</v>
      </c>
      <c r="K36" s="10"/>
      <c r="L36" s="10"/>
      <c r="M36" s="10"/>
      <c r="N36" s="10"/>
      <c r="O36" s="10"/>
      <c r="P36" s="10"/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</row>
    <row r="42" ht="15.75" customHeight="1">
      <c r="A42" s="1" t="s">
        <v>32</v>
      </c>
    </row>
    <row r="43" ht="15.75" customHeight="1">
      <c r="A43" s="1" t="s">
        <v>33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</row>
    <row r="47" ht="15.75" customHeight="1">
      <c r="A47" s="7" t="s">
        <v>36</v>
      </c>
    </row>
    <row r="48" ht="15.75" customHeight="1">
      <c r="A48" s="7"/>
    </row>
    <row r="49" ht="15.75" customHeight="1">
      <c r="A49" s="7" t="s">
        <v>37</v>
      </c>
    </row>
    <row r="50" ht="15.75" customHeight="1">
      <c r="A50" s="1" t="s">
        <v>38</v>
      </c>
    </row>
    <row r="51" ht="15.75" customHeight="1">
      <c r="A51" s="1" t="s">
        <v>39</v>
      </c>
    </row>
    <row r="52" ht="15.75" customHeight="1">
      <c r="A52" s="1" t="s">
        <v>40</v>
      </c>
    </row>
    <row r="53" ht="15.75" customHeight="1">
      <c r="A53" s="1" t="s">
        <v>41</v>
      </c>
    </row>
    <row r="54" ht="15.75" customHeight="1">
      <c r="A54" s="7"/>
    </row>
    <row r="55" ht="15.75" customHeight="1">
      <c r="A55" s="1" t="s">
        <v>42</v>
      </c>
    </row>
    <row r="56" ht="15.75" customHeight="1">
      <c r="A56" s="1" t="s">
        <v>43</v>
      </c>
    </row>
    <row r="57" ht="15.75" customHeight="1">
      <c r="A57" s="1" t="s">
        <v>44</v>
      </c>
    </row>
    <row r="58" ht="15.75" customHeight="1">
      <c r="A58" s="1" t="s">
        <v>45</v>
      </c>
    </row>
    <row r="59" ht="15.75" customHeight="1">
      <c r="A59" s="1" t="s">
        <v>46</v>
      </c>
    </row>
    <row r="60" ht="15.75" customHeight="1">
      <c r="A60" s="1" t="s">
        <v>47</v>
      </c>
    </row>
    <row r="61" ht="15.75" customHeight="1">
      <c r="A61" s="1" t="s">
        <v>48</v>
      </c>
    </row>
    <row r="62" ht="15.75" customHeight="1">
      <c r="A62" s="8" t="s">
        <v>49</v>
      </c>
    </row>
    <row r="63" ht="15.75" customHeight="1">
      <c r="A63" s="7"/>
    </row>
    <row r="64" ht="15.75" customHeight="1">
      <c r="A64" s="7"/>
    </row>
    <row r="65" ht="15.75" customHeight="1">
      <c r="A65" s="4" t="s">
        <v>50</v>
      </c>
    </row>
    <row r="66" ht="15.75" customHeight="1">
      <c r="A66" s="7"/>
    </row>
    <row r="67" ht="15.75" customHeight="1">
      <c r="A67" s="1" t="s">
        <v>51</v>
      </c>
    </row>
    <row r="68" ht="15.75" customHeight="1">
      <c r="A68" s="16" t="s">
        <v>52</v>
      </c>
    </row>
    <row r="69" ht="15.75" customHeight="1">
      <c r="A69" s="16" t="s">
        <v>53</v>
      </c>
    </row>
    <row r="70" ht="15.75" customHeight="1">
      <c r="A70" s="16" t="s">
        <v>54</v>
      </c>
    </row>
    <row r="71" ht="15.75" customHeight="1">
      <c r="A71" s="16" t="s">
        <v>55</v>
      </c>
    </row>
    <row r="72" ht="15.75" customHeight="1">
      <c r="A72" s="1"/>
    </row>
    <row r="73" ht="15.75" customHeight="1">
      <c r="A73" s="1" t="s">
        <v>56</v>
      </c>
    </row>
    <row r="74" ht="15.75" customHeight="1">
      <c r="A74" s="1" t="s">
        <v>57</v>
      </c>
    </row>
    <row r="75" ht="15.75" customHeight="1">
      <c r="A75" s="1" t="s">
        <v>58</v>
      </c>
    </row>
    <row r="76" ht="15.75" customHeight="1">
      <c r="A76" s="1" t="s">
        <v>59</v>
      </c>
    </row>
    <row r="77" ht="15.75" customHeight="1">
      <c r="A77" s="1"/>
    </row>
    <row r="78" ht="15.75" customHeight="1">
      <c r="A78" s="1" t="s">
        <v>60</v>
      </c>
    </row>
    <row r="79" ht="15.75" customHeight="1">
      <c r="A79" s="1"/>
    </row>
    <row r="80" ht="15.75" customHeight="1">
      <c r="A80" s="16" t="s">
        <v>61</v>
      </c>
    </row>
    <row r="81" ht="15.75" customHeight="1">
      <c r="A81" s="16" t="s">
        <v>62</v>
      </c>
    </row>
    <row r="82" ht="15.75" customHeight="1">
      <c r="A82" s="16" t="s">
        <v>63</v>
      </c>
    </row>
    <row r="83" ht="15.75" customHeight="1">
      <c r="A83" s="16" t="s">
        <v>64</v>
      </c>
    </row>
    <row r="84" ht="15.75" customHeight="1">
      <c r="A84" s="16" t="s">
        <v>65</v>
      </c>
    </row>
    <row r="85" ht="15.75" customHeight="1">
      <c r="A85" s="16" t="s">
        <v>66</v>
      </c>
    </row>
    <row r="86" ht="15.75" customHeight="1">
      <c r="A86" s="16" t="s">
        <v>67</v>
      </c>
    </row>
    <row r="87" ht="15.75" customHeight="1">
      <c r="A87" s="1" t="s">
        <v>57</v>
      </c>
    </row>
    <row r="88" ht="15.75" customHeight="1">
      <c r="A88" s="8" t="s">
        <v>49</v>
      </c>
    </row>
    <row r="89" ht="15.75" customHeight="1">
      <c r="A89" s="1"/>
      <c r="L89" s="19"/>
    </row>
    <row r="90" ht="15.75" customHeight="1">
      <c r="A90" s="5" t="s">
        <v>68</v>
      </c>
      <c r="B90" s="22">
        <v>1500000.0</v>
      </c>
      <c r="C90" s="22">
        <v>1550000.0</v>
      </c>
      <c r="D90" s="22">
        <v>1560000.0</v>
      </c>
      <c r="E90" s="22">
        <v>1580000.0</v>
      </c>
      <c r="F90" s="22">
        <v>2000000.0</v>
      </c>
      <c r="G90" s="22">
        <v>2250000.0</v>
      </c>
      <c r="H90" s="22">
        <v>2250000.0</v>
      </c>
      <c r="I90" s="22">
        <v>2250000.0</v>
      </c>
      <c r="J90" s="22">
        <v>2250000.0</v>
      </c>
      <c r="K90" s="19">
        <f t="shared" ref="K90:P90" si="11">J90+K91</f>
        <v>2550000</v>
      </c>
      <c r="L90" s="19">
        <f t="shared" si="11"/>
        <v>2850000</v>
      </c>
      <c r="M90" s="19">
        <f t="shared" si="11"/>
        <v>3150000</v>
      </c>
      <c r="N90" s="19">
        <f t="shared" si="11"/>
        <v>3450000</v>
      </c>
      <c r="O90" s="19">
        <f t="shared" si="11"/>
        <v>3750000</v>
      </c>
      <c r="P90" s="19">
        <f t="shared" si="11"/>
        <v>4050000</v>
      </c>
    </row>
    <row r="91" ht="15.75" customHeight="1">
      <c r="A91" s="5" t="s">
        <v>69</v>
      </c>
      <c r="C91" s="19">
        <f t="shared" ref="C91:J91" si="12">C90-B90</f>
        <v>50000</v>
      </c>
      <c r="D91" s="19">
        <f t="shared" si="12"/>
        <v>10000</v>
      </c>
      <c r="E91" s="19">
        <f t="shared" si="12"/>
        <v>20000</v>
      </c>
      <c r="F91" s="19">
        <f t="shared" si="12"/>
        <v>420000</v>
      </c>
      <c r="G91" s="19">
        <f t="shared" si="12"/>
        <v>250000</v>
      </c>
      <c r="H91" s="19">
        <f t="shared" si="12"/>
        <v>0</v>
      </c>
      <c r="I91" s="19">
        <f t="shared" si="12"/>
        <v>0</v>
      </c>
      <c r="J91" s="19">
        <f t="shared" si="12"/>
        <v>0</v>
      </c>
      <c r="K91" s="20">
        <v>300000.0</v>
      </c>
      <c r="L91" s="116">
        <f t="shared" ref="L91:P91" si="13">K91</f>
        <v>300000</v>
      </c>
      <c r="M91" s="116">
        <f t="shared" si="13"/>
        <v>300000</v>
      </c>
      <c r="N91" s="116">
        <f t="shared" si="13"/>
        <v>300000</v>
      </c>
      <c r="O91" s="116">
        <f t="shared" si="13"/>
        <v>300000</v>
      </c>
      <c r="P91" s="116">
        <f t="shared" si="13"/>
        <v>300000</v>
      </c>
      <c r="Q91" s="19"/>
    </row>
    <row r="92" ht="15.75" customHeight="1">
      <c r="A92" s="5"/>
    </row>
    <row r="93" ht="15.75" customHeight="1">
      <c r="A93" s="5" t="s">
        <v>70</v>
      </c>
      <c r="B93" s="22">
        <v>1305351.0</v>
      </c>
      <c r="C93" s="22">
        <v>1444541.0</v>
      </c>
      <c r="D93" s="22">
        <v>1653500.0</v>
      </c>
      <c r="E93" s="22">
        <v>1753700.0</v>
      </c>
      <c r="F93" s="22">
        <v>1461126.0</v>
      </c>
      <c r="G93" s="22">
        <v>1361722.0</v>
      </c>
      <c r="H93" s="22">
        <v>1414277.0</v>
      </c>
      <c r="I93" s="22">
        <v>1706831.0</v>
      </c>
      <c r="J93" s="22">
        <v>1852256.0</v>
      </c>
    </row>
    <row r="94" ht="15.75" customHeight="1">
      <c r="A94" s="15" t="s">
        <v>181</v>
      </c>
      <c r="B94" s="22">
        <v>123897.0</v>
      </c>
      <c r="C94" s="22">
        <v>124062.0</v>
      </c>
      <c r="D94" s="22">
        <v>126074.0</v>
      </c>
      <c r="E94" s="22">
        <v>108749.0</v>
      </c>
      <c r="F94" s="22">
        <v>102171.0</v>
      </c>
      <c r="G94" s="22">
        <v>96139.0</v>
      </c>
      <c r="H94" s="22">
        <v>238376.0</v>
      </c>
      <c r="I94" s="22">
        <v>259333.0</v>
      </c>
      <c r="J94" s="22">
        <v>283067.0</v>
      </c>
    </row>
    <row r="95" ht="15.75" customHeight="1">
      <c r="A95" s="17" t="s">
        <v>49</v>
      </c>
      <c r="B95" s="27">
        <f t="shared" ref="B95:J95" si="14">SUM(B93:B94)</f>
        <v>1429248</v>
      </c>
      <c r="C95" s="27">
        <f t="shared" si="14"/>
        <v>1568603</v>
      </c>
      <c r="D95" s="27">
        <f t="shared" si="14"/>
        <v>1779574</v>
      </c>
      <c r="E95" s="27">
        <f t="shared" si="14"/>
        <v>1862449</v>
      </c>
      <c r="F95" s="27">
        <f t="shared" si="14"/>
        <v>1563297</v>
      </c>
      <c r="G95" s="27">
        <f t="shared" si="14"/>
        <v>1457861</v>
      </c>
      <c r="H95" s="27">
        <f t="shared" si="14"/>
        <v>1652653</v>
      </c>
      <c r="I95" s="27">
        <f t="shared" si="14"/>
        <v>1966164</v>
      </c>
      <c r="J95" s="27">
        <f t="shared" si="14"/>
        <v>2135323</v>
      </c>
      <c r="K95" s="156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ht="15.75" customHeight="1">
      <c r="A96" s="5"/>
    </row>
    <row r="97" ht="15.75" customHeight="1">
      <c r="A97" s="5" t="s">
        <v>72</v>
      </c>
      <c r="B97" s="35">
        <f t="shared" ref="B97:P97" si="15">B95/B90</f>
        <v>0.952832</v>
      </c>
      <c r="C97" s="35">
        <f t="shared" si="15"/>
        <v>1.012001935</v>
      </c>
      <c r="D97" s="35">
        <f t="shared" si="15"/>
        <v>1.140752564</v>
      </c>
      <c r="E97" s="35">
        <f t="shared" si="15"/>
        <v>1.17876519</v>
      </c>
      <c r="F97" s="35">
        <f t="shared" si="15"/>
        <v>0.7816485</v>
      </c>
      <c r="G97" s="35">
        <f t="shared" si="15"/>
        <v>0.6479382222</v>
      </c>
      <c r="H97" s="35">
        <f t="shared" si="15"/>
        <v>0.7345124444</v>
      </c>
      <c r="I97" s="35">
        <f t="shared" si="15"/>
        <v>0.8738506667</v>
      </c>
      <c r="J97" s="35">
        <f t="shared" si="15"/>
        <v>0.9490324444</v>
      </c>
      <c r="K97" s="35">
        <f t="shared" si="15"/>
        <v>0</v>
      </c>
      <c r="L97" s="35">
        <f t="shared" si="15"/>
        <v>0</v>
      </c>
      <c r="M97" s="35">
        <f t="shared" si="15"/>
        <v>0</v>
      </c>
      <c r="N97" s="35">
        <f t="shared" si="15"/>
        <v>0</v>
      </c>
      <c r="O97" s="35">
        <f t="shared" si="15"/>
        <v>0</v>
      </c>
      <c r="P97" s="35">
        <f t="shared" si="15"/>
        <v>0</v>
      </c>
    </row>
    <row r="98" ht="15.75" customHeight="1">
      <c r="A98" s="5"/>
    </row>
    <row r="99" ht="15.75" customHeight="1">
      <c r="A99" s="5" t="s">
        <v>73</v>
      </c>
      <c r="C99" s="35">
        <f t="shared" ref="C99:J99" si="16">C93/B93-1</f>
        <v>0.106630324</v>
      </c>
      <c r="D99" s="35">
        <f t="shared" si="16"/>
        <v>0.1446542535</v>
      </c>
      <c r="E99" s="35">
        <f t="shared" si="16"/>
        <v>0.06059872997</v>
      </c>
      <c r="F99" s="35">
        <f t="shared" si="16"/>
        <v>-0.1668324115</v>
      </c>
      <c r="G99" s="35">
        <f t="shared" si="16"/>
        <v>-0.06803246263</v>
      </c>
      <c r="H99" s="35">
        <f t="shared" si="16"/>
        <v>0.03859451489</v>
      </c>
      <c r="I99" s="35">
        <f t="shared" si="16"/>
        <v>0.2068576382</v>
      </c>
      <c r="J99" s="35">
        <f t="shared" si="16"/>
        <v>0.08520175694</v>
      </c>
    </row>
    <row r="100" ht="15.75" customHeight="1">
      <c r="A100" s="5" t="s">
        <v>74</v>
      </c>
      <c r="C100" s="35">
        <f t="shared" ref="C100:J100" si="17">C94/B94-1</f>
        <v>0.001331751374</v>
      </c>
      <c r="D100" s="35">
        <f t="shared" si="17"/>
        <v>0.0162176976</v>
      </c>
      <c r="E100" s="35">
        <f t="shared" si="17"/>
        <v>-0.1374192934</v>
      </c>
      <c r="F100" s="35">
        <f t="shared" si="17"/>
        <v>-0.06048791253</v>
      </c>
      <c r="G100" s="35">
        <f t="shared" si="17"/>
        <v>-0.05903827896</v>
      </c>
      <c r="H100" s="35">
        <f t="shared" si="17"/>
        <v>1.479493234</v>
      </c>
      <c r="I100" s="35">
        <f t="shared" si="17"/>
        <v>0.08791572977</v>
      </c>
      <c r="J100" s="35">
        <f t="shared" si="17"/>
        <v>0.09151939784</v>
      </c>
    </row>
    <row r="101" ht="15.75" customHeight="1">
      <c r="A101" s="17" t="s">
        <v>75</v>
      </c>
      <c r="B101" s="34"/>
      <c r="C101" s="36">
        <f t="shared" ref="C101:J101" si="18">C95/B95-1</f>
        <v>0.0975023229</v>
      </c>
      <c r="D101" s="36">
        <f t="shared" si="18"/>
        <v>0.134496109</v>
      </c>
      <c r="E101" s="36">
        <f t="shared" si="18"/>
        <v>0.0465701342</v>
      </c>
      <c r="F101" s="36">
        <f t="shared" si="18"/>
        <v>-0.1606229218</v>
      </c>
      <c r="G101" s="36">
        <f t="shared" si="18"/>
        <v>-0.06744463784</v>
      </c>
      <c r="H101" s="36">
        <f t="shared" si="18"/>
        <v>0.1336149331</v>
      </c>
      <c r="I101" s="36">
        <f t="shared" si="18"/>
        <v>0.1897016494</v>
      </c>
      <c r="J101" s="36">
        <f t="shared" si="18"/>
        <v>0.08603504082</v>
      </c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ht="15.75" customHeight="1">
      <c r="A102" s="5"/>
    </row>
    <row r="103" ht="15.75" customHeight="1">
      <c r="A103" s="17" t="s">
        <v>76</v>
      </c>
    </row>
    <row r="104" ht="15.75" customHeight="1">
      <c r="A104" s="5" t="s">
        <v>77</v>
      </c>
      <c r="B104" s="22">
        <v>2789208.0</v>
      </c>
      <c r="C104" s="22">
        <v>3047582.0</v>
      </c>
      <c r="D104" s="22">
        <v>3288581.0</v>
      </c>
      <c r="E104" s="22">
        <v>3377389.0</v>
      </c>
      <c r="F104" s="22">
        <v>2773519.0</v>
      </c>
      <c r="G104" s="22">
        <v>2711457.0</v>
      </c>
      <c r="H104" s="22">
        <v>3069523.0</v>
      </c>
      <c r="I104" s="22">
        <v>3890114.0</v>
      </c>
      <c r="J104" s="22">
        <v>4218746.0</v>
      </c>
    </row>
    <row r="105" ht="15.75" customHeight="1">
      <c r="A105" s="5" t="s">
        <v>71</v>
      </c>
      <c r="B105" s="22">
        <v>653053.0</v>
      </c>
      <c r="C105" s="22">
        <v>758727.0</v>
      </c>
      <c r="D105" s="22">
        <v>748366.0</v>
      </c>
      <c r="E105" s="22">
        <v>676192.0</v>
      </c>
      <c r="F105" s="22">
        <v>662118.0</v>
      </c>
      <c r="G105" s="22">
        <v>404397.0</v>
      </c>
      <c r="H105" s="22">
        <v>577875.0</v>
      </c>
      <c r="I105" s="22">
        <v>662891.0</v>
      </c>
      <c r="J105" s="22">
        <v>672105.0</v>
      </c>
    </row>
    <row r="106" ht="15.75" customHeight="1">
      <c r="A106" s="17" t="s">
        <v>49</v>
      </c>
      <c r="B106" s="27">
        <f t="shared" ref="B106:P106" si="19">SUM(B104:B105)</f>
        <v>3442261</v>
      </c>
      <c r="C106" s="27">
        <f t="shared" si="19"/>
        <v>3806309</v>
      </c>
      <c r="D106" s="27">
        <f t="shared" si="19"/>
        <v>4036947</v>
      </c>
      <c r="E106" s="27">
        <f t="shared" si="19"/>
        <v>4053581</v>
      </c>
      <c r="F106" s="27">
        <f t="shared" si="19"/>
        <v>3435637</v>
      </c>
      <c r="G106" s="27">
        <f t="shared" si="19"/>
        <v>3115854</v>
      </c>
      <c r="H106" s="27">
        <f t="shared" si="19"/>
        <v>3647398</v>
      </c>
      <c r="I106" s="27">
        <f t="shared" si="19"/>
        <v>4553005</v>
      </c>
      <c r="J106" s="27">
        <f t="shared" si="19"/>
        <v>4890851</v>
      </c>
      <c r="K106" s="34">
        <f t="shared" si="19"/>
        <v>0</v>
      </c>
      <c r="L106" s="34">
        <f t="shared" si="19"/>
        <v>0</v>
      </c>
      <c r="M106" s="34">
        <f t="shared" si="19"/>
        <v>0</v>
      </c>
      <c r="N106" s="34">
        <f t="shared" si="19"/>
        <v>0</v>
      </c>
      <c r="O106" s="34">
        <f t="shared" si="19"/>
        <v>0</v>
      </c>
      <c r="P106" s="34">
        <f t="shared" si="19"/>
        <v>0</v>
      </c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ht="15.75" customHeight="1">
      <c r="A107" s="5" t="s">
        <v>78</v>
      </c>
      <c r="C107" s="35">
        <f t="shared" ref="C107:J107" si="20">C104/B104-1</f>
        <v>0.09263346441</v>
      </c>
      <c r="D107" s="35">
        <f t="shared" si="20"/>
        <v>0.07907875818</v>
      </c>
      <c r="E107" s="35">
        <f t="shared" si="20"/>
        <v>0.0270049605</v>
      </c>
      <c r="F107" s="35">
        <f t="shared" si="20"/>
        <v>-0.178797882</v>
      </c>
      <c r="G107" s="35">
        <f t="shared" si="20"/>
        <v>-0.02237662695</v>
      </c>
      <c r="H107" s="35">
        <f t="shared" si="20"/>
        <v>0.1320566765</v>
      </c>
      <c r="I107" s="35">
        <f t="shared" si="20"/>
        <v>0.2673350224</v>
      </c>
      <c r="J107" s="35">
        <f t="shared" si="20"/>
        <v>0.08447875821</v>
      </c>
      <c r="K107" s="37">
        <v>0.07</v>
      </c>
      <c r="L107" s="38">
        <f t="shared" ref="L107:P107" si="21">K107</f>
        <v>0.07</v>
      </c>
      <c r="M107" s="38">
        <f t="shared" si="21"/>
        <v>0.07</v>
      </c>
      <c r="N107" s="38">
        <f t="shared" si="21"/>
        <v>0.07</v>
      </c>
      <c r="O107" s="38">
        <f t="shared" si="21"/>
        <v>0.07</v>
      </c>
      <c r="P107" s="38">
        <f t="shared" si="21"/>
        <v>0.07</v>
      </c>
    </row>
    <row r="108" ht="15.75" customHeight="1">
      <c r="A108" s="5" t="s">
        <v>79</v>
      </c>
      <c r="C108" s="35">
        <f t="shared" ref="C108:J108" si="22">C105/B105-1</f>
        <v>0.1618153504</v>
      </c>
      <c r="D108" s="35">
        <f t="shared" si="22"/>
        <v>-0.01365576815</v>
      </c>
      <c r="E108" s="35">
        <f t="shared" si="22"/>
        <v>-0.09644211522</v>
      </c>
      <c r="F108" s="35">
        <f t="shared" si="22"/>
        <v>-0.02081361507</v>
      </c>
      <c r="G108" s="35">
        <f t="shared" si="22"/>
        <v>-0.3892372659</v>
      </c>
      <c r="H108" s="35">
        <f t="shared" si="22"/>
        <v>0.4289794435</v>
      </c>
      <c r="I108" s="35">
        <f t="shared" si="22"/>
        <v>0.1471183214</v>
      </c>
      <c r="J108" s="35">
        <f t="shared" si="22"/>
        <v>0.01389972107</v>
      </c>
      <c r="K108" s="157">
        <v>0.01</v>
      </c>
      <c r="L108" s="38">
        <f t="shared" ref="L108:P108" si="23">K108</f>
        <v>0.01</v>
      </c>
      <c r="M108" s="38">
        <f t="shared" si="23"/>
        <v>0.01</v>
      </c>
      <c r="N108" s="38">
        <f t="shared" si="23"/>
        <v>0.01</v>
      </c>
      <c r="O108" s="38">
        <f t="shared" si="23"/>
        <v>0.01</v>
      </c>
      <c r="P108" s="38">
        <f t="shared" si="23"/>
        <v>0.01</v>
      </c>
    </row>
    <row r="109" ht="15.75" customHeight="1">
      <c r="A109" s="5"/>
    </row>
    <row r="110" ht="15.75" customHeight="1">
      <c r="A110" s="17" t="s">
        <v>80</v>
      </c>
    </row>
    <row r="111" ht="15.75" customHeight="1">
      <c r="A111" s="5" t="s">
        <v>70</v>
      </c>
    </row>
    <row r="112" ht="15.75" customHeight="1">
      <c r="A112" s="5" t="s">
        <v>71</v>
      </c>
    </row>
    <row r="113" ht="15.75" customHeight="1">
      <c r="A113" s="5" t="s">
        <v>81</v>
      </c>
    </row>
    <row r="114" ht="15.75" customHeight="1">
      <c r="A114" s="5"/>
    </row>
    <row r="115" ht="15.75" customHeight="1">
      <c r="A115" s="5" t="s">
        <v>82</v>
      </c>
    </row>
    <row r="116" ht="15.75" customHeight="1">
      <c r="A116" s="5" t="s">
        <v>83</v>
      </c>
    </row>
    <row r="117" ht="15.75" customHeight="1">
      <c r="A117" s="5"/>
    </row>
    <row r="118" ht="15.75" customHeight="1">
      <c r="A118" s="17" t="s">
        <v>84</v>
      </c>
    </row>
    <row r="119" ht="15.75" customHeight="1">
      <c r="A119" s="5"/>
    </row>
    <row r="120" ht="15.75" customHeight="1">
      <c r="A120" s="1" t="s">
        <v>5</v>
      </c>
    </row>
    <row r="121" ht="15.75" customHeight="1">
      <c r="A121" s="1" t="s">
        <v>6</v>
      </c>
    </row>
    <row r="122" ht="15.75" customHeight="1">
      <c r="A122" s="1" t="s">
        <v>8</v>
      </c>
    </row>
    <row r="123" ht="15.75" customHeight="1">
      <c r="A123" s="1" t="s">
        <v>10</v>
      </c>
    </row>
    <row r="124" ht="15.75" customHeight="1">
      <c r="A124" s="1" t="s">
        <v>12</v>
      </c>
    </row>
    <row r="125" ht="15.75" customHeight="1">
      <c r="A125" s="1" t="s">
        <v>85</v>
      </c>
    </row>
    <row r="126" ht="15.75" customHeight="1">
      <c r="A126" s="5"/>
    </row>
    <row r="127" ht="15.75" customHeight="1">
      <c r="A127" s="5"/>
    </row>
    <row r="128" ht="15.75" customHeight="1">
      <c r="A128" s="18" t="s">
        <v>86</v>
      </c>
    </row>
    <row r="129" ht="15.75" customHeight="1">
      <c r="A129" s="5"/>
    </row>
    <row r="130" ht="15.75" customHeight="1">
      <c r="A130" s="1" t="s">
        <v>5</v>
      </c>
    </row>
    <row r="131" ht="15.75" customHeight="1">
      <c r="A131" s="1" t="s">
        <v>6</v>
      </c>
    </row>
    <row r="132" ht="15.75" customHeight="1">
      <c r="A132" s="1" t="s">
        <v>8</v>
      </c>
    </row>
    <row r="133" ht="15.75" customHeight="1">
      <c r="A133" s="1" t="s">
        <v>10</v>
      </c>
    </row>
    <row r="134" ht="15.75" customHeight="1">
      <c r="A134" s="1" t="s">
        <v>12</v>
      </c>
    </row>
    <row r="135" ht="15.75" customHeight="1">
      <c r="A135" s="1" t="s">
        <v>85</v>
      </c>
    </row>
    <row r="136" ht="15.75" customHeight="1">
      <c r="A136" s="5"/>
    </row>
    <row r="137" ht="15.75" customHeight="1">
      <c r="A137" s="1" t="s">
        <v>83</v>
      </c>
    </row>
    <row r="138" ht="15.75" customHeight="1">
      <c r="A138" s="1" t="s">
        <v>5</v>
      </c>
    </row>
    <row r="139" ht="15.75" customHeight="1">
      <c r="A139" s="1" t="s">
        <v>6</v>
      </c>
    </row>
    <row r="140" ht="15.75" customHeight="1">
      <c r="A140" s="1" t="s">
        <v>8</v>
      </c>
    </row>
    <row r="141" ht="15.75" customHeight="1">
      <c r="A141" s="1" t="s">
        <v>10</v>
      </c>
    </row>
    <row r="142" ht="15.75" customHeight="1">
      <c r="A142" s="1" t="s">
        <v>12</v>
      </c>
    </row>
    <row r="143" ht="15.75" customHeight="1">
      <c r="A143" s="1" t="s">
        <v>85</v>
      </c>
    </row>
    <row r="144" ht="15.75" customHeight="1">
      <c r="A144" s="5"/>
    </row>
    <row r="145" ht="15.75" customHeight="1">
      <c r="A145" s="5"/>
    </row>
    <row r="146" ht="15.75" customHeight="1">
      <c r="A146" s="5"/>
    </row>
    <row r="147" ht="15.75" customHeight="1">
      <c r="A147" s="18" t="s">
        <v>87</v>
      </c>
    </row>
    <row r="148" ht="15.75" customHeight="1">
      <c r="A148" s="5"/>
    </row>
    <row r="149" ht="15.75" customHeight="1">
      <c r="A149" s="5" t="s">
        <v>60</v>
      </c>
    </row>
    <row r="150" ht="15.75" customHeight="1">
      <c r="A150" s="16" t="s">
        <v>61</v>
      </c>
    </row>
    <row r="151" ht="15.75" customHeight="1">
      <c r="A151" s="16" t="s">
        <v>62</v>
      </c>
    </row>
    <row r="152" ht="15.75" customHeight="1">
      <c r="A152" s="16" t="s">
        <v>64</v>
      </c>
    </row>
    <row r="153" ht="15.75" customHeight="1">
      <c r="A153" s="16" t="s">
        <v>65</v>
      </c>
    </row>
    <row r="154" ht="15.75" customHeight="1">
      <c r="A154" s="16" t="s">
        <v>66</v>
      </c>
    </row>
    <row r="155" ht="15.75" customHeight="1">
      <c r="A155" s="1" t="s">
        <v>57</v>
      </c>
    </row>
    <row r="156" ht="15.75" customHeight="1">
      <c r="A156" s="5"/>
    </row>
    <row r="157" ht="15.75" customHeight="1">
      <c r="A157" s="5" t="s">
        <v>42</v>
      </c>
    </row>
    <row r="158" ht="15.75" customHeight="1">
      <c r="A158" s="1" t="s">
        <v>43</v>
      </c>
    </row>
    <row r="159" ht="15.75" customHeight="1">
      <c r="A159" s="1" t="s">
        <v>44</v>
      </c>
    </row>
    <row r="160" ht="15.75" customHeight="1">
      <c r="A160" s="1" t="s">
        <v>45</v>
      </c>
    </row>
    <row r="161" ht="15.75" customHeight="1">
      <c r="A161" s="1" t="s">
        <v>46</v>
      </c>
    </row>
    <row r="162" ht="15.75" customHeight="1">
      <c r="A162" s="1" t="s">
        <v>47</v>
      </c>
    </row>
    <row r="163" ht="15.75" customHeight="1">
      <c r="A163" s="1" t="s">
        <v>48</v>
      </c>
    </row>
    <row r="164" ht="15.75" customHeight="1">
      <c r="A164" s="5"/>
    </row>
    <row r="165" ht="15.75" customHeight="1">
      <c r="A165" s="1" t="s">
        <v>88</v>
      </c>
    </row>
    <row r="166" ht="15.75" customHeight="1">
      <c r="A166" s="5"/>
    </row>
    <row r="167" ht="15.75" customHeight="1">
      <c r="A167" s="18" t="s">
        <v>89</v>
      </c>
    </row>
    <row r="168" ht="15.75" customHeight="1">
      <c r="A168" s="5" t="s">
        <v>60</v>
      </c>
    </row>
    <row r="169" ht="15.75" customHeight="1">
      <c r="A169" s="16" t="s">
        <v>61</v>
      </c>
    </row>
    <row r="170" ht="15.75" customHeight="1">
      <c r="A170" s="16" t="s">
        <v>62</v>
      </c>
    </row>
    <row r="171" ht="15.75" customHeight="1">
      <c r="A171" s="16" t="s">
        <v>64</v>
      </c>
    </row>
    <row r="172" ht="15.75" customHeight="1">
      <c r="A172" s="16" t="s">
        <v>65</v>
      </c>
    </row>
    <row r="173" ht="15.75" customHeight="1">
      <c r="A173" s="16" t="s">
        <v>66</v>
      </c>
    </row>
    <row r="174" ht="15.75" customHeight="1">
      <c r="A174" s="1" t="s">
        <v>57</v>
      </c>
    </row>
    <row r="175" ht="15.75" customHeight="1">
      <c r="A175" s="5"/>
    </row>
    <row r="176" ht="15.75" customHeight="1">
      <c r="A176" s="5" t="s">
        <v>42</v>
      </c>
    </row>
    <row r="177" ht="15.75" customHeight="1">
      <c r="A177" s="1" t="s">
        <v>43</v>
      </c>
    </row>
    <row r="178" ht="15.75" customHeight="1">
      <c r="A178" s="1" t="s">
        <v>44</v>
      </c>
    </row>
    <row r="179" ht="15.75" customHeight="1">
      <c r="A179" s="1" t="s">
        <v>45</v>
      </c>
    </row>
    <row r="180" ht="15.75" customHeight="1">
      <c r="A180" s="1" t="s">
        <v>46</v>
      </c>
    </row>
    <row r="181" ht="15.75" customHeight="1">
      <c r="A181" s="1" t="s">
        <v>47</v>
      </c>
    </row>
    <row r="182" ht="15.75" customHeight="1">
      <c r="A182" s="1" t="s">
        <v>48</v>
      </c>
    </row>
    <row r="183" ht="15.75" customHeight="1">
      <c r="A183" s="5"/>
    </row>
    <row r="184" ht="15.75" customHeight="1">
      <c r="A184" s="1" t="s">
        <v>90</v>
      </c>
    </row>
    <row r="185" ht="15.75" customHeight="1">
      <c r="A185" s="1" t="s">
        <v>91</v>
      </c>
    </row>
    <row r="186" ht="15.75" customHeight="1">
      <c r="A186" s="5"/>
    </row>
    <row r="187" ht="15.75" customHeight="1">
      <c r="A187" s="5"/>
    </row>
    <row r="188" ht="15.75" customHeight="1">
      <c r="A188" s="5"/>
    </row>
    <row r="189" ht="15.75" customHeight="1">
      <c r="A189" s="18" t="s">
        <v>92</v>
      </c>
    </row>
    <row r="190" ht="15.75" customHeight="1">
      <c r="A190" s="5" t="s">
        <v>93</v>
      </c>
    </row>
    <row r="191" ht="15.75" customHeight="1">
      <c r="A191" s="5" t="s">
        <v>94</v>
      </c>
    </row>
    <row r="192" ht="15.75" customHeight="1">
      <c r="A192" s="5" t="s">
        <v>49</v>
      </c>
    </row>
    <row r="193" ht="15.75" customHeight="1">
      <c r="A193" s="5"/>
    </row>
    <row r="194" ht="15.75" customHeight="1">
      <c r="A194" s="5" t="s">
        <v>95</v>
      </c>
    </row>
    <row r="195" ht="15.75" customHeight="1">
      <c r="A195" s="5"/>
    </row>
    <row r="196" ht="15.75" customHeight="1">
      <c r="A196" s="5" t="s">
        <v>96</v>
      </c>
    </row>
    <row r="197" ht="15.75" customHeight="1">
      <c r="A197" s="5" t="s">
        <v>97</v>
      </c>
    </row>
    <row r="198" ht="15.75" customHeight="1">
      <c r="A198" s="5" t="s">
        <v>98</v>
      </c>
    </row>
    <row r="199" ht="15.75" customHeight="1">
      <c r="A199" s="5"/>
    </row>
    <row r="200" ht="15.75" customHeight="1">
      <c r="A200" s="5" t="s">
        <v>99</v>
      </c>
    </row>
    <row r="201" ht="15.75" customHeight="1">
      <c r="A201" s="5" t="s">
        <v>100</v>
      </c>
    </row>
    <row r="202" ht="15.75" customHeight="1">
      <c r="A202" s="1"/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29" t="s">
        <v>107</v>
      </c>
      <c r="B1" s="2">
        <v>2016.0</v>
      </c>
      <c r="C1" s="2">
        <f t="shared" ref="C1:V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  <c r="Q1" s="158">
        <f t="shared" si="1"/>
        <v>2031</v>
      </c>
      <c r="R1" s="158">
        <f t="shared" si="1"/>
        <v>2032</v>
      </c>
      <c r="S1" s="158">
        <f t="shared" si="1"/>
        <v>2033</v>
      </c>
      <c r="T1" s="158">
        <f t="shared" si="1"/>
        <v>2034</v>
      </c>
      <c r="U1" s="158">
        <f t="shared" si="1"/>
        <v>2035</v>
      </c>
      <c r="V1" s="158">
        <f t="shared" si="1"/>
        <v>2036</v>
      </c>
      <c r="W1" s="159" t="s">
        <v>108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  <c r="K3" s="6">
        <f t="shared" ref="K3:P3" si="2">(K98*K118)/1000000</f>
        <v>1745621.281</v>
      </c>
      <c r="L3" s="6">
        <f t="shared" si="2"/>
        <v>2039535.594</v>
      </c>
      <c r="M3" s="6">
        <f t="shared" si="2"/>
        <v>2383801.008</v>
      </c>
      <c r="N3" s="6">
        <f t="shared" si="2"/>
        <v>2787144.105</v>
      </c>
      <c r="O3" s="6">
        <f t="shared" si="2"/>
        <v>3259815.476</v>
      </c>
      <c r="P3" s="6">
        <f t="shared" si="2"/>
        <v>3813857.181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  <c r="K4" s="20">
        <v>20000.0</v>
      </c>
      <c r="L4" s="21">
        <f t="shared" ref="L4:P4" si="3">K4</f>
        <v>20000</v>
      </c>
      <c r="M4" s="21">
        <f t="shared" si="3"/>
        <v>20000</v>
      </c>
      <c r="N4" s="21">
        <f t="shared" si="3"/>
        <v>20000</v>
      </c>
      <c r="O4" s="21">
        <f t="shared" si="3"/>
        <v>20000</v>
      </c>
      <c r="P4" s="21">
        <f t="shared" si="3"/>
        <v>20000</v>
      </c>
      <c r="Q4" s="6"/>
    </row>
    <row r="5" ht="15.75" customHeight="1">
      <c r="A5" s="7"/>
    </row>
    <row r="6" ht="15.75" customHeight="1">
      <c r="A6" s="8" t="s">
        <v>3</v>
      </c>
      <c r="B6" s="9">
        <f t="shared" ref="B6:P6" si="4">SUM(B3:B4)</f>
        <v>586120</v>
      </c>
      <c r="C6" s="9">
        <f t="shared" si="4"/>
        <v>703746</v>
      </c>
      <c r="D6" s="9">
        <f t="shared" si="4"/>
        <v>818552</v>
      </c>
      <c r="E6" s="9">
        <f t="shared" si="4"/>
        <v>886301</v>
      </c>
      <c r="F6" s="9">
        <f t="shared" si="4"/>
        <v>789944</v>
      </c>
      <c r="G6" s="9">
        <f t="shared" si="4"/>
        <v>733083</v>
      </c>
      <c r="H6" s="9">
        <f t="shared" si="4"/>
        <v>900745</v>
      </c>
      <c r="I6" s="9">
        <f t="shared" si="4"/>
        <v>1206746</v>
      </c>
      <c r="J6" s="9">
        <f t="shared" si="4"/>
        <v>1459517</v>
      </c>
      <c r="K6" s="9">
        <f t="shared" si="4"/>
        <v>1765621.281</v>
      </c>
      <c r="L6" s="9">
        <f t="shared" si="4"/>
        <v>2059535.594</v>
      </c>
      <c r="M6" s="9">
        <f t="shared" si="4"/>
        <v>2403801.008</v>
      </c>
      <c r="N6" s="9">
        <f t="shared" si="4"/>
        <v>2807144.105</v>
      </c>
      <c r="O6" s="9">
        <f t="shared" si="4"/>
        <v>3279815.476</v>
      </c>
      <c r="P6" s="9">
        <f t="shared" si="4"/>
        <v>3833857.181</v>
      </c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  <c r="K9" s="6">
        <f t="shared" ref="K9:K14" si="5">K123*$K$3</f>
        <v>1047372.768</v>
      </c>
      <c r="L9" s="6">
        <f t="shared" ref="L9:L14" si="6">L123*$L$3</f>
        <v>1223721.356</v>
      </c>
      <c r="M9" s="6">
        <f t="shared" ref="M9:M14" si="7">M123*$M$3</f>
        <v>1430280.605</v>
      </c>
      <c r="N9" s="6">
        <f t="shared" ref="N9:N14" si="8">N123*$N$3</f>
        <v>1672286.463</v>
      </c>
      <c r="O9" s="6">
        <f t="shared" ref="O9:O14" si="9">O123*$O$3</f>
        <v>1955889.286</v>
      </c>
      <c r="P9" s="6">
        <f t="shared" ref="P9:P14" si="10">P123*$P$3</f>
        <v>2288314.309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  <c r="K10" s="25">
        <f t="shared" si="5"/>
        <v>139649.7024</v>
      </c>
      <c r="L10" s="25">
        <f t="shared" si="6"/>
        <v>163162.8475</v>
      </c>
      <c r="M10" s="25">
        <f t="shared" si="7"/>
        <v>190704.0806</v>
      </c>
      <c r="N10" s="25">
        <f t="shared" si="8"/>
        <v>222971.5284</v>
      </c>
      <c r="O10" s="25">
        <f t="shared" si="9"/>
        <v>260785.2381</v>
      </c>
      <c r="P10" s="25">
        <f t="shared" si="10"/>
        <v>305108.5745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  <c r="K11" s="25">
        <f t="shared" si="5"/>
        <v>-4658.822802</v>
      </c>
      <c r="L11" s="25">
        <f t="shared" si="6"/>
        <v>-5443.239628</v>
      </c>
      <c r="M11" s="25">
        <f t="shared" si="7"/>
        <v>-6362.036607</v>
      </c>
      <c r="N11" s="25">
        <f t="shared" si="8"/>
        <v>-7438.503788</v>
      </c>
      <c r="O11" s="25">
        <f t="shared" si="9"/>
        <v>-8699.998584</v>
      </c>
      <c r="P11" s="25">
        <f t="shared" si="10"/>
        <v>-10178.6596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  <c r="K12" s="25">
        <f t="shared" si="5"/>
        <v>69824.85122</v>
      </c>
      <c r="L12" s="25">
        <f t="shared" si="6"/>
        <v>81581.42375</v>
      </c>
      <c r="M12" s="25">
        <f t="shared" si="7"/>
        <v>95352.0403</v>
      </c>
      <c r="N12" s="25">
        <f t="shared" si="8"/>
        <v>111485.7642</v>
      </c>
      <c r="O12" s="25">
        <f t="shared" si="9"/>
        <v>130392.619</v>
      </c>
      <c r="P12" s="25">
        <f t="shared" si="10"/>
        <v>152554.2873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  <c r="K13" s="25">
        <f t="shared" si="5"/>
        <v>215960.9246</v>
      </c>
      <c r="L13" s="25">
        <f t="shared" si="6"/>
        <v>252322.7675</v>
      </c>
      <c r="M13" s="25">
        <f t="shared" si="7"/>
        <v>294913.8369</v>
      </c>
      <c r="N13" s="25">
        <f t="shared" si="8"/>
        <v>344813.7489</v>
      </c>
      <c r="O13" s="25">
        <f t="shared" si="9"/>
        <v>403290.6634</v>
      </c>
      <c r="P13" s="25">
        <f t="shared" si="10"/>
        <v>471834.3735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  <c r="K14" s="25">
        <f t="shared" si="5"/>
        <v>-3208.016652</v>
      </c>
      <c r="L14" s="25">
        <f t="shared" si="6"/>
        <v>-3748.157874</v>
      </c>
      <c r="M14" s="25">
        <f t="shared" si="7"/>
        <v>-4380.831864</v>
      </c>
      <c r="N14" s="25">
        <f t="shared" si="8"/>
        <v>-5122.075905</v>
      </c>
      <c r="O14" s="25">
        <f t="shared" si="9"/>
        <v>-5990.728027</v>
      </c>
      <c r="P14" s="25">
        <f t="shared" si="10"/>
        <v>-7008.918534</v>
      </c>
    </row>
    <row r="15" ht="15.75" customHeight="1">
      <c r="A15" s="7"/>
    </row>
    <row r="16" ht="15.75" customHeight="1">
      <c r="A16" s="8" t="s">
        <v>14</v>
      </c>
      <c r="B16" s="9">
        <f t="shared" ref="B16:P16" si="11">SUM(B9:B14)</f>
        <v>494932</v>
      </c>
      <c r="C16" s="9">
        <f t="shared" si="11"/>
        <v>577269</v>
      </c>
      <c r="D16" s="9">
        <f t="shared" si="11"/>
        <v>677460</v>
      </c>
      <c r="E16" s="9">
        <f t="shared" si="11"/>
        <v>750653</v>
      </c>
      <c r="F16" s="9">
        <f t="shared" si="11"/>
        <v>683474</v>
      </c>
      <c r="G16" s="9">
        <f t="shared" si="11"/>
        <v>650204</v>
      </c>
      <c r="H16" s="9">
        <f t="shared" si="11"/>
        <v>826236</v>
      </c>
      <c r="I16" s="9">
        <f t="shared" si="11"/>
        <v>1053155</v>
      </c>
      <c r="J16" s="9">
        <f t="shared" si="11"/>
        <v>1233319</v>
      </c>
      <c r="K16" s="9">
        <f t="shared" si="11"/>
        <v>1464941.407</v>
      </c>
      <c r="L16" s="9">
        <f t="shared" si="11"/>
        <v>1711596.997</v>
      </c>
      <c r="M16" s="9">
        <f t="shared" si="11"/>
        <v>2000507.694</v>
      </c>
      <c r="N16" s="9">
        <f t="shared" si="11"/>
        <v>2338996.925</v>
      </c>
      <c r="O16" s="9">
        <f t="shared" si="11"/>
        <v>2735667.079</v>
      </c>
      <c r="P16" s="9">
        <f t="shared" si="11"/>
        <v>3200623.966</v>
      </c>
    </row>
    <row r="17" ht="15.75" customHeight="1">
      <c r="A17" s="7"/>
    </row>
    <row r="18" ht="15.75" customHeight="1">
      <c r="A18" s="113" t="s">
        <v>191</v>
      </c>
      <c r="B18" s="23">
        <f t="shared" ref="B18:P18" si="12">B6-B16</f>
        <v>91188</v>
      </c>
      <c r="C18" s="23">
        <f t="shared" si="12"/>
        <v>126477</v>
      </c>
      <c r="D18" s="23">
        <f t="shared" si="12"/>
        <v>141092</v>
      </c>
      <c r="E18" s="23">
        <f t="shared" si="12"/>
        <v>135648</v>
      </c>
      <c r="F18" s="23">
        <f t="shared" si="12"/>
        <v>106470</v>
      </c>
      <c r="G18" s="23">
        <f t="shared" si="12"/>
        <v>82879</v>
      </c>
      <c r="H18" s="23">
        <f t="shared" si="12"/>
        <v>74509</v>
      </c>
      <c r="I18" s="23">
        <f t="shared" si="12"/>
        <v>153591</v>
      </c>
      <c r="J18" s="23">
        <f t="shared" si="12"/>
        <v>226198</v>
      </c>
      <c r="K18" s="23">
        <f t="shared" si="12"/>
        <v>300679.8734</v>
      </c>
      <c r="L18" s="23">
        <f t="shared" si="12"/>
        <v>347938.5962</v>
      </c>
      <c r="M18" s="23">
        <f t="shared" si="12"/>
        <v>403293.3137</v>
      </c>
      <c r="N18" s="23">
        <f t="shared" si="12"/>
        <v>468147.1802</v>
      </c>
      <c r="O18" s="23">
        <f t="shared" si="12"/>
        <v>544148.3965</v>
      </c>
      <c r="P18" s="23">
        <f t="shared" si="12"/>
        <v>633233.2155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  <c r="K20" s="160">
        <f t="shared" ref="K20:P20" si="13">K185</f>
        <v>61200</v>
      </c>
      <c r="L20" s="160">
        <f t="shared" si="13"/>
        <v>68400</v>
      </c>
      <c r="M20" s="160">
        <f t="shared" si="13"/>
        <v>75600</v>
      </c>
      <c r="N20" s="160">
        <f t="shared" si="13"/>
        <v>82800</v>
      </c>
      <c r="O20" s="160">
        <f t="shared" si="13"/>
        <v>90000</v>
      </c>
      <c r="P20" s="160">
        <f t="shared" si="13"/>
        <v>97200</v>
      </c>
    </row>
    <row r="21" ht="15.75" customHeight="1">
      <c r="A21" s="7"/>
    </row>
    <row r="22" ht="15.75" customHeight="1">
      <c r="A22" s="161" t="s">
        <v>192</v>
      </c>
      <c r="B22" s="23">
        <f t="shared" ref="B22:P22" si="14">B18-B20</f>
        <v>62518</v>
      </c>
      <c r="C22" s="23">
        <f t="shared" si="14"/>
        <v>100438</v>
      </c>
      <c r="D22" s="23">
        <f t="shared" si="14"/>
        <v>113494</v>
      </c>
      <c r="E22" s="23">
        <f t="shared" si="14"/>
        <v>105440</v>
      </c>
      <c r="F22" s="23">
        <f t="shared" si="14"/>
        <v>71186</v>
      </c>
      <c r="G22" s="23">
        <f t="shared" si="14"/>
        <v>52538</v>
      </c>
      <c r="H22" s="23">
        <f t="shared" si="14"/>
        <v>46619</v>
      </c>
      <c r="I22" s="23">
        <f t="shared" si="14"/>
        <v>105131</v>
      </c>
      <c r="J22" s="23">
        <f t="shared" si="14"/>
        <v>173640</v>
      </c>
      <c r="K22" s="23">
        <f t="shared" si="14"/>
        <v>239479.8734</v>
      </c>
      <c r="L22" s="23">
        <f t="shared" si="14"/>
        <v>279538.5962</v>
      </c>
      <c r="M22" s="23">
        <f t="shared" si="14"/>
        <v>327693.3137</v>
      </c>
      <c r="N22" s="23">
        <f t="shared" si="14"/>
        <v>385347.1802</v>
      </c>
      <c r="O22" s="23">
        <f t="shared" si="14"/>
        <v>454148.3965</v>
      </c>
      <c r="P22" s="23">
        <f t="shared" si="14"/>
        <v>536033.2155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  <c r="K24" s="20">
        <f t="shared" ref="K24:P24" si="15">J24</f>
        <v>1936</v>
      </c>
      <c r="L24" s="21">
        <f t="shared" si="15"/>
        <v>1936</v>
      </c>
      <c r="M24" s="21">
        <f t="shared" si="15"/>
        <v>1936</v>
      </c>
      <c r="N24" s="21">
        <f t="shared" si="15"/>
        <v>1936</v>
      </c>
      <c r="O24" s="21">
        <f t="shared" si="15"/>
        <v>1936</v>
      </c>
      <c r="P24" s="21">
        <f t="shared" si="15"/>
        <v>1936</v>
      </c>
    </row>
    <row r="25" ht="15.75" customHeight="1">
      <c r="A25" s="7"/>
    </row>
    <row r="26" ht="15.75" customHeight="1">
      <c r="A26" s="7" t="s">
        <v>23</v>
      </c>
      <c r="B26" s="23">
        <f t="shared" ref="B26:P26" si="16">B22-B24</f>
        <v>61581</v>
      </c>
      <c r="C26" s="23">
        <f t="shared" si="16"/>
        <v>99544</v>
      </c>
      <c r="D26" s="23">
        <f t="shared" si="16"/>
        <v>110036</v>
      </c>
      <c r="E26" s="23">
        <f t="shared" si="16"/>
        <v>104681</v>
      </c>
      <c r="F26" s="23">
        <f t="shared" si="16"/>
        <v>69844</v>
      </c>
      <c r="G26" s="23">
        <f t="shared" si="16"/>
        <v>51520</v>
      </c>
      <c r="H26" s="23">
        <f t="shared" si="16"/>
        <v>45353</v>
      </c>
      <c r="I26" s="23">
        <f t="shared" si="16"/>
        <v>102608</v>
      </c>
      <c r="J26" s="23">
        <f t="shared" si="16"/>
        <v>171704</v>
      </c>
      <c r="K26" s="23">
        <f t="shared" si="16"/>
        <v>237543.8734</v>
      </c>
      <c r="L26" s="23">
        <f t="shared" si="16"/>
        <v>277602.5962</v>
      </c>
      <c r="M26" s="23">
        <f t="shared" si="16"/>
        <v>325757.3137</v>
      </c>
      <c r="N26" s="23">
        <f t="shared" si="16"/>
        <v>383411.1802</v>
      </c>
      <c r="O26" s="23">
        <f t="shared" si="16"/>
        <v>452212.3965</v>
      </c>
      <c r="P26" s="23">
        <f t="shared" si="16"/>
        <v>534097.2155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  <c r="K27" s="162">
        <f t="shared" ref="K27:P27" si="17">J27</f>
        <v>2669</v>
      </c>
      <c r="L27" s="21">
        <f t="shared" si="17"/>
        <v>2669</v>
      </c>
      <c r="M27" s="21">
        <f t="shared" si="17"/>
        <v>2669</v>
      </c>
      <c r="N27" s="21">
        <f t="shared" si="17"/>
        <v>2669</v>
      </c>
      <c r="O27" s="21">
        <f t="shared" si="17"/>
        <v>2669</v>
      </c>
      <c r="P27" s="21">
        <f t="shared" si="17"/>
        <v>2669</v>
      </c>
    </row>
    <row r="28" ht="15.75" customHeight="1">
      <c r="A28" s="7" t="s">
        <v>25</v>
      </c>
      <c r="B28" s="23">
        <f t="shared" ref="B28:P28" si="18">SUM(B26:B27)</f>
        <v>66296</v>
      </c>
      <c r="C28" s="23">
        <f t="shared" si="18"/>
        <v>101272</v>
      </c>
      <c r="D28" s="23">
        <f t="shared" si="18"/>
        <v>111669</v>
      </c>
      <c r="E28" s="23">
        <f t="shared" si="18"/>
        <v>102651</v>
      </c>
      <c r="F28" s="23">
        <f t="shared" si="18"/>
        <v>65427</v>
      </c>
      <c r="G28" s="23">
        <f t="shared" si="18"/>
        <v>56656</v>
      </c>
      <c r="H28" s="23">
        <f t="shared" si="18"/>
        <v>48482</v>
      </c>
      <c r="I28" s="23">
        <f t="shared" si="18"/>
        <v>103194</v>
      </c>
      <c r="J28" s="23">
        <f t="shared" si="18"/>
        <v>174373</v>
      </c>
      <c r="K28" s="23">
        <f t="shared" si="18"/>
        <v>240212.8734</v>
      </c>
      <c r="L28" s="23">
        <f t="shared" si="18"/>
        <v>280271.5962</v>
      </c>
      <c r="M28" s="23">
        <f t="shared" si="18"/>
        <v>328426.3137</v>
      </c>
      <c r="N28" s="23">
        <f t="shared" si="18"/>
        <v>386080.1802</v>
      </c>
      <c r="O28" s="23">
        <f t="shared" si="18"/>
        <v>454881.3965</v>
      </c>
      <c r="P28" s="23">
        <f t="shared" si="18"/>
        <v>536766.2155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  <c r="K30" s="19">
        <f t="shared" ref="K30:P30" si="19">K28*K31</f>
        <v>72063.86202</v>
      </c>
      <c r="L30" s="19">
        <f t="shared" si="19"/>
        <v>84081.47885</v>
      </c>
      <c r="M30" s="19">
        <f t="shared" si="19"/>
        <v>98527.8941</v>
      </c>
      <c r="N30" s="19">
        <f t="shared" si="19"/>
        <v>115824.054</v>
      </c>
      <c r="O30" s="19">
        <f t="shared" si="19"/>
        <v>136464.4189</v>
      </c>
      <c r="P30" s="19">
        <f t="shared" si="19"/>
        <v>161029.8646</v>
      </c>
    </row>
    <row r="31" ht="15.75" customHeight="1">
      <c r="A31" s="7"/>
      <c r="K31" s="37">
        <v>0.3</v>
      </c>
      <c r="L31" s="38">
        <f t="shared" ref="L31:P31" si="20">K31</f>
        <v>0.3</v>
      </c>
      <c r="M31" s="38">
        <f t="shared" si="20"/>
        <v>0.3</v>
      </c>
      <c r="N31" s="38">
        <f t="shared" si="20"/>
        <v>0.3</v>
      </c>
      <c r="O31" s="38">
        <f t="shared" si="20"/>
        <v>0.3</v>
      </c>
      <c r="P31" s="38">
        <f t="shared" si="20"/>
        <v>0.3</v>
      </c>
    </row>
    <row r="32" ht="15.75" customHeight="1">
      <c r="A32" s="7" t="s">
        <v>27</v>
      </c>
      <c r="B32" s="23">
        <f t="shared" ref="B32:P32" si="21">B28-B30</f>
        <v>46309</v>
      </c>
      <c r="C32" s="23">
        <f t="shared" si="21"/>
        <v>75110</v>
      </c>
      <c r="D32" s="23">
        <f t="shared" si="21"/>
        <v>78807</v>
      </c>
      <c r="E32" s="23">
        <f t="shared" si="21"/>
        <v>72919</v>
      </c>
      <c r="F32" s="23">
        <f t="shared" si="21"/>
        <v>51175</v>
      </c>
      <c r="G32" s="23">
        <f t="shared" si="21"/>
        <v>47337</v>
      </c>
      <c r="H32" s="23">
        <f t="shared" si="21"/>
        <v>40305</v>
      </c>
      <c r="I32" s="23">
        <f t="shared" si="21"/>
        <v>81449</v>
      </c>
      <c r="J32" s="23">
        <f t="shared" si="21"/>
        <v>135010</v>
      </c>
      <c r="K32" s="23">
        <f t="shared" si="21"/>
        <v>168149.0114</v>
      </c>
      <c r="L32" s="23">
        <f t="shared" si="21"/>
        <v>196190.1173</v>
      </c>
      <c r="M32" s="23">
        <f t="shared" si="21"/>
        <v>229898.4196</v>
      </c>
      <c r="N32" s="23">
        <f t="shared" si="21"/>
        <v>270256.1261</v>
      </c>
      <c r="O32" s="23">
        <f t="shared" si="21"/>
        <v>318416.9775</v>
      </c>
      <c r="P32" s="23">
        <f t="shared" si="21"/>
        <v>375736.3508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  <c r="K33" s="162">
        <f t="shared" ref="K33:P33" si="22">J33</f>
        <v>2541</v>
      </c>
      <c r="L33" s="163">
        <f t="shared" si="22"/>
        <v>2541</v>
      </c>
      <c r="M33" s="163">
        <f t="shared" si="22"/>
        <v>2541</v>
      </c>
      <c r="N33" s="163">
        <f t="shared" si="22"/>
        <v>2541</v>
      </c>
      <c r="O33" s="163">
        <f t="shared" si="22"/>
        <v>2541</v>
      </c>
      <c r="P33" s="163">
        <f t="shared" si="22"/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23">B32+B33</f>
        <v>46988</v>
      </c>
      <c r="C36" s="9">
        <f t="shared" si="23"/>
        <v>77326</v>
      </c>
      <c r="D36" s="9">
        <f t="shared" si="23"/>
        <v>82118</v>
      </c>
      <c r="E36" s="9">
        <f>E32+F33</f>
        <v>74103</v>
      </c>
      <c r="F36" s="9">
        <f t="shared" ref="F36:M36" si="24">F32+F33</f>
        <v>52359</v>
      </c>
      <c r="G36" s="9">
        <f t="shared" si="24"/>
        <v>49027</v>
      </c>
      <c r="H36" s="9">
        <f t="shared" si="24"/>
        <v>41924</v>
      </c>
      <c r="I36" s="9">
        <f t="shared" si="24"/>
        <v>83223</v>
      </c>
      <c r="J36" s="9">
        <f t="shared" si="24"/>
        <v>137551</v>
      </c>
      <c r="K36" s="9">
        <f t="shared" si="24"/>
        <v>170690.0114</v>
      </c>
      <c r="L36" s="9">
        <f t="shared" si="24"/>
        <v>198731.1173</v>
      </c>
      <c r="M36" s="9">
        <f t="shared" si="24"/>
        <v>232439.4196</v>
      </c>
      <c r="N36" s="9">
        <f>N32+O33</f>
        <v>272797.1261</v>
      </c>
      <c r="O36" s="9">
        <f t="shared" ref="O36:P36" si="25">O32+O33</f>
        <v>320957.9775</v>
      </c>
      <c r="P36" s="9">
        <f t="shared" si="25"/>
        <v>378277.3508</v>
      </c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4" t="s">
        <v>31</v>
      </c>
      <c r="B41" s="27">
        <f t="shared" ref="B41:P41" si="26">sum(B42:B47)</f>
        <v>306304</v>
      </c>
      <c r="C41" s="27">
        <f t="shared" si="26"/>
        <v>370905</v>
      </c>
      <c r="D41" s="27">
        <f t="shared" si="26"/>
        <v>425755</v>
      </c>
      <c r="E41" s="27">
        <f t="shared" si="26"/>
        <v>471097</v>
      </c>
      <c r="F41" s="27">
        <f t="shared" si="26"/>
        <v>494322</v>
      </c>
      <c r="G41" s="27">
        <f t="shared" si="26"/>
        <v>525006</v>
      </c>
      <c r="H41" s="27">
        <f t="shared" si="26"/>
        <v>553335</v>
      </c>
      <c r="I41" s="27">
        <f t="shared" si="26"/>
        <v>746002</v>
      </c>
      <c r="J41" s="27">
        <f t="shared" si="26"/>
        <v>856360</v>
      </c>
      <c r="K41" s="27">
        <f t="shared" si="26"/>
        <v>1027050.011</v>
      </c>
      <c r="L41" s="27">
        <f t="shared" si="26"/>
        <v>1225781.129</v>
      </c>
      <c r="M41" s="27">
        <f t="shared" si="26"/>
        <v>1458220.548</v>
      </c>
      <c r="N41" s="27">
        <f t="shared" si="26"/>
        <v>1731017.674</v>
      </c>
      <c r="O41" s="27">
        <f t="shared" si="26"/>
        <v>2051975.652</v>
      </c>
      <c r="P41" s="27">
        <f t="shared" si="26"/>
        <v>2430253.003</v>
      </c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ht="15.75" customHeight="1">
      <c r="A42" s="1" t="s">
        <v>32</v>
      </c>
      <c r="B42" s="22">
        <v>1510.0</v>
      </c>
      <c r="C42" s="22">
        <v>1510.0</v>
      </c>
      <c r="D42" s="22">
        <v>1510.0</v>
      </c>
      <c r="E42" s="22">
        <v>1510.0</v>
      </c>
      <c r="F42" s="22">
        <v>1510.0</v>
      </c>
      <c r="G42" s="22">
        <v>1510.0</v>
      </c>
      <c r="H42" s="22">
        <v>1510.0</v>
      </c>
      <c r="I42" s="22">
        <v>1572.0</v>
      </c>
      <c r="J42" s="22">
        <v>1572.0</v>
      </c>
      <c r="K42" s="21">
        <f t="shared" ref="K42:P42" si="27">J42</f>
        <v>1572</v>
      </c>
      <c r="L42" s="21">
        <f t="shared" si="27"/>
        <v>1572</v>
      </c>
      <c r="M42" s="21">
        <f t="shared" si="27"/>
        <v>1572</v>
      </c>
      <c r="N42" s="21">
        <f t="shared" si="27"/>
        <v>1572</v>
      </c>
      <c r="O42" s="21">
        <f t="shared" si="27"/>
        <v>1572</v>
      </c>
      <c r="P42" s="21">
        <f t="shared" si="27"/>
        <v>1572</v>
      </c>
    </row>
    <row r="43" ht="15.75" customHeight="1">
      <c r="A43" s="1" t="s">
        <v>33</v>
      </c>
      <c r="B43" s="22">
        <v>0.0</v>
      </c>
      <c r="C43" s="22">
        <v>0.0</v>
      </c>
      <c r="D43" s="22">
        <v>0.0</v>
      </c>
      <c r="E43" s="22">
        <v>0.0</v>
      </c>
      <c r="F43" s="22">
        <v>0.0</v>
      </c>
      <c r="G43" s="22">
        <v>0.0</v>
      </c>
      <c r="H43" s="22">
        <v>0.0</v>
      </c>
      <c r="I43" s="22">
        <v>0.0</v>
      </c>
      <c r="J43" s="22">
        <v>0.0</v>
      </c>
      <c r="K43" s="143">
        <f t="shared" ref="K43:P43" si="28">J43</f>
        <v>0</v>
      </c>
      <c r="L43" s="143">
        <f t="shared" si="28"/>
        <v>0</v>
      </c>
      <c r="M43" s="143">
        <f t="shared" si="28"/>
        <v>0</v>
      </c>
      <c r="N43" s="143">
        <f t="shared" si="28"/>
        <v>0</v>
      </c>
      <c r="O43" s="143">
        <f t="shared" si="28"/>
        <v>0</v>
      </c>
      <c r="P43" s="143">
        <f t="shared" si="28"/>
        <v>0</v>
      </c>
    </row>
    <row r="44" ht="15.75" customHeight="1">
      <c r="A44" s="1" t="s">
        <v>34</v>
      </c>
      <c r="B44" s="22">
        <v>0.0</v>
      </c>
      <c r="C44" s="22">
        <v>0.0</v>
      </c>
      <c r="D44" s="22">
        <v>0.0</v>
      </c>
      <c r="E44" s="22">
        <v>0.0</v>
      </c>
      <c r="F44" s="22">
        <v>0.0</v>
      </c>
      <c r="G44" s="22">
        <v>0.0</v>
      </c>
      <c r="H44" s="22">
        <v>0.0</v>
      </c>
      <c r="I44" s="22">
        <v>0.0</v>
      </c>
      <c r="J44" s="22">
        <v>0.0</v>
      </c>
      <c r="K44" s="143">
        <f t="shared" ref="K44:P44" si="29">J44</f>
        <v>0</v>
      </c>
      <c r="L44" s="143">
        <f t="shared" si="29"/>
        <v>0</v>
      </c>
      <c r="M44" s="143">
        <f t="shared" si="29"/>
        <v>0</v>
      </c>
      <c r="N44" s="143">
        <f t="shared" si="29"/>
        <v>0</v>
      </c>
      <c r="O44" s="143">
        <f t="shared" si="29"/>
        <v>0</v>
      </c>
      <c r="P44" s="143">
        <f t="shared" si="29"/>
        <v>0</v>
      </c>
    </row>
    <row r="45" ht="15.75" customHeight="1">
      <c r="A45" s="161" t="s">
        <v>193</v>
      </c>
      <c r="B45" s="22">
        <v>304650.0</v>
      </c>
      <c r="C45" s="22">
        <v>369241.0</v>
      </c>
      <c r="D45" s="22">
        <v>424084.0</v>
      </c>
      <c r="E45" s="22">
        <v>469411.0</v>
      </c>
      <c r="F45" s="22">
        <v>492620.0</v>
      </c>
      <c r="G45" s="22">
        <v>523496.0</v>
      </c>
      <c r="H45" s="22">
        <v>551825.0</v>
      </c>
      <c r="I45" s="22">
        <v>744430.0</v>
      </c>
      <c r="J45" s="22">
        <v>854788.0</v>
      </c>
      <c r="K45" s="19">
        <f t="shared" ref="K45:P45" si="30">J45+K36</f>
        <v>1025478.011</v>
      </c>
      <c r="L45" s="19">
        <f t="shared" si="30"/>
        <v>1224209.129</v>
      </c>
      <c r="M45" s="19">
        <f t="shared" si="30"/>
        <v>1456648.548</v>
      </c>
      <c r="N45" s="19">
        <f t="shared" si="30"/>
        <v>1729445.674</v>
      </c>
      <c r="O45" s="19">
        <f t="shared" si="30"/>
        <v>2050403.652</v>
      </c>
      <c r="P45" s="19">
        <f t="shared" si="30"/>
        <v>2428681.003</v>
      </c>
    </row>
    <row r="46" ht="15.75" customHeight="1">
      <c r="A46" s="7" t="s">
        <v>35</v>
      </c>
      <c r="B46" s="22">
        <v>144.0</v>
      </c>
      <c r="C46" s="22">
        <v>154.0</v>
      </c>
      <c r="D46" s="22">
        <v>161.0</v>
      </c>
      <c r="E46" s="22">
        <v>176.0</v>
      </c>
      <c r="F46" s="22">
        <v>192.0</v>
      </c>
      <c r="G46" s="22">
        <v>0.0</v>
      </c>
      <c r="H46" s="22">
        <v>0.0</v>
      </c>
      <c r="I46" s="22">
        <v>0.0</v>
      </c>
      <c r="J46" s="22">
        <v>0.0</v>
      </c>
      <c r="K46" s="21">
        <f t="shared" ref="K46:P46" si="31">J46</f>
        <v>0</v>
      </c>
      <c r="L46" s="21">
        <f t="shared" si="31"/>
        <v>0</v>
      </c>
      <c r="M46" s="21">
        <f t="shared" si="31"/>
        <v>0</v>
      </c>
      <c r="N46" s="21">
        <f t="shared" si="31"/>
        <v>0</v>
      </c>
      <c r="O46" s="21">
        <f t="shared" si="31"/>
        <v>0</v>
      </c>
      <c r="P46" s="21">
        <f t="shared" si="31"/>
        <v>0</v>
      </c>
    </row>
    <row r="47" ht="15.75" customHeight="1">
      <c r="A47" s="7" t="s">
        <v>36</v>
      </c>
      <c r="B47" s="22">
        <v>0.0</v>
      </c>
      <c r="C47" s="22">
        <v>0.0</v>
      </c>
      <c r="D47" s="22">
        <v>0.0</v>
      </c>
      <c r="E47" s="22">
        <v>0.0</v>
      </c>
      <c r="F47" s="22">
        <v>0.0</v>
      </c>
      <c r="G47" s="22">
        <v>0.0</v>
      </c>
      <c r="H47" s="22">
        <v>0.0</v>
      </c>
      <c r="I47" s="22">
        <v>0.0</v>
      </c>
      <c r="J47" s="22">
        <v>0.0</v>
      </c>
      <c r="K47" s="21">
        <f t="shared" ref="K47:P47" si="32">J47</f>
        <v>0</v>
      </c>
      <c r="L47" s="21">
        <f t="shared" si="32"/>
        <v>0</v>
      </c>
      <c r="M47" s="21">
        <f t="shared" si="32"/>
        <v>0</v>
      </c>
      <c r="N47" s="21">
        <f t="shared" si="32"/>
        <v>0</v>
      </c>
      <c r="O47" s="21">
        <f t="shared" si="32"/>
        <v>0</v>
      </c>
      <c r="P47" s="21">
        <f t="shared" si="32"/>
        <v>0</v>
      </c>
    </row>
    <row r="48" ht="15.75" customHeight="1">
      <c r="A48" s="7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</row>
    <row r="49" ht="15.75" customHeight="1">
      <c r="A49" s="4" t="s">
        <v>37</v>
      </c>
      <c r="B49" s="27">
        <f t="shared" ref="B49:P49" si="33">sum(B50:B53)</f>
        <v>10510</v>
      </c>
      <c r="C49" s="27">
        <f t="shared" si="33"/>
        <v>16332</v>
      </c>
      <c r="D49" s="27">
        <f t="shared" si="33"/>
        <v>22244</v>
      </c>
      <c r="E49" s="27">
        <f t="shared" si="33"/>
        <v>26985</v>
      </c>
      <c r="F49" s="27">
        <f t="shared" si="33"/>
        <v>28901</v>
      </c>
      <c r="G49" s="27">
        <f t="shared" si="33"/>
        <v>26616</v>
      </c>
      <c r="H49" s="27">
        <f t="shared" si="33"/>
        <v>22985</v>
      </c>
      <c r="I49" s="27">
        <f t="shared" si="33"/>
        <v>30185</v>
      </c>
      <c r="J49" s="27">
        <f t="shared" si="33"/>
        <v>37630</v>
      </c>
      <c r="K49" s="27">
        <f t="shared" si="33"/>
        <v>37630</v>
      </c>
      <c r="L49" s="27">
        <f t="shared" si="33"/>
        <v>37630</v>
      </c>
      <c r="M49" s="27">
        <f t="shared" si="33"/>
        <v>37630</v>
      </c>
      <c r="N49" s="27">
        <f t="shared" si="33"/>
        <v>37630</v>
      </c>
      <c r="O49" s="27">
        <f t="shared" si="33"/>
        <v>37630</v>
      </c>
      <c r="P49" s="27">
        <f t="shared" si="33"/>
        <v>37630</v>
      </c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ht="15.75" customHeight="1">
      <c r="A50" s="29" t="s">
        <v>194</v>
      </c>
      <c r="B50" s="22">
        <v>0.0</v>
      </c>
      <c r="C50" s="22">
        <v>0.0</v>
      </c>
      <c r="D50" s="22">
        <v>100.0</v>
      </c>
      <c r="E50" s="22">
        <v>80.0</v>
      </c>
      <c r="F50" s="19">
        <f>54+598</f>
        <v>652</v>
      </c>
      <c r="G50" s="19">
        <f>28+392</f>
        <v>420</v>
      </c>
      <c r="H50" s="22">
        <v>329.0</v>
      </c>
      <c r="I50" s="22">
        <v>250.0</v>
      </c>
      <c r="J50" s="22">
        <v>677.0</v>
      </c>
      <c r="K50" s="21">
        <f t="shared" ref="K50:P50" si="34">J50</f>
        <v>677</v>
      </c>
      <c r="L50" s="21">
        <f t="shared" si="34"/>
        <v>677</v>
      </c>
      <c r="M50" s="21">
        <f t="shared" si="34"/>
        <v>677</v>
      </c>
      <c r="N50" s="21">
        <f t="shared" si="34"/>
        <v>677</v>
      </c>
      <c r="O50" s="21">
        <f t="shared" si="34"/>
        <v>677</v>
      </c>
      <c r="P50" s="21">
        <f t="shared" si="34"/>
        <v>677</v>
      </c>
    </row>
    <row r="51" ht="15.75" customHeight="1">
      <c r="A51" s="1" t="s">
        <v>39</v>
      </c>
      <c r="B51" s="22">
        <v>8075.0</v>
      </c>
      <c r="C51" s="22">
        <v>11055.0</v>
      </c>
      <c r="D51" s="22">
        <v>15859.0</v>
      </c>
      <c r="E51" s="22">
        <v>20371.0</v>
      </c>
      <c r="F51" s="22">
        <v>21158.0</v>
      </c>
      <c r="G51" s="22">
        <v>21295.0</v>
      </c>
      <c r="H51" s="22">
        <v>21812.0</v>
      </c>
      <c r="I51" s="22">
        <v>25850.0</v>
      </c>
      <c r="J51" s="22">
        <v>31617.0</v>
      </c>
      <c r="K51" s="21">
        <f t="shared" ref="K51:P51" si="35">J51</f>
        <v>31617</v>
      </c>
      <c r="L51" s="21">
        <f t="shared" si="35"/>
        <v>31617</v>
      </c>
      <c r="M51" s="21">
        <f t="shared" si="35"/>
        <v>31617</v>
      </c>
      <c r="N51" s="21">
        <f t="shared" si="35"/>
        <v>31617</v>
      </c>
      <c r="O51" s="21">
        <f t="shared" si="35"/>
        <v>31617</v>
      </c>
      <c r="P51" s="21">
        <f t="shared" si="35"/>
        <v>31617</v>
      </c>
    </row>
    <row r="52" ht="15.75" customHeight="1">
      <c r="A52" s="1" t="s">
        <v>40</v>
      </c>
      <c r="B52" s="22">
        <v>148.0</v>
      </c>
      <c r="C52" s="22">
        <v>219.0</v>
      </c>
      <c r="D52" s="22">
        <v>265.0</v>
      </c>
      <c r="E52" s="22">
        <v>395.0</v>
      </c>
      <c r="F52" s="22">
        <v>516.0</v>
      </c>
      <c r="G52" s="22">
        <v>447.0</v>
      </c>
      <c r="H52" s="22">
        <v>844.0</v>
      </c>
      <c r="I52" s="22">
        <v>875.0</v>
      </c>
      <c r="J52" s="22">
        <v>1448.0</v>
      </c>
      <c r="K52" s="21">
        <f t="shared" ref="K52:P52" si="36">J52</f>
        <v>1448</v>
      </c>
      <c r="L52" s="21">
        <f t="shared" si="36"/>
        <v>1448</v>
      </c>
      <c r="M52" s="21">
        <f t="shared" si="36"/>
        <v>1448</v>
      </c>
      <c r="N52" s="21">
        <f t="shared" si="36"/>
        <v>1448</v>
      </c>
      <c r="O52" s="21">
        <f t="shared" si="36"/>
        <v>1448</v>
      </c>
      <c r="P52" s="21">
        <f t="shared" si="36"/>
        <v>1448</v>
      </c>
    </row>
    <row r="53" ht="15.75" customHeight="1">
      <c r="A53" s="1" t="s">
        <v>41</v>
      </c>
      <c r="B53" s="22">
        <v>2287.0</v>
      </c>
      <c r="C53" s="22">
        <v>5058.0</v>
      </c>
      <c r="D53" s="22">
        <v>6020.0</v>
      </c>
      <c r="E53" s="22">
        <v>6139.0</v>
      </c>
      <c r="F53" s="22">
        <v>6575.0</v>
      </c>
      <c r="G53" s="22">
        <v>4454.0</v>
      </c>
      <c r="H53" s="22">
        <v>0.0</v>
      </c>
      <c r="I53" s="22">
        <v>3210.0</v>
      </c>
      <c r="J53" s="22">
        <v>3888.0</v>
      </c>
      <c r="K53" s="21">
        <f t="shared" ref="K53:P53" si="37">J53</f>
        <v>3888</v>
      </c>
      <c r="L53" s="21">
        <f t="shared" si="37"/>
        <v>3888</v>
      </c>
      <c r="M53" s="21">
        <f t="shared" si="37"/>
        <v>3888</v>
      </c>
      <c r="N53" s="21">
        <f t="shared" si="37"/>
        <v>3888</v>
      </c>
      <c r="O53" s="21">
        <f t="shared" si="37"/>
        <v>3888</v>
      </c>
      <c r="P53" s="21">
        <f t="shared" si="37"/>
        <v>3888</v>
      </c>
    </row>
    <row r="54" ht="15.75" customHeight="1">
      <c r="A54" s="7"/>
    </row>
    <row r="55" ht="15.75" customHeight="1">
      <c r="A55" s="18" t="s">
        <v>42</v>
      </c>
      <c r="B55" s="27">
        <f t="shared" ref="B55:P55" si="38">sum(B56:B61)</f>
        <v>110441</v>
      </c>
      <c r="C55" s="27">
        <f t="shared" si="38"/>
        <v>132368</v>
      </c>
      <c r="D55" s="27">
        <f t="shared" si="38"/>
        <v>154485</v>
      </c>
      <c r="E55" s="34">
        <f t="shared" si="38"/>
        <v>141605</v>
      </c>
      <c r="F55" s="34">
        <f t="shared" si="38"/>
        <v>113054</v>
      </c>
      <c r="G55" s="34">
        <f t="shared" si="38"/>
        <v>162139</v>
      </c>
      <c r="H55" s="34">
        <f t="shared" si="38"/>
        <v>170235</v>
      </c>
      <c r="I55" s="34">
        <f t="shared" si="38"/>
        <v>227667</v>
      </c>
      <c r="J55" s="34">
        <f t="shared" si="38"/>
        <v>259518</v>
      </c>
      <c r="K55" s="27">
        <f t="shared" si="38"/>
        <v>333413.6646</v>
      </c>
      <c r="L55" s="27">
        <f t="shared" si="38"/>
        <v>389551.2984</v>
      </c>
      <c r="M55" s="27">
        <f t="shared" si="38"/>
        <v>455305.9924</v>
      </c>
      <c r="N55" s="27">
        <f t="shared" si="38"/>
        <v>532344.524</v>
      </c>
      <c r="O55" s="27">
        <f t="shared" si="38"/>
        <v>622624.7559</v>
      </c>
      <c r="P55" s="27">
        <f t="shared" si="38"/>
        <v>728446.7217</v>
      </c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ht="15.75" customHeight="1">
      <c r="A56" s="1" t="s">
        <v>43</v>
      </c>
      <c r="B56" s="22">
        <v>7956.0</v>
      </c>
      <c r="C56" s="22">
        <v>8036.0</v>
      </c>
      <c r="D56" s="22">
        <v>8541.0</v>
      </c>
      <c r="E56" s="15">
        <v>6729.0</v>
      </c>
      <c r="F56" s="15">
        <v>6962.0</v>
      </c>
      <c r="G56" s="15">
        <v>8547.0</v>
      </c>
      <c r="H56" s="15">
        <v>11113.0</v>
      </c>
      <c r="I56" s="15">
        <v>11584.0</v>
      </c>
      <c r="J56" s="15">
        <v>12030.0</v>
      </c>
      <c r="K56" s="19">
        <f t="shared" ref="K56:P56" si="39">K143</f>
        <v>17456.21281</v>
      </c>
      <c r="L56" s="19">
        <f t="shared" si="39"/>
        <v>20395.35594</v>
      </c>
      <c r="M56" s="19">
        <f t="shared" si="39"/>
        <v>23838.01008</v>
      </c>
      <c r="N56" s="19">
        <f t="shared" si="39"/>
        <v>27871.44105</v>
      </c>
      <c r="O56" s="19">
        <f t="shared" si="39"/>
        <v>32598.15476</v>
      </c>
      <c r="P56" s="19">
        <f t="shared" si="39"/>
        <v>38138.57181</v>
      </c>
    </row>
    <row r="57" ht="15.75" customHeight="1">
      <c r="A57" s="1" t="s">
        <v>44</v>
      </c>
      <c r="B57" s="22">
        <v>774.0</v>
      </c>
      <c r="C57" s="22">
        <v>4838.0</v>
      </c>
      <c r="D57" s="22">
        <v>1108.0</v>
      </c>
      <c r="E57" s="15">
        <v>1496.0</v>
      </c>
      <c r="F57" s="15">
        <v>1063.0</v>
      </c>
      <c r="G57" s="15">
        <v>4888.0</v>
      </c>
      <c r="H57" s="15">
        <v>3819.0</v>
      </c>
      <c r="I57" s="15">
        <v>22900.0</v>
      </c>
      <c r="J57" s="15">
        <v>22237.0</v>
      </c>
      <c r="K57" s="19">
        <f t="shared" ref="K57:P57" si="40">K144</f>
        <v>1745.621281</v>
      </c>
      <c r="L57" s="19">
        <f t="shared" si="40"/>
        <v>2039.535594</v>
      </c>
      <c r="M57" s="19">
        <f t="shared" si="40"/>
        <v>2383.801008</v>
      </c>
      <c r="N57" s="19">
        <f t="shared" si="40"/>
        <v>2787.144105</v>
      </c>
      <c r="O57" s="19">
        <f t="shared" si="40"/>
        <v>3259.815476</v>
      </c>
      <c r="P57" s="19">
        <f t="shared" si="40"/>
        <v>3813.857181</v>
      </c>
    </row>
    <row r="58" ht="15.75" customHeight="1">
      <c r="A58" s="1" t="s">
        <v>45</v>
      </c>
      <c r="B58" s="22">
        <v>74089.0</v>
      </c>
      <c r="C58" s="22">
        <v>83692.0</v>
      </c>
      <c r="D58" s="22">
        <v>104993.0</v>
      </c>
      <c r="E58" s="44">
        <f>682+95695</f>
        <v>96377</v>
      </c>
      <c r="F58" s="44">
        <f>74507+481</f>
        <v>74988</v>
      </c>
      <c r="G58" s="44">
        <f>698+100983</f>
        <v>101681</v>
      </c>
      <c r="H58" s="44">
        <f>1087+96565</f>
        <v>97652</v>
      </c>
      <c r="I58" s="44">
        <f>1947+134808</f>
        <v>136755</v>
      </c>
      <c r="J58" s="44">
        <f>2070+167814</f>
        <v>169884</v>
      </c>
      <c r="K58" s="19">
        <f t="shared" ref="K58:P58" si="41">K145</f>
        <v>209474.5537</v>
      </c>
      <c r="L58" s="19">
        <f t="shared" si="41"/>
        <v>244744.2712</v>
      </c>
      <c r="M58" s="19">
        <f t="shared" si="41"/>
        <v>286056.1209</v>
      </c>
      <c r="N58" s="19">
        <f t="shared" si="41"/>
        <v>334457.2926</v>
      </c>
      <c r="O58" s="19">
        <f t="shared" si="41"/>
        <v>391177.8571</v>
      </c>
      <c r="P58" s="19">
        <f t="shared" si="41"/>
        <v>457662.8618</v>
      </c>
    </row>
    <row r="59" ht="15.75" customHeight="1">
      <c r="A59" s="1" t="s">
        <v>46</v>
      </c>
      <c r="B59" s="22">
        <v>11650.0</v>
      </c>
      <c r="C59" s="22">
        <v>18278.0</v>
      </c>
      <c r="D59" s="22">
        <v>20896.0</v>
      </c>
      <c r="E59" s="15">
        <v>16329.0</v>
      </c>
      <c r="F59" s="15">
        <v>14091.0</v>
      </c>
      <c r="G59" s="15">
        <v>26801.0</v>
      </c>
      <c r="H59" s="15">
        <v>28686.0</v>
      </c>
      <c r="I59" s="15">
        <v>33372.0</v>
      </c>
      <c r="J59" s="15">
        <v>41739.0</v>
      </c>
      <c r="K59" s="19">
        <f t="shared" ref="K59:P59" si="42">K146</f>
        <v>52368.63842</v>
      </c>
      <c r="L59" s="19">
        <f t="shared" si="42"/>
        <v>61186.06781</v>
      </c>
      <c r="M59" s="19">
        <f t="shared" si="42"/>
        <v>71514.03023</v>
      </c>
      <c r="N59" s="19">
        <f t="shared" si="42"/>
        <v>83614.32315</v>
      </c>
      <c r="O59" s="19">
        <f t="shared" si="42"/>
        <v>97794.46428</v>
      </c>
      <c r="P59" s="19">
        <f t="shared" si="42"/>
        <v>114415.7154</v>
      </c>
    </row>
    <row r="60" ht="15.75" customHeight="1">
      <c r="A60" s="1" t="s">
        <v>47</v>
      </c>
      <c r="B60" s="22">
        <v>3994.0</v>
      </c>
      <c r="C60" s="22">
        <v>4496.0</v>
      </c>
      <c r="D60" s="22">
        <v>5609.0</v>
      </c>
      <c r="E60" s="15">
        <v>6254.0</v>
      </c>
      <c r="F60" s="15">
        <v>6807.0</v>
      </c>
      <c r="G60" s="15">
        <v>7428.0</v>
      </c>
      <c r="H60" s="15">
        <v>8613.0</v>
      </c>
      <c r="I60" s="15">
        <v>10830.0</v>
      </c>
      <c r="J60" s="15">
        <v>13119.0</v>
      </c>
      <c r="K60" s="19">
        <f t="shared" ref="K60:P60" si="43">K147</f>
        <v>17456.21281</v>
      </c>
      <c r="L60" s="19">
        <f t="shared" si="43"/>
        <v>20395.35594</v>
      </c>
      <c r="M60" s="19">
        <f t="shared" si="43"/>
        <v>23838.01008</v>
      </c>
      <c r="N60" s="19">
        <f t="shared" si="43"/>
        <v>27871.44105</v>
      </c>
      <c r="O60" s="19">
        <f t="shared" si="43"/>
        <v>32598.15476</v>
      </c>
      <c r="P60" s="19">
        <f t="shared" si="43"/>
        <v>38138.57181</v>
      </c>
    </row>
    <row r="61" ht="15.75" customHeight="1">
      <c r="A61" s="1" t="s">
        <v>48</v>
      </c>
      <c r="B61" s="22">
        <v>11978.0</v>
      </c>
      <c r="C61" s="22">
        <v>13028.0</v>
      </c>
      <c r="D61" s="22">
        <v>13338.0</v>
      </c>
      <c r="E61" s="15">
        <v>14420.0</v>
      </c>
      <c r="F61" s="15">
        <f>9040+103</f>
        <v>9143</v>
      </c>
      <c r="G61" s="44">
        <f>74+12720</f>
        <v>12794</v>
      </c>
      <c r="H61" s="44">
        <f>80+20272</f>
        <v>20352</v>
      </c>
      <c r="I61" s="44">
        <f>12158+68</f>
        <v>12226</v>
      </c>
      <c r="J61" s="44">
        <f>331+178</f>
        <v>509</v>
      </c>
      <c r="K61" s="19">
        <f t="shared" ref="K61:P61" si="44">K148</f>
        <v>34912.42561</v>
      </c>
      <c r="L61" s="19">
        <f t="shared" si="44"/>
        <v>40790.71187</v>
      </c>
      <c r="M61" s="19">
        <f t="shared" si="44"/>
        <v>47676.02015</v>
      </c>
      <c r="N61" s="19">
        <f t="shared" si="44"/>
        <v>55742.8821</v>
      </c>
      <c r="O61" s="19">
        <f t="shared" si="44"/>
        <v>65196.30952</v>
      </c>
      <c r="P61" s="19">
        <f t="shared" si="44"/>
        <v>76277.14363</v>
      </c>
    </row>
    <row r="62" ht="15.75" customHeight="1">
      <c r="A62" s="8" t="s">
        <v>49</v>
      </c>
      <c r="B62" s="30">
        <f t="shared" ref="B62:P62" si="45">B41+B49+B55</f>
        <v>427255</v>
      </c>
      <c r="C62" s="30">
        <f t="shared" si="45"/>
        <v>519605</v>
      </c>
      <c r="D62" s="30">
        <f t="shared" si="45"/>
        <v>602484</v>
      </c>
      <c r="E62" s="30">
        <f t="shared" si="45"/>
        <v>639687</v>
      </c>
      <c r="F62" s="30">
        <f t="shared" si="45"/>
        <v>636277</v>
      </c>
      <c r="G62" s="30">
        <f t="shared" si="45"/>
        <v>713761</v>
      </c>
      <c r="H62" s="30">
        <f t="shared" si="45"/>
        <v>746555</v>
      </c>
      <c r="I62" s="30">
        <f t="shared" si="45"/>
        <v>1003854</v>
      </c>
      <c r="J62" s="30">
        <f t="shared" si="45"/>
        <v>1153508</v>
      </c>
      <c r="K62" s="30">
        <f t="shared" si="45"/>
        <v>1398093.676</v>
      </c>
      <c r="L62" s="30">
        <f t="shared" si="45"/>
        <v>1652962.427</v>
      </c>
      <c r="M62" s="30">
        <f t="shared" si="45"/>
        <v>1951156.541</v>
      </c>
      <c r="N62" s="30">
        <f t="shared" si="45"/>
        <v>2300992.198</v>
      </c>
      <c r="O62" s="30">
        <f t="shared" si="45"/>
        <v>2712230.408</v>
      </c>
      <c r="P62" s="30">
        <f t="shared" si="45"/>
        <v>3196329.724</v>
      </c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ht="15.75" customHeight="1">
      <c r="A63" s="7"/>
    </row>
    <row r="64" ht="15.75" customHeight="1">
      <c r="A64" s="7"/>
    </row>
    <row r="65" ht="15.75" customHeight="1">
      <c r="A65" s="4" t="s">
        <v>50</v>
      </c>
    </row>
    <row r="66" ht="15.75" customHeight="1">
      <c r="A66" s="7"/>
    </row>
    <row r="67" ht="15.75" customHeight="1">
      <c r="A67" s="18" t="s">
        <v>51</v>
      </c>
      <c r="B67" s="72">
        <f t="shared" ref="B67:P67" si="46">sum(B68:B79)</f>
        <v>347744</v>
      </c>
      <c r="C67" s="72">
        <f t="shared" si="46"/>
        <v>431625</v>
      </c>
      <c r="D67" s="72">
        <f t="shared" si="46"/>
        <v>523184</v>
      </c>
      <c r="E67" s="72">
        <f t="shared" si="46"/>
        <v>515960</v>
      </c>
      <c r="F67" s="72">
        <f t="shared" si="46"/>
        <v>551871</v>
      </c>
      <c r="G67" s="72">
        <f t="shared" si="46"/>
        <v>532791</v>
      </c>
      <c r="H67" s="72">
        <f t="shared" si="46"/>
        <v>578621</v>
      </c>
      <c r="I67" s="72">
        <f t="shared" si="46"/>
        <v>847162</v>
      </c>
      <c r="J67" s="72">
        <f t="shared" si="46"/>
        <v>927170</v>
      </c>
      <c r="K67" s="72">
        <f t="shared" si="46"/>
        <v>966528</v>
      </c>
      <c r="L67" s="72">
        <f t="shared" si="46"/>
        <v>1007328</v>
      </c>
      <c r="M67" s="72">
        <f t="shared" si="46"/>
        <v>1048128</v>
      </c>
      <c r="N67" s="72">
        <f t="shared" si="46"/>
        <v>1088928</v>
      </c>
      <c r="O67" s="72">
        <f t="shared" si="46"/>
        <v>1129728</v>
      </c>
      <c r="P67" s="72">
        <f t="shared" si="46"/>
        <v>1170528</v>
      </c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ht="15.75" customHeight="1">
      <c r="A68" s="28" t="s">
        <v>111</v>
      </c>
      <c r="B68" s="164">
        <v>121827.0</v>
      </c>
      <c r="C68" s="164">
        <v>129377.0</v>
      </c>
      <c r="D68" s="164">
        <v>130771.0</v>
      </c>
      <c r="E68" s="164">
        <v>149862.0</v>
      </c>
      <c r="F68" s="164">
        <v>147905.0</v>
      </c>
      <c r="G68" s="164">
        <v>141785.0</v>
      </c>
      <c r="H68" s="164">
        <v>128261.0</v>
      </c>
      <c r="I68" s="164">
        <v>268028.0</v>
      </c>
      <c r="J68" s="164">
        <v>267982.0</v>
      </c>
      <c r="K68" s="51">
        <f t="shared" ref="K68:P68" si="47">sum(J68:J72,K183)-K185</f>
        <v>395354</v>
      </c>
      <c r="L68" s="51">
        <f t="shared" si="47"/>
        <v>436154</v>
      </c>
      <c r="M68" s="51">
        <f t="shared" si="47"/>
        <v>476954</v>
      </c>
      <c r="N68" s="51">
        <f t="shared" si="47"/>
        <v>517754</v>
      </c>
      <c r="O68" s="51">
        <f t="shared" si="47"/>
        <v>558554</v>
      </c>
      <c r="P68" s="51">
        <f t="shared" si="47"/>
        <v>599354</v>
      </c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 ht="15.75" customHeight="1">
      <c r="A69" s="16" t="s">
        <v>53</v>
      </c>
      <c r="B69" s="164">
        <v>3469.0</v>
      </c>
      <c r="C69" s="164">
        <v>3730.0</v>
      </c>
      <c r="D69" s="164">
        <v>3117.0</v>
      </c>
      <c r="E69" s="164">
        <v>4511.0</v>
      </c>
      <c r="F69" s="164">
        <v>4067.0</v>
      </c>
      <c r="G69" s="164">
        <v>2242.0</v>
      </c>
      <c r="H69" s="164">
        <v>3499.0</v>
      </c>
      <c r="I69" s="164">
        <v>5479.0</v>
      </c>
      <c r="J69" s="164">
        <v>4537.0</v>
      </c>
      <c r="K69" s="165"/>
      <c r="L69" s="165"/>
      <c r="M69" s="165"/>
      <c r="N69" s="165"/>
      <c r="O69" s="165"/>
      <c r="P69" s="165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 ht="15.75" customHeight="1">
      <c r="A70" s="16" t="s">
        <v>54</v>
      </c>
      <c r="B70" s="164">
        <v>10069.0</v>
      </c>
      <c r="C70" s="164">
        <v>12523.0</v>
      </c>
      <c r="D70" s="164">
        <v>21321.0</v>
      </c>
      <c r="E70" s="164">
        <v>16069.0</v>
      </c>
      <c r="F70" s="164">
        <v>13443.0</v>
      </c>
      <c r="G70" s="164">
        <v>11993.0</v>
      </c>
      <c r="H70" s="164">
        <v>26462.0</v>
      </c>
      <c r="I70" s="164">
        <v>40541.0</v>
      </c>
      <c r="J70" s="164">
        <v>75043.0</v>
      </c>
      <c r="K70" s="165"/>
      <c r="L70" s="165"/>
      <c r="M70" s="165"/>
      <c r="N70" s="165"/>
      <c r="O70" s="165"/>
      <c r="P70" s="165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 ht="15.75" customHeight="1">
      <c r="A71" s="16" t="s">
        <v>55</v>
      </c>
      <c r="B71" s="164">
        <v>0.0</v>
      </c>
      <c r="C71" s="164">
        <v>0.0</v>
      </c>
      <c r="D71" s="164">
        <v>0.0</v>
      </c>
      <c r="E71" s="164">
        <v>0.0</v>
      </c>
      <c r="F71" s="164">
        <v>0.0</v>
      </c>
      <c r="G71" s="164">
        <v>2975.0</v>
      </c>
      <c r="H71" s="164">
        <v>2903.0</v>
      </c>
      <c r="I71" s="164">
        <v>889.0</v>
      </c>
      <c r="J71" s="164">
        <v>2305.0</v>
      </c>
      <c r="K71" s="165"/>
      <c r="L71" s="165"/>
      <c r="M71" s="165"/>
      <c r="N71" s="165"/>
      <c r="O71" s="165"/>
      <c r="P71" s="165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 ht="15.75" customHeight="1">
      <c r="A72" s="16" t="s">
        <v>195</v>
      </c>
      <c r="B72" s="164">
        <v>0.0</v>
      </c>
      <c r="C72" s="164">
        <v>0.0</v>
      </c>
      <c r="D72" s="164">
        <v>0.0</v>
      </c>
      <c r="E72" s="164">
        <v>0.0</v>
      </c>
      <c r="F72" s="164">
        <v>6181.0</v>
      </c>
      <c r="G72" s="164">
        <v>5860.0</v>
      </c>
      <c r="H72" s="164">
        <v>5712.0</v>
      </c>
      <c r="I72" s="164">
        <v>5907.0</v>
      </c>
      <c r="J72" s="22">
        <v>6129.0</v>
      </c>
      <c r="K72" s="165"/>
      <c r="L72" s="165"/>
      <c r="M72" s="165"/>
      <c r="N72" s="165"/>
      <c r="O72" s="165"/>
      <c r="P72" s="165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 ht="15.75" customHeight="1">
      <c r="A73" s="1" t="s">
        <v>56</v>
      </c>
      <c r="B73" s="164">
        <v>195345.0</v>
      </c>
      <c r="C73" s="164">
        <v>269718.0</v>
      </c>
      <c r="D73" s="164">
        <v>349058.0</v>
      </c>
      <c r="E73" s="164">
        <v>324581.0</v>
      </c>
      <c r="F73" s="164">
        <v>362692.0</v>
      </c>
      <c r="G73" s="164">
        <v>345291.0</v>
      </c>
      <c r="H73" s="164">
        <v>379346.0</v>
      </c>
      <c r="I73" s="22">
        <v>491843.0</v>
      </c>
      <c r="J73" s="164">
        <v>533838.0</v>
      </c>
      <c r="K73" s="166">
        <f t="shared" ref="K73:P73" si="48">J73</f>
        <v>533838</v>
      </c>
      <c r="L73" s="166">
        <f t="shared" si="48"/>
        <v>533838</v>
      </c>
      <c r="M73" s="166">
        <f t="shared" si="48"/>
        <v>533838</v>
      </c>
      <c r="N73" s="166">
        <f t="shared" si="48"/>
        <v>533838</v>
      </c>
      <c r="O73" s="166">
        <f t="shared" si="48"/>
        <v>533838</v>
      </c>
      <c r="P73" s="166">
        <f t="shared" si="48"/>
        <v>533838</v>
      </c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 ht="15.75" customHeight="1">
      <c r="A74" s="1" t="s">
        <v>57</v>
      </c>
      <c r="B74" s="164">
        <v>234.0</v>
      </c>
      <c r="C74" s="164">
        <v>241.0</v>
      </c>
      <c r="D74" s="164">
        <v>328.0</v>
      </c>
      <c r="E74" s="164">
        <v>344.0</v>
      </c>
      <c r="F74" s="164">
        <v>365.0</v>
      </c>
      <c r="G74" s="164">
        <v>369.0</v>
      </c>
      <c r="H74" s="164">
        <v>375.0</v>
      </c>
      <c r="I74" s="164">
        <v>2398.0</v>
      </c>
      <c r="J74" s="164">
        <v>2981.0</v>
      </c>
      <c r="K74" s="166">
        <f t="shared" ref="K74:P74" si="49">J74</f>
        <v>2981</v>
      </c>
      <c r="L74" s="166">
        <f t="shared" si="49"/>
        <v>2981</v>
      </c>
      <c r="M74" s="166">
        <f t="shared" si="49"/>
        <v>2981</v>
      </c>
      <c r="N74" s="166">
        <f t="shared" si="49"/>
        <v>2981</v>
      </c>
      <c r="O74" s="166">
        <f t="shared" si="49"/>
        <v>2981</v>
      </c>
      <c r="P74" s="166">
        <f t="shared" si="49"/>
        <v>2981</v>
      </c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 ht="15.75" customHeight="1">
      <c r="A75" s="1" t="s">
        <v>58</v>
      </c>
      <c r="B75" s="164">
        <v>4.0</v>
      </c>
      <c r="C75" s="164">
        <v>3.0</v>
      </c>
      <c r="D75" s="164">
        <v>2.0</v>
      </c>
      <c r="E75" s="164">
        <v>2.0</v>
      </c>
      <c r="F75" s="164">
        <v>2.0</v>
      </c>
      <c r="G75" s="164">
        <v>2.0</v>
      </c>
      <c r="H75" s="164">
        <v>2.0</v>
      </c>
      <c r="I75" s="164">
        <v>2.0</v>
      </c>
      <c r="J75" s="164">
        <v>1.0</v>
      </c>
      <c r="K75" s="166">
        <f t="shared" ref="K75:P75" si="50">J75</f>
        <v>1</v>
      </c>
      <c r="L75" s="166">
        <f t="shared" si="50"/>
        <v>1</v>
      </c>
      <c r="M75" s="166">
        <f t="shared" si="50"/>
        <v>1</v>
      </c>
      <c r="N75" s="166">
        <f t="shared" si="50"/>
        <v>1</v>
      </c>
      <c r="O75" s="166">
        <f t="shared" si="50"/>
        <v>1</v>
      </c>
      <c r="P75" s="166">
        <f t="shared" si="50"/>
        <v>1</v>
      </c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 ht="15.75" customHeight="1">
      <c r="A76" s="1" t="s">
        <v>59</v>
      </c>
      <c r="B76" s="164">
        <v>16796.0</v>
      </c>
      <c r="C76" s="164">
        <v>16033.0</v>
      </c>
      <c r="D76" s="164">
        <v>18587.0</v>
      </c>
      <c r="E76" s="164">
        <v>20591.0</v>
      </c>
      <c r="F76" s="164">
        <v>17216.0</v>
      </c>
      <c r="G76" s="164">
        <v>16867.0</v>
      </c>
      <c r="H76" s="164">
        <v>25204.0</v>
      </c>
      <c r="I76" s="164">
        <v>23226.0</v>
      </c>
      <c r="J76" s="164">
        <v>28049.0</v>
      </c>
      <c r="K76" s="166">
        <f t="shared" ref="K76:P76" si="51">J76</f>
        <v>28049</v>
      </c>
      <c r="L76" s="166">
        <f t="shared" si="51"/>
        <v>28049</v>
      </c>
      <c r="M76" s="166">
        <f t="shared" si="51"/>
        <v>28049</v>
      </c>
      <c r="N76" s="166">
        <f t="shared" si="51"/>
        <v>28049</v>
      </c>
      <c r="O76" s="166">
        <f t="shared" si="51"/>
        <v>28049</v>
      </c>
      <c r="P76" s="166">
        <f t="shared" si="51"/>
        <v>28049</v>
      </c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 ht="15.75" customHeight="1">
      <c r="A77" s="29" t="s">
        <v>196</v>
      </c>
      <c r="B77" s="164">
        <v>0.0</v>
      </c>
      <c r="C77" s="164">
        <v>0.0</v>
      </c>
      <c r="D77" s="164">
        <v>0.0</v>
      </c>
      <c r="E77" s="164">
        <v>0.0</v>
      </c>
      <c r="F77" s="164">
        <v>0.0</v>
      </c>
      <c r="G77" s="164">
        <v>5407.0</v>
      </c>
      <c r="H77" s="164">
        <v>5446.0</v>
      </c>
      <c r="I77" s="164">
        <v>6055.0</v>
      </c>
      <c r="J77" s="164">
        <v>5838.0</v>
      </c>
      <c r="K77" s="166">
        <f t="shared" ref="K77:P77" si="52">J77</f>
        <v>5838</v>
      </c>
      <c r="L77" s="166">
        <f t="shared" si="52"/>
        <v>5838</v>
      </c>
      <c r="M77" s="166">
        <f t="shared" si="52"/>
        <v>5838</v>
      </c>
      <c r="N77" s="166">
        <f t="shared" si="52"/>
        <v>5838</v>
      </c>
      <c r="O77" s="166">
        <f t="shared" si="52"/>
        <v>5838</v>
      </c>
      <c r="P77" s="166">
        <f t="shared" si="52"/>
        <v>5838</v>
      </c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 ht="15.75" customHeight="1">
      <c r="A78" s="29" t="s">
        <v>197</v>
      </c>
      <c r="B78" s="164">
        <v>0.0</v>
      </c>
      <c r="C78" s="164">
        <v>0.0</v>
      </c>
      <c r="D78" s="164">
        <v>0.0</v>
      </c>
      <c r="E78" s="164">
        <v>0.0</v>
      </c>
      <c r="F78" s="164">
        <v>0.0</v>
      </c>
      <c r="G78" s="164">
        <v>0.0</v>
      </c>
      <c r="H78" s="164">
        <v>1411.0</v>
      </c>
      <c r="I78" s="164">
        <v>2794.0</v>
      </c>
      <c r="J78" s="164">
        <v>467.0</v>
      </c>
      <c r="K78" s="166">
        <f t="shared" ref="K78:P78" si="53">J78</f>
        <v>467</v>
      </c>
      <c r="L78" s="166">
        <f t="shared" si="53"/>
        <v>467</v>
      </c>
      <c r="M78" s="166">
        <f t="shared" si="53"/>
        <v>467</v>
      </c>
      <c r="N78" s="166">
        <f t="shared" si="53"/>
        <v>467</v>
      </c>
      <c r="O78" s="166">
        <f t="shared" si="53"/>
        <v>467</v>
      </c>
      <c r="P78" s="166">
        <f t="shared" si="53"/>
        <v>467</v>
      </c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 ht="15.75" customHeight="1">
      <c r="A79" s="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 ht="15.75" customHeight="1">
      <c r="A80" s="18" t="s">
        <v>60</v>
      </c>
      <c r="B80" s="72">
        <f t="shared" ref="B80:P80" si="54">sum(B81:B89)</f>
        <v>79511</v>
      </c>
      <c r="C80" s="72">
        <f t="shared" si="54"/>
        <v>87980</v>
      </c>
      <c r="D80" s="72">
        <f t="shared" si="54"/>
        <v>79300</v>
      </c>
      <c r="E80" s="72">
        <f t="shared" si="54"/>
        <v>123727</v>
      </c>
      <c r="F80" s="72">
        <f t="shared" si="54"/>
        <v>84406</v>
      </c>
      <c r="G80" s="72">
        <f t="shared" si="54"/>
        <v>180970</v>
      </c>
      <c r="H80" s="72">
        <f t="shared" si="54"/>
        <v>167934</v>
      </c>
      <c r="I80" s="72">
        <f t="shared" si="54"/>
        <v>156692</v>
      </c>
      <c r="J80" s="72">
        <f t="shared" si="54"/>
        <v>226338</v>
      </c>
      <c r="K80" s="72">
        <f t="shared" si="54"/>
        <v>431565.676</v>
      </c>
      <c r="L80" s="72">
        <f t="shared" si="54"/>
        <v>645634.4271</v>
      </c>
      <c r="M80" s="72">
        <f t="shared" si="54"/>
        <v>903028.5407</v>
      </c>
      <c r="N80" s="72">
        <f t="shared" si="54"/>
        <v>1212064.198</v>
      </c>
      <c r="O80" s="72">
        <f t="shared" si="54"/>
        <v>1582502.408</v>
      </c>
      <c r="P80" s="72">
        <f t="shared" si="54"/>
        <v>2025801.724</v>
      </c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ht="15.75" customHeight="1">
      <c r="A81" s="29" t="s">
        <v>198</v>
      </c>
      <c r="B81" s="22"/>
      <c r="C81" s="22"/>
      <c r="D81" s="22"/>
      <c r="E81" s="51"/>
      <c r="F81" s="51"/>
      <c r="G81" s="51"/>
      <c r="H81" s="51"/>
      <c r="I81" s="51"/>
      <c r="J81" s="164">
        <v>203.0</v>
      </c>
      <c r="K81" s="51"/>
      <c r="L81" s="51"/>
      <c r="M81" s="51"/>
      <c r="N81" s="51"/>
      <c r="O81" s="51"/>
      <c r="P81" s="51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 ht="15.75" customHeight="1">
      <c r="A82" s="16" t="s">
        <v>61</v>
      </c>
      <c r="B82" s="22">
        <v>31326.0</v>
      </c>
      <c r="C82" s="22">
        <v>32637.0</v>
      </c>
      <c r="D82" s="22">
        <v>31602.0</v>
      </c>
      <c r="E82" s="164">
        <v>33226.0</v>
      </c>
      <c r="F82" s="164">
        <v>32139.0</v>
      </c>
      <c r="G82" s="164">
        <v>30490.0</v>
      </c>
      <c r="H82" s="164">
        <v>35323.0</v>
      </c>
      <c r="I82" s="164">
        <v>54435.0</v>
      </c>
      <c r="J82" s="164">
        <v>53181.0</v>
      </c>
      <c r="K82" s="51">
        <f t="shared" ref="K82:P82" si="55">K135</f>
        <v>69824.85122</v>
      </c>
      <c r="L82" s="51">
        <f t="shared" si="55"/>
        <v>81581.42375</v>
      </c>
      <c r="M82" s="51">
        <f t="shared" si="55"/>
        <v>95352.0403</v>
      </c>
      <c r="N82" s="51">
        <f t="shared" si="55"/>
        <v>111485.7642</v>
      </c>
      <c r="O82" s="51">
        <f t="shared" si="55"/>
        <v>130392.619</v>
      </c>
      <c r="P82" s="51">
        <f t="shared" si="55"/>
        <v>152554.2873</v>
      </c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 ht="15.75" customHeight="1">
      <c r="A83" s="16" t="s">
        <v>62</v>
      </c>
      <c r="B83" s="22">
        <v>13234.0</v>
      </c>
      <c r="C83" s="22">
        <v>12026.0</v>
      </c>
      <c r="D83" s="22">
        <v>14654.0</v>
      </c>
      <c r="E83" s="164">
        <v>23128.0</v>
      </c>
      <c r="F83" s="164">
        <v>21298.0</v>
      </c>
      <c r="G83" s="164">
        <v>12799.0</v>
      </c>
      <c r="H83" s="164">
        <v>20345.0</v>
      </c>
      <c r="I83" s="164">
        <v>32848.0</v>
      </c>
      <c r="J83" s="164">
        <v>45968.0</v>
      </c>
      <c r="K83" s="51">
        <f t="shared" ref="K83:P83" si="56">K136</f>
        <v>52368.63842</v>
      </c>
      <c r="L83" s="51">
        <f t="shared" si="56"/>
        <v>61186.06781</v>
      </c>
      <c r="M83" s="51">
        <f t="shared" si="56"/>
        <v>71514.03023</v>
      </c>
      <c r="N83" s="51">
        <f t="shared" si="56"/>
        <v>83614.32315</v>
      </c>
      <c r="O83" s="51">
        <f t="shared" si="56"/>
        <v>97794.46428</v>
      </c>
      <c r="P83" s="51">
        <f t="shared" si="56"/>
        <v>114415.7154</v>
      </c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 ht="15.75" customHeight="1">
      <c r="A84" s="16" t="s">
        <v>63</v>
      </c>
      <c r="B84" s="22">
        <v>507.0</v>
      </c>
      <c r="C84" s="22">
        <v>235.0</v>
      </c>
      <c r="D84" s="22">
        <v>740.0</v>
      </c>
      <c r="E84" s="164">
        <v>1878.0</v>
      </c>
      <c r="F84" s="164">
        <v>290.0</v>
      </c>
      <c r="G84" s="164">
        <f>408+30063</f>
        <v>30471</v>
      </c>
      <c r="H84" s="164">
        <f>351+30071</f>
        <v>30422</v>
      </c>
      <c r="I84" s="164">
        <f>17852+9633</f>
        <v>27485</v>
      </c>
      <c r="J84" s="164">
        <f>26595+1679</f>
        <v>28274</v>
      </c>
      <c r="K84" s="167">
        <f t="shared" ref="K84:P84" si="57">K197</f>
        <v>221688.7359</v>
      </c>
      <c r="L84" s="167">
        <f t="shared" si="57"/>
        <v>400420.0187</v>
      </c>
      <c r="M84" s="167">
        <f t="shared" si="57"/>
        <v>616422.9254</v>
      </c>
      <c r="N84" s="167">
        <f t="shared" si="57"/>
        <v>876964.436</v>
      </c>
      <c r="O84" s="167">
        <f t="shared" si="57"/>
        <v>1190573.125</v>
      </c>
      <c r="P84" s="167">
        <f t="shared" si="57"/>
        <v>1567259.723</v>
      </c>
      <c r="Q84" s="167"/>
      <c r="R84" s="19"/>
      <c r="S84" s="19"/>
      <c r="T84" s="19"/>
      <c r="U84" s="19"/>
      <c r="V84" s="19"/>
      <c r="W84" s="19"/>
      <c r="X84" s="19"/>
      <c r="Y84" s="19"/>
      <c r="Z84" s="19"/>
    </row>
    <row r="85" ht="15.75" customHeight="1">
      <c r="A85" s="16" t="s">
        <v>64</v>
      </c>
      <c r="B85" s="22">
        <v>31.0</v>
      </c>
      <c r="C85" s="22">
        <v>25.0</v>
      </c>
      <c r="D85" s="22">
        <v>30.0</v>
      </c>
      <c r="E85" s="164">
        <v>161.0</v>
      </c>
      <c r="F85" s="164">
        <v>170.0</v>
      </c>
      <c r="G85" s="164">
        <v>230.0</v>
      </c>
      <c r="H85" s="164">
        <v>305.0</v>
      </c>
      <c r="I85" s="164">
        <v>297.0</v>
      </c>
      <c r="J85" s="164">
        <v>327.0</v>
      </c>
      <c r="K85" s="51">
        <f t="shared" ref="K85:P85" si="58">K137</f>
        <v>402.3864385</v>
      </c>
      <c r="L85" s="51">
        <f t="shared" si="58"/>
        <v>470.1371786</v>
      </c>
      <c r="M85" s="51">
        <f t="shared" si="58"/>
        <v>549.4944455</v>
      </c>
      <c r="N85" s="51">
        <f t="shared" si="58"/>
        <v>642.4698201</v>
      </c>
      <c r="O85" s="51">
        <f t="shared" si="58"/>
        <v>751.4261852</v>
      </c>
      <c r="P85" s="51">
        <f t="shared" si="58"/>
        <v>879.1393789</v>
      </c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 ht="15.75" customHeight="1">
      <c r="A86" s="16" t="s">
        <v>65</v>
      </c>
      <c r="B86" s="22">
        <v>16611.0</v>
      </c>
      <c r="C86" s="22">
        <v>15408.0</v>
      </c>
      <c r="D86" s="22">
        <v>13140.0</v>
      </c>
      <c r="E86" s="164">
        <v>5638.0</v>
      </c>
      <c r="F86" s="164">
        <v>7974.0</v>
      </c>
      <c r="G86" s="164">
        <v>9581.0</v>
      </c>
      <c r="H86" s="164">
        <v>14608.0</v>
      </c>
      <c r="I86" s="164">
        <v>15602.0</v>
      </c>
      <c r="J86" s="164">
        <v>25077.0</v>
      </c>
      <c r="K86" s="51">
        <f t="shared" ref="K86:P86" si="59">K138</f>
        <v>34912.42561</v>
      </c>
      <c r="L86" s="51">
        <f t="shared" si="59"/>
        <v>40790.71187</v>
      </c>
      <c r="M86" s="51">
        <f t="shared" si="59"/>
        <v>47676.02015</v>
      </c>
      <c r="N86" s="51">
        <f t="shared" si="59"/>
        <v>55742.8821</v>
      </c>
      <c r="O86" s="51">
        <f t="shared" si="59"/>
        <v>65196.30952</v>
      </c>
      <c r="P86" s="51">
        <f t="shared" si="59"/>
        <v>76277.14363</v>
      </c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 ht="15.75" customHeight="1">
      <c r="A87" s="28" t="s">
        <v>199</v>
      </c>
      <c r="B87" s="22">
        <v>4906.0</v>
      </c>
      <c r="C87" s="22">
        <v>4910.0</v>
      </c>
      <c r="D87" s="22">
        <v>4115.0</v>
      </c>
      <c r="E87" s="164">
        <v>4277.0</v>
      </c>
      <c r="F87" s="164">
        <v>5272.0</v>
      </c>
      <c r="G87" s="164">
        <v>0.0</v>
      </c>
      <c r="H87" s="164">
        <v>0.0</v>
      </c>
      <c r="I87" s="164">
        <v>0.0</v>
      </c>
      <c r="J87" s="164">
        <v>0.0</v>
      </c>
      <c r="K87" s="51">
        <f t="shared" ref="K87:P87" si="60">K139</f>
        <v>0</v>
      </c>
      <c r="L87" s="51">
        <f t="shared" si="60"/>
        <v>0</v>
      </c>
      <c r="M87" s="51">
        <f t="shared" si="60"/>
        <v>0</v>
      </c>
      <c r="N87" s="51">
        <f t="shared" si="60"/>
        <v>0</v>
      </c>
      <c r="O87" s="51">
        <f t="shared" si="60"/>
        <v>0</v>
      </c>
      <c r="P87" s="51">
        <f t="shared" si="60"/>
        <v>0</v>
      </c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 ht="15.75" customHeight="1">
      <c r="A88" s="16" t="s">
        <v>67</v>
      </c>
      <c r="B88" s="22">
        <v>11413.0</v>
      </c>
      <c r="C88" s="22">
        <v>21788.0</v>
      </c>
      <c r="D88" s="22">
        <v>12173.0</v>
      </c>
      <c r="E88" s="164">
        <v>50455.0</v>
      </c>
      <c r="F88" s="164">
        <v>12188.0</v>
      </c>
      <c r="G88" s="164">
        <v>84157.0</v>
      </c>
      <c r="H88" s="164">
        <v>41001.0</v>
      </c>
      <c r="I88" s="164">
        <v>0.0</v>
      </c>
      <c r="J88" s="164">
        <v>39122.0</v>
      </c>
      <c r="K88" s="165"/>
      <c r="L88" s="165"/>
      <c r="M88" s="165"/>
      <c r="N88" s="165"/>
      <c r="O88" s="165"/>
      <c r="P88" s="165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 ht="15.75" customHeight="1">
      <c r="A89" s="1" t="s">
        <v>57</v>
      </c>
      <c r="B89" s="22">
        <v>1483.0</v>
      </c>
      <c r="C89" s="22">
        <v>951.0</v>
      </c>
      <c r="D89" s="22">
        <v>2846.0</v>
      </c>
      <c r="E89" s="164">
        <v>4964.0</v>
      </c>
      <c r="F89" s="164">
        <v>5075.0</v>
      </c>
      <c r="G89" s="164">
        <v>13242.0</v>
      </c>
      <c r="H89" s="164">
        <v>25930.0</v>
      </c>
      <c r="I89" s="164">
        <v>26025.0</v>
      </c>
      <c r="J89" s="164">
        <v>34186.0</v>
      </c>
      <c r="K89" s="51">
        <f t="shared" ref="K89:P89" si="61">K140</f>
        <v>52368.63842</v>
      </c>
      <c r="L89" s="51">
        <f t="shared" si="61"/>
        <v>61186.06781</v>
      </c>
      <c r="M89" s="51">
        <f t="shared" si="61"/>
        <v>71514.03023</v>
      </c>
      <c r="N89" s="51">
        <f t="shared" si="61"/>
        <v>83614.32315</v>
      </c>
      <c r="O89" s="51">
        <f t="shared" si="61"/>
        <v>97794.46428</v>
      </c>
      <c r="P89" s="51">
        <f t="shared" si="61"/>
        <v>114415.7154</v>
      </c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 ht="15.75" customHeight="1">
      <c r="A90" s="8" t="s">
        <v>49</v>
      </c>
      <c r="B90" s="168">
        <f t="shared" ref="B90:P90" si="62">B67+B80</f>
        <v>427255</v>
      </c>
      <c r="C90" s="168">
        <f t="shared" si="62"/>
        <v>519605</v>
      </c>
      <c r="D90" s="168">
        <f t="shared" si="62"/>
        <v>602484</v>
      </c>
      <c r="E90" s="168">
        <f t="shared" si="62"/>
        <v>639687</v>
      </c>
      <c r="F90" s="168">
        <f t="shared" si="62"/>
        <v>636277</v>
      </c>
      <c r="G90" s="168">
        <f t="shared" si="62"/>
        <v>713761</v>
      </c>
      <c r="H90" s="168">
        <f t="shared" si="62"/>
        <v>746555</v>
      </c>
      <c r="I90" s="168">
        <f t="shared" si="62"/>
        <v>1003854</v>
      </c>
      <c r="J90" s="168">
        <f t="shared" si="62"/>
        <v>1153508</v>
      </c>
      <c r="K90" s="168">
        <f t="shared" si="62"/>
        <v>1398093.676</v>
      </c>
      <c r="L90" s="168">
        <f t="shared" si="62"/>
        <v>1652962.427</v>
      </c>
      <c r="M90" s="168">
        <f t="shared" si="62"/>
        <v>1951156.541</v>
      </c>
      <c r="N90" s="168">
        <f t="shared" si="62"/>
        <v>2300992.198</v>
      </c>
      <c r="O90" s="168">
        <f t="shared" si="62"/>
        <v>2712230.408</v>
      </c>
      <c r="P90" s="168">
        <f t="shared" si="62"/>
        <v>3196329.724</v>
      </c>
      <c r="Q90" s="30"/>
      <c r="R90" s="30"/>
      <c r="S90" s="30"/>
      <c r="T90" s="30"/>
      <c r="U90" s="30"/>
      <c r="V90" s="30"/>
      <c r="W90" s="30"/>
      <c r="X90" s="30"/>
      <c r="Y90" s="30"/>
      <c r="Z90" s="30"/>
    </row>
    <row r="91" ht="15.75" customHeight="1">
      <c r="A91" s="32" t="s">
        <v>106</v>
      </c>
      <c r="B91" s="33">
        <f t="shared" ref="B91:Q91" si="63">B90-B62</f>
        <v>0</v>
      </c>
      <c r="C91" s="33">
        <f t="shared" si="63"/>
        <v>0</v>
      </c>
      <c r="D91" s="33">
        <f t="shared" si="63"/>
        <v>0</v>
      </c>
      <c r="E91" s="33">
        <f t="shared" si="63"/>
        <v>0</v>
      </c>
      <c r="F91" s="33">
        <f t="shared" si="63"/>
        <v>0</v>
      </c>
      <c r="G91" s="33">
        <f t="shared" si="63"/>
        <v>0</v>
      </c>
      <c r="H91" s="33">
        <f t="shared" si="63"/>
        <v>0</v>
      </c>
      <c r="I91" s="33">
        <f t="shared" si="63"/>
        <v>0</v>
      </c>
      <c r="J91" s="33">
        <f t="shared" si="63"/>
        <v>0</v>
      </c>
      <c r="K91" s="33">
        <f t="shared" si="63"/>
        <v>0</v>
      </c>
      <c r="L91" s="33">
        <f t="shared" si="63"/>
        <v>0</v>
      </c>
      <c r="M91" s="33">
        <f t="shared" si="63"/>
        <v>-0.0000000002328306437</v>
      </c>
      <c r="N91" s="33">
        <f t="shared" si="63"/>
        <v>0</v>
      </c>
      <c r="O91" s="33">
        <f t="shared" si="63"/>
        <v>-0.0000000004656612873</v>
      </c>
      <c r="P91" s="33">
        <f t="shared" si="63"/>
        <v>0</v>
      </c>
      <c r="Q91" s="33">
        <f t="shared" si="63"/>
        <v>0</v>
      </c>
    </row>
    <row r="92" ht="15.75" customHeight="1">
      <c r="A92" s="1"/>
    </row>
    <row r="93" ht="15.75" customHeight="1">
      <c r="A93" s="5" t="s">
        <v>68</v>
      </c>
      <c r="B93" s="169">
        <v>1500000.0</v>
      </c>
      <c r="C93" s="169">
        <v>1555000.0</v>
      </c>
      <c r="D93" s="169">
        <v>1566800.0</v>
      </c>
      <c r="E93" s="169">
        <v>1576000.0</v>
      </c>
      <c r="F93" s="169">
        <v>2000000.0</v>
      </c>
      <c r="G93" s="169">
        <v>2250000.0</v>
      </c>
      <c r="H93" s="169">
        <v>2250000.0</v>
      </c>
      <c r="I93" s="169">
        <v>2250000.0</v>
      </c>
      <c r="J93" s="169">
        <v>2250000.0</v>
      </c>
      <c r="K93" s="170">
        <f t="shared" ref="K93:P93" si="64">J93+K94</f>
        <v>2550000</v>
      </c>
      <c r="L93" s="170">
        <f t="shared" si="64"/>
        <v>2850000</v>
      </c>
      <c r="M93" s="170">
        <f t="shared" si="64"/>
        <v>3150000</v>
      </c>
      <c r="N93" s="170">
        <f t="shared" si="64"/>
        <v>3450000</v>
      </c>
      <c r="O93" s="170">
        <f t="shared" si="64"/>
        <v>3750000</v>
      </c>
      <c r="P93" s="170">
        <f t="shared" si="64"/>
        <v>4050000</v>
      </c>
      <c r="Q93" s="171"/>
    </row>
    <row r="94" ht="15.75" customHeight="1">
      <c r="A94" s="5" t="s">
        <v>69</v>
      </c>
      <c r="B94" s="172"/>
      <c r="C94" s="169">
        <v>55000.0</v>
      </c>
      <c r="D94" s="169">
        <v>11800.0</v>
      </c>
      <c r="E94" s="169">
        <v>9200.0</v>
      </c>
      <c r="F94" s="169">
        <v>424000.0</v>
      </c>
      <c r="G94" s="169">
        <v>250000.0</v>
      </c>
      <c r="H94" s="173">
        <v>0.0</v>
      </c>
      <c r="I94" s="173">
        <v>0.0</v>
      </c>
      <c r="J94" s="173">
        <v>0.0</v>
      </c>
      <c r="K94" s="174">
        <v>300000.0</v>
      </c>
      <c r="L94" s="175">
        <f t="shared" ref="L94:P94" si="65">K94</f>
        <v>300000</v>
      </c>
      <c r="M94" s="175">
        <f t="shared" si="65"/>
        <v>300000</v>
      </c>
      <c r="N94" s="175">
        <f t="shared" si="65"/>
        <v>300000</v>
      </c>
      <c r="O94" s="175">
        <f t="shared" si="65"/>
        <v>300000</v>
      </c>
      <c r="P94" s="175">
        <f t="shared" si="65"/>
        <v>300000</v>
      </c>
      <c r="Q94" s="176"/>
    </row>
    <row r="95" ht="15.75" customHeight="1">
      <c r="A95" s="5"/>
      <c r="B95" s="172"/>
      <c r="C95" s="172"/>
      <c r="D95" s="172"/>
      <c r="E95" s="172"/>
      <c r="F95" s="172"/>
      <c r="G95" s="172"/>
      <c r="H95" s="172"/>
      <c r="I95" s="172"/>
      <c r="J95" s="172"/>
      <c r="K95" s="172"/>
      <c r="L95" s="172"/>
      <c r="M95" s="172"/>
      <c r="N95" s="172"/>
      <c r="O95" s="172"/>
      <c r="P95" s="172"/>
      <c r="Q95" s="172"/>
    </row>
    <row r="96" ht="15.75" customHeight="1">
      <c r="A96" s="5" t="s">
        <v>70</v>
      </c>
      <c r="B96" s="169">
        <v>1305351.0</v>
      </c>
      <c r="C96" s="169">
        <v>1444541.0</v>
      </c>
      <c r="D96" s="169">
        <v>1653500.0</v>
      </c>
      <c r="E96" s="169">
        <v>1753700.0</v>
      </c>
      <c r="F96" s="169">
        <v>1461126.0</v>
      </c>
      <c r="G96" s="169">
        <v>1361722.0</v>
      </c>
      <c r="H96" s="169">
        <v>1414277.0</v>
      </c>
      <c r="I96" s="169">
        <v>1706831.0</v>
      </c>
      <c r="J96" s="169">
        <v>1852256.0</v>
      </c>
      <c r="K96" s="177"/>
      <c r="L96" s="172"/>
      <c r="M96" s="172"/>
      <c r="N96" s="172"/>
      <c r="O96" s="172"/>
      <c r="P96" s="172"/>
      <c r="Q96" s="172"/>
    </row>
    <row r="97" ht="15.75" customHeight="1">
      <c r="A97" s="15" t="s">
        <v>181</v>
      </c>
      <c r="B97" s="169">
        <v>123897.0</v>
      </c>
      <c r="C97" s="169">
        <v>124062.0</v>
      </c>
      <c r="D97" s="169">
        <v>126074.0</v>
      </c>
      <c r="E97" s="169">
        <v>108749.0</v>
      </c>
      <c r="F97" s="169">
        <v>102171.0</v>
      </c>
      <c r="G97" s="169">
        <v>96139.0</v>
      </c>
      <c r="H97" s="169">
        <v>238376.0</v>
      </c>
      <c r="I97" s="169">
        <v>259333.0</v>
      </c>
      <c r="J97" s="169">
        <v>283067.0</v>
      </c>
      <c r="K97" s="172"/>
      <c r="L97" s="172"/>
      <c r="M97" s="172"/>
      <c r="N97" s="172"/>
      <c r="O97" s="172"/>
      <c r="P97" s="172"/>
      <c r="Q97" s="172"/>
    </row>
    <row r="98" ht="15.75" customHeight="1">
      <c r="A98" s="17" t="s">
        <v>49</v>
      </c>
      <c r="B98" s="27">
        <f t="shared" ref="B98:J98" si="66">SUM(B96:B97)</f>
        <v>1429248</v>
      </c>
      <c r="C98" s="27">
        <f t="shared" si="66"/>
        <v>1568603</v>
      </c>
      <c r="D98" s="27">
        <f t="shared" si="66"/>
        <v>1779574</v>
      </c>
      <c r="E98" s="27">
        <f t="shared" si="66"/>
        <v>1862449</v>
      </c>
      <c r="F98" s="27">
        <f t="shared" si="66"/>
        <v>1563297</v>
      </c>
      <c r="G98" s="27">
        <f t="shared" si="66"/>
        <v>1457861</v>
      </c>
      <c r="H98" s="27">
        <f t="shared" si="66"/>
        <v>1652653</v>
      </c>
      <c r="I98" s="27">
        <f t="shared" si="66"/>
        <v>1966164</v>
      </c>
      <c r="J98" s="27">
        <f t="shared" si="66"/>
        <v>2135323</v>
      </c>
      <c r="K98" s="27">
        <f t="shared" ref="K98:P98" si="67">K109*K116</f>
        <v>2388726.764</v>
      </c>
      <c r="L98" s="27">
        <f t="shared" si="67"/>
        <v>2537202.039</v>
      </c>
      <c r="M98" s="27">
        <f t="shared" si="67"/>
        <v>2695883.226</v>
      </c>
      <c r="N98" s="27">
        <f t="shared" si="67"/>
        <v>2865482.868</v>
      </c>
      <c r="O98" s="27">
        <f t="shared" si="67"/>
        <v>3046763.362</v>
      </c>
      <c r="P98" s="27">
        <f t="shared" si="67"/>
        <v>3240540.458</v>
      </c>
      <c r="Q98" s="178">
        <v>0.0</v>
      </c>
      <c r="R98" s="34"/>
      <c r="S98" s="34"/>
      <c r="T98" s="34"/>
      <c r="U98" s="34"/>
      <c r="V98" s="34"/>
      <c r="W98" s="34"/>
      <c r="X98" s="34"/>
      <c r="Y98" s="34"/>
      <c r="Z98" s="34"/>
    </row>
    <row r="99" ht="15.75" customHeight="1">
      <c r="A99" s="5"/>
      <c r="B99" s="172"/>
      <c r="C99" s="172"/>
      <c r="D99" s="172"/>
      <c r="E99" s="172"/>
      <c r="F99" s="172"/>
      <c r="G99" s="172"/>
      <c r="H99" s="172"/>
      <c r="I99" s="172"/>
      <c r="J99" s="172"/>
      <c r="K99" s="172"/>
      <c r="L99" s="172"/>
      <c r="M99" s="172"/>
      <c r="N99" s="172"/>
      <c r="O99" s="172"/>
      <c r="P99" s="172"/>
      <c r="Q99" s="172"/>
    </row>
    <row r="100" ht="15.75" customHeight="1">
      <c r="A100" s="5" t="s">
        <v>72</v>
      </c>
      <c r="B100" s="35">
        <f t="shared" ref="B100:P100" si="68">B98/B93</f>
        <v>0.952832</v>
      </c>
      <c r="C100" s="35">
        <f t="shared" si="68"/>
        <v>1.00874791</v>
      </c>
      <c r="D100" s="35">
        <f t="shared" si="68"/>
        <v>1.135801634</v>
      </c>
      <c r="E100" s="35">
        <f t="shared" si="68"/>
        <v>1.18175698</v>
      </c>
      <c r="F100" s="35">
        <f t="shared" si="68"/>
        <v>0.7816485</v>
      </c>
      <c r="G100" s="35">
        <f t="shared" si="68"/>
        <v>0.6479382222</v>
      </c>
      <c r="H100" s="35">
        <f t="shared" si="68"/>
        <v>0.7345124444</v>
      </c>
      <c r="I100" s="35">
        <f t="shared" si="68"/>
        <v>0.8738506667</v>
      </c>
      <c r="J100" s="35">
        <f t="shared" si="68"/>
        <v>0.9490324444</v>
      </c>
      <c r="K100" s="35">
        <f t="shared" si="68"/>
        <v>0.9367555938</v>
      </c>
      <c r="L100" s="35">
        <f t="shared" si="68"/>
        <v>0.8902463294</v>
      </c>
      <c r="M100" s="35">
        <f t="shared" si="68"/>
        <v>0.8558359449</v>
      </c>
      <c r="N100" s="35">
        <f t="shared" si="68"/>
        <v>0.8305747443</v>
      </c>
      <c r="O100" s="35">
        <f t="shared" si="68"/>
        <v>0.8124702299</v>
      </c>
      <c r="P100" s="35">
        <f t="shared" si="68"/>
        <v>0.8001334464</v>
      </c>
      <c r="Q100" s="172"/>
    </row>
    <row r="101" ht="15.75" customHeight="1">
      <c r="A101" s="5"/>
      <c r="B101" s="172"/>
      <c r="C101" s="172"/>
      <c r="D101" s="172"/>
      <c r="E101" s="172"/>
      <c r="F101" s="172"/>
      <c r="G101" s="172"/>
      <c r="H101" s="172"/>
      <c r="I101" s="172"/>
      <c r="J101" s="172"/>
      <c r="K101" s="172"/>
      <c r="L101" s="172"/>
      <c r="M101" s="172"/>
      <c r="N101" s="172"/>
      <c r="O101" s="172"/>
      <c r="P101" s="172"/>
      <c r="Q101" s="172"/>
    </row>
    <row r="102" ht="15.75" customHeight="1">
      <c r="A102" s="5" t="s">
        <v>73</v>
      </c>
      <c r="B102" s="172"/>
      <c r="C102" s="35">
        <f t="shared" ref="C102:J102" si="69">C96/B96-1</f>
        <v>0.106630324</v>
      </c>
      <c r="D102" s="35">
        <f t="shared" si="69"/>
        <v>0.1446542535</v>
      </c>
      <c r="E102" s="35">
        <f t="shared" si="69"/>
        <v>0.06059872997</v>
      </c>
      <c r="F102" s="35">
        <f t="shared" si="69"/>
        <v>-0.1668324115</v>
      </c>
      <c r="G102" s="35">
        <f t="shared" si="69"/>
        <v>-0.06803246263</v>
      </c>
      <c r="H102" s="35">
        <f t="shared" si="69"/>
        <v>0.03859451489</v>
      </c>
      <c r="I102" s="35">
        <f t="shared" si="69"/>
        <v>0.2068576382</v>
      </c>
      <c r="J102" s="35">
        <f t="shared" si="69"/>
        <v>0.08520175694</v>
      </c>
      <c r="K102" s="35"/>
      <c r="L102" s="35"/>
      <c r="M102" s="35"/>
      <c r="N102" s="35"/>
      <c r="O102" s="35"/>
      <c r="P102" s="35"/>
      <c r="Q102" s="35"/>
    </row>
    <row r="103" ht="15.75" customHeight="1">
      <c r="A103" s="5" t="s">
        <v>74</v>
      </c>
      <c r="B103" s="172"/>
      <c r="C103" s="35">
        <f t="shared" ref="C103:J103" si="70">C97/B97-1</f>
        <v>0.001331751374</v>
      </c>
      <c r="D103" s="35">
        <f t="shared" si="70"/>
        <v>0.0162176976</v>
      </c>
      <c r="E103" s="35">
        <f t="shared" si="70"/>
        <v>-0.1374192934</v>
      </c>
      <c r="F103" s="35">
        <f t="shared" si="70"/>
        <v>-0.06048791253</v>
      </c>
      <c r="G103" s="35">
        <f t="shared" si="70"/>
        <v>-0.05903827896</v>
      </c>
      <c r="H103" s="35">
        <f t="shared" si="70"/>
        <v>1.479493234</v>
      </c>
      <c r="I103" s="35">
        <f t="shared" si="70"/>
        <v>0.08791572977</v>
      </c>
      <c r="J103" s="35">
        <f t="shared" si="70"/>
        <v>0.09151939784</v>
      </c>
      <c r="K103" s="35"/>
      <c r="L103" s="35"/>
      <c r="M103" s="35"/>
      <c r="N103" s="35"/>
      <c r="O103" s="35"/>
      <c r="P103" s="35"/>
      <c r="Q103" s="35"/>
    </row>
    <row r="104" ht="15.75" customHeight="1">
      <c r="A104" s="17" t="s">
        <v>75</v>
      </c>
      <c r="B104" s="179"/>
      <c r="C104" s="36">
        <f t="shared" ref="C104:J104" si="71">C98/B98-1</f>
        <v>0.0975023229</v>
      </c>
      <c r="D104" s="36">
        <f t="shared" si="71"/>
        <v>0.134496109</v>
      </c>
      <c r="E104" s="36">
        <f t="shared" si="71"/>
        <v>0.0465701342</v>
      </c>
      <c r="F104" s="36">
        <f t="shared" si="71"/>
        <v>-0.1606229218</v>
      </c>
      <c r="G104" s="36">
        <f t="shared" si="71"/>
        <v>-0.06744463784</v>
      </c>
      <c r="H104" s="36">
        <f t="shared" si="71"/>
        <v>0.1336149331</v>
      </c>
      <c r="I104" s="36">
        <f t="shared" si="71"/>
        <v>0.1897016494</v>
      </c>
      <c r="J104" s="36">
        <f t="shared" si="71"/>
        <v>0.08603504082</v>
      </c>
      <c r="K104" s="36"/>
      <c r="L104" s="36"/>
      <c r="M104" s="36"/>
      <c r="N104" s="36"/>
      <c r="O104" s="36"/>
      <c r="P104" s="36"/>
      <c r="Q104" s="36"/>
      <c r="R104" s="34"/>
      <c r="S104" s="34"/>
      <c r="T104" s="34"/>
      <c r="U104" s="34"/>
      <c r="V104" s="34"/>
      <c r="W104" s="34"/>
      <c r="X104" s="34"/>
      <c r="Y104" s="34"/>
      <c r="Z104" s="34"/>
    </row>
    <row r="105" ht="15.75" customHeight="1">
      <c r="A105" s="5"/>
    </row>
    <row r="106" ht="15.75" customHeight="1">
      <c r="A106" s="17" t="s">
        <v>76</v>
      </c>
    </row>
    <row r="107" ht="15.75" customHeight="1">
      <c r="A107" s="5" t="s">
        <v>77</v>
      </c>
      <c r="B107" s="22">
        <v>2789208.0</v>
      </c>
      <c r="C107" s="22">
        <v>3047582.0</v>
      </c>
      <c r="D107" s="22">
        <v>3288581.0</v>
      </c>
      <c r="E107" s="22">
        <v>3377389.0</v>
      </c>
      <c r="F107" s="22">
        <v>2773519.0</v>
      </c>
      <c r="G107" s="22">
        <v>2711457.0</v>
      </c>
      <c r="H107" s="22">
        <v>3069523.0</v>
      </c>
      <c r="I107" s="22">
        <v>3890114.0</v>
      </c>
      <c r="J107" s="22">
        <v>4218746.0</v>
      </c>
      <c r="K107" s="22">
        <f t="shared" ref="K107:P107" si="72">J107*(1+K110)</f>
        <v>4514058.22</v>
      </c>
      <c r="L107" s="22">
        <f t="shared" si="72"/>
        <v>4830042.295</v>
      </c>
      <c r="M107" s="22">
        <f t="shared" si="72"/>
        <v>5168145.256</v>
      </c>
      <c r="N107" s="22">
        <f t="shared" si="72"/>
        <v>5529915.424</v>
      </c>
      <c r="O107" s="22">
        <f t="shared" si="72"/>
        <v>5917009.504</v>
      </c>
      <c r="P107" s="22">
        <f t="shared" si="72"/>
        <v>6331200.169</v>
      </c>
      <c r="Q107" s="22"/>
    </row>
    <row r="108" ht="15.75" customHeight="1">
      <c r="A108" s="5" t="s">
        <v>71</v>
      </c>
      <c r="B108" s="22">
        <v>653053.0</v>
      </c>
      <c r="C108" s="22">
        <v>758727.0</v>
      </c>
      <c r="D108" s="22">
        <v>748366.0</v>
      </c>
      <c r="E108" s="22">
        <v>676192.0</v>
      </c>
      <c r="F108" s="22">
        <v>662118.0</v>
      </c>
      <c r="G108" s="22">
        <v>404397.0</v>
      </c>
      <c r="H108" s="22">
        <v>577875.0</v>
      </c>
      <c r="I108" s="22">
        <v>662891.0</v>
      </c>
      <c r="J108" s="22">
        <v>672105.0</v>
      </c>
      <c r="K108" s="22">
        <f t="shared" ref="K108:P108" si="73">J108*(K111+1)</f>
        <v>678826.05</v>
      </c>
      <c r="L108" s="22">
        <f t="shared" si="73"/>
        <v>685614.3105</v>
      </c>
      <c r="M108" s="22">
        <f t="shared" si="73"/>
        <v>692470.4536</v>
      </c>
      <c r="N108" s="22">
        <f t="shared" si="73"/>
        <v>699395.1581</v>
      </c>
      <c r="O108" s="22">
        <f t="shared" si="73"/>
        <v>706389.1097</v>
      </c>
      <c r="P108" s="22">
        <f t="shared" si="73"/>
        <v>713453.0008</v>
      </c>
      <c r="Q108" s="22"/>
      <c r="R108" s="22"/>
      <c r="S108" s="22"/>
    </row>
    <row r="109" ht="15.75" customHeight="1">
      <c r="A109" s="5" t="s">
        <v>49</v>
      </c>
      <c r="B109" s="27">
        <f t="shared" ref="B109:Q109" si="74">sum(B107:B108)</f>
        <v>3442261</v>
      </c>
      <c r="C109" s="27">
        <f t="shared" si="74"/>
        <v>3806309</v>
      </c>
      <c r="D109" s="27">
        <f t="shared" si="74"/>
        <v>4036947</v>
      </c>
      <c r="E109" s="27">
        <f t="shared" si="74"/>
        <v>4053581</v>
      </c>
      <c r="F109" s="27">
        <f t="shared" si="74"/>
        <v>3435637</v>
      </c>
      <c r="G109" s="27">
        <f t="shared" si="74"/>
        <v>3115854</v>
      </c>
      <c r="H109" s="27">
        <f t="shared" si="74"/>
        <v>3647398</v>
      </c>
      <c r="I109" s="27">
        <f t="shared" si="74"/>
        <v>4553005</v>
      </c>
      <c r="J109" s="27">
        <f t="shared" si="74"/>
        <v>4890851</v>
      </c>
      <c r="K109" s="27">
        <f t="shared" si="74"/>
        <v>5192884.27</v>
      </c>
      <c r="L109" s="27">
        <f t="shared" si="74"/>
        <v>5515656.606</v>
      </c>
      <c r="M109" s="27">
        <f t="shared" si="74"/>
        <v>5860615.71</v>
      </c>
      <c r="N109" s="27">
        <f t="shared" si="74"/>
        <v>6229310.582</v>
      </c>
      <c r="O109" s="27">
        <f t="shared" si="74"/>
        <v>6623398.613</v>
      </c>
      <c r="P109" s="27">
        <f t="shared" si="74"/>
        <v>7044653.17</v>
      </c>
      <c r="Q109" s="27">
        <f t="shared" si="74"/>
        <v>0</v>
      </c>
      <c r="R109" s="27"/>
      <c r="S109" s="27"/>
    </row>
    <row r="110" ht="15.75" customHeight="1">
      <c r="A110" s="5" t="s">
        <v>78</v>
      </c>
      <c r="C110" s="35">
        <f t="shared" ref="C110:J110" si="75">C107/B107-1</f>
        <v>0.09263346441</v>
      </c>
      <c r="D110" s="35">
        <f t="shared" si="75"/>
        <v>0.07907875818</v>
      </c>
      <c r="E110" s="35">
        <f t="shared" si="75"/>
        <v>0.0270049605</v>
      </c>
      <c r="F110" s="35">
        <f t="shared" si="75"/>
        <v>-0.178797882</v>
      </c>
      <c r="G110" s="35">
        <f t="shared" si="75"/>
        <v>-0.02237662695</v>
      </c>
      <c r="H110" s="35">
        <f t="shared" si="75"/>
        <v>0.1320566765</v>
      </c>
      <c r="I110" s="35">
        <f t="shared" si="75"/>
        <v>0.2673350224</v>
      </c>
      <c r="J110" s="35">
        <f t="shared" si="75"/>
        <v>0.08447875821</v>
      </c>
      <c r="K110" s="180">
        <v>0.07</v>
      </c>
      <c r="L110" s="181">
        <f t="shared" ref="L110:Q110" si="76">K110</f>
        <v>0.07</v>
      </c>
      <c r="M110" s="181">
        <f t="shared" si="76"/>
        <v>0.07</v>
      </c>
      <c r="N110" s="181">
        <f t="shared" si="76"/>
        <v>0.07</v>
      </c>
      <c r="O110" s="181">
        <f t="shared" si="76"/>
        <v>0.07</v>
      </c>
      <c r="P110" s="181">
        <f t="shared" si="76"/>
        <v>0.07</v>
      </c>
      <c r="Q110" s="182">
        <f t="shared" si="76"/>
        <v>0.07</v>
      </c>
    </row>
    <row r="111" ht="15.75" customHeight="1">
      <c r="A111" s="5" t="s">
        <v>79</v>
      </c>
      <c r="C111" s="35">
        <f t="shared" ref="C111:J111" si="77">C108/B108-1</f>
        <v>0.1618153504</v>
      </c>
      <c r="D111" s="35">
        <f t="shared" si="77"/>
        <v>-0.01365576815</v>
      </c>
      <c r="E111" s="35">
        <f t="shared" si="77"/>
        <v>-0.09644211522</v>
      </c>
      <c r="F111" s="35">
        <f t="shared" si="77"/>
        <v>-0.02081361507</v>
      </c>
      <c r="G111" s="35">
        <f t="shared" si="77"/>
        <v>-0.3892372659</v>
      </c>
      <c r="H111" s="35">
        <f t="shared" si="77"/>
        <v>0.4289794435</v>
      </c>
      <c r="I111" s="35">
        <f t="shared" si="77"/>
        <v>0.1471183214</v>
      </c>
      <c r="J111" s="35">
        <f t="shared" si="77"/>
        <v>0.01389972107</v>
      </c>
      <c r="K111" s="180">
        <v>0.01</v>
      </c>
      <c r="L111" s="181">
        <f t="shared" ref="L111:Q111" si="78">K111</f>
        <v>0.01</v>
      </c>
      <c r="M111" s="181">
        <f t="shared" si="78"/>
        <v>0.01</v>
      </c>
      <c r="N111" s="181">
        <f t="shared" si="78"/>
        <v>0.01</v>
      </c>
      <c r="O111" s="181">
        <f t="shared" si="78"/>
        <v>0.01</v>
      </c>
      <c r="P111" s="181">
        <f t="shared" si="78"/>
        <v>0.01</v>
      </c>
      <c r="Q111" s="182">
        <f t="shared" si="78"/>
        <v>0.01</v>
      </c>
    </row>
    <row r="112" ht="15.75" customHeight="1">
      <c r="A112" s="5"/>
    </row>
    <row r="113" ht="15.75" customHeight="1">
      <c r="A113" s="17" t="s">
        <v>80</v>
      </c>
    </row>
    <row r="114" ht="15.75" customHeight="1">
      <c r="A114" s="5" t="s">
        <v>70</v>
      </c>
      <c r="B114" s="57">
        <f t="shared" ref="B114:J114" si="79">B96/B107</f>
        <v>0.4680005937</v>
      </c>
      <c r="C114" s="57">
        <f t="shared" si="79"/>
        <v>0.4739957776</v>
      </c>
      <c r="D114" s="57">
        <f t="shared" si="79"/>
        <v>0.502800448</v>
      </c>
      <c r="E114" s="57">
        <f t="shared" si="79"/>
        <v>0.5192472647</v>
      </c>
      <c r="F114" s="57">
        <f t="shared" si="79"/>
        <v>0.5268130487</v>
      </c>
      <c r="G114" s="57">
        <f t="shared" si="79"/>
        <v>0.5022104352</v>
      </c>
      <c r="H114" s="57">
        <f t="shared" si="79"/>
        <v>0.4607481358</v>
      </c>
      <c r="I114" s="57">
        <f t="shared" si="79"/>
        <v>0.4387611777</v>
      </c>
      <c r="J114" s="57">
        <f t="shared" si="79"/>
        <v>0.4390536904</v>
      </c>
    </row>
    <row r="115" ht="15.75" customHeight="1">
      <c r="A115" s="5" t="s">
        <v>71</v>
      </c>
      <c r="B115" s="57">
        <f t="shared" ref="B115:J115" si="80">B97/B108</f>
        <v>0.1897196705</v>
      </c>
      <c r="C115" s="57">
        <f t="shared" si="80"/>
        <v>0.1635133586</v>
      </c>
      <c r="D115" s="57">
        <f t="shared" si="80"/>
        <v>0.1684656973</v>
      </c>
      <c r="E115" s="57">
        <f t="shared" si="80"/>
        <v>0.1608256235</v>
      </c>
      <c r="F115" s="57">
        <f t="shared" si="80"/>
        <v>0.1543093527</v>
      </c>
      <c r="G115" s="57">
        <f t="shared" si="80"/>
        <v>0.2377342067</v>
      </c>
      <c r="H115" s="57">
        <f t="shared" si="80"/>
        <v>0.4125044343</v>
      </c>
      <c r="I115" s="57">
        <f t="shared" si="80"/>
        <v>0.391215147</v>
      </c>
      <c r="J115" s="57">
        <f t="shared" si="80"/>
        <v>0.4211648478</v>
      </c>
    </row>
    <row r="116" ht="15.75" customHeight="1">
      <c r="A116" s="5" t="s">
        <v>81</v>
      </c>
      <c r="B116" s="36">
        <f t="shared" ref="B116:J116" si="81">B98/B109</f>
        <v>0.4152061683</v>
      </c>
      <c r="C116" s="36">
        <f t="shared" si="81"/>
        <v>0.4121060587</v>
      </c>
      <c r="D116" s="36">
        <f t="shared" si="81"/>
        <v>0.4408217398</v>
      </c>
      <c r="E116" s="36">
        <f t="shared" si="81"/>
        <v>0.4594576993</v>
      </c>
      <c r="F116" s="36">
        <f t="shared" si="81"/>
        <v>0.4550239155</v>
      </c>
      <c r="G116" s="36">
        <f t="shared" si="81"/>
        <v>0.4678848881</v>
      </c>
      <c r="H116" s="36">
        <f t="shared" si="81"/>
        <v>0.4531046516</v>
      </c>
      <c r="I116" s="36">
        <f t="shared" si="81"/>
        <v>0.4318387526</v>
      </c>
      <c r="J116" s="36">
        <f t="shared" si="81"/>
        <v>0.43659539</v>
      </c>
      <c r="K116" s="180">
        <v>0.46</v>
      </c>
      <c r="L116" s="183">
        <f t="shared" ref="L116:P116" si="82">K116</f>
        <v>0.46</v>
      </c>
      <c r="M116" s="183">
        <f t="shared" si="82"/>
        <v>0.46</v>
      </c>
      <c r="N116" s="183">
        <f t="shared" si="82"/>
        <v>0.46</v>
      </c>
      <c r="O116" s="183">
        <f t="shared" si="82"/>
        <v>0.46</v>
      </c>
      <c r="P116" s="183">
        <f t="shared" si="82"/>
        <v>0.46</v>
      </c>
    </row>
    <row r="117" ht="15.75" customHeight="1">
      <c r="A117" s="5"/>
    </row>
    <row r="118" ht="15.75" customHeight="1">
      <c r="A118" s="5" t="s">
        <v>82</v>
      </c>
      <c r="B118" s="22">
        <f t="shared" ref="B118:J118" si="83">(B3/B98)*10^6</f>
        <v>399241.4193</v>
      </c>
      <c r="C118" s="22">
        <f t="shared" si="83"/>
        <v>434048.6407</v>
      </c>
      <c r="D118" s="22">
        <f t="shared" si="83"/>
        <v>448474.7473</v>
      </c>
      <c r="E118" s="22">
        <f t="shared" si="83"/>
        <v>462125.4059</v>
      </c>
      <c r="F118" s="22">
        <f t="shared" si="83"/>
        <v>483977.1329</v>
      </c>
      <c r="G118" s="22">
        <f t="shared" si="83"/>
        <v>482707.1991</v>
      </c>
      <c r="H118" s="22">
        <f t="shared" si="83"/>
        <v>534472.7538</v>
      </c>
      <c r="I118" s="22">
        <f t="shared" si="83"/>
        <v>602238.1653</v>
      </c>
      <c r="J118" s="22">
        <f t="shared" si="83"/>
        <v>664340.711</v>
      </c>
      <c r="K118" s="22">
        <f t="shared" ref="K118:P118" si="84">J118*(1+K119)</f>
        <v>730774.7821</v>
      </c>
      <c r="L118" s="22">
        <f t="shared" si="84"/>
        <v>803852.2603</v>
      </c>
      <c r="M118" s="22">
        <f t="shared" si="84"/>
        <v>884237.4863</v>
      </c>
      <c r="N118" s="22">
        <f t="shared" si="84"/>
        <v>972661.235</v>
      </c>
      <c r="O118" s="22">
        <f t="shared" si="84"/>
        <v>1069927.358</v>
      </c>
      <c r="P118" s="22">
        <f t="shared" si="84"/>
        <v>1176920.094</v>
      </c>
    </row>
    <row r="119" ht="15.75" customHeight="1">
      <c r="A119" s="5" t="s">
        <v>83</v>
      </c>
      <c r="C119" s="39">
        <f t="shared" ref="C119:J119" si="85">C118/B118-1</f>
        <v>0.08718339278</v>
      </c>
      <c r="D119" s="39">
        <f t="shared" si="85"/>
        <v>0.03323615199</v>
      </c>
      <c r="E119" s="39">
        <f t="shared" si="85"/>
        <v>0.03043796469</v>
      </c>
      <c r="F119" s="39">
        <f t="shared" si="85"/>
        <v>0.04728527542</v>
      </c>
      <c r="G119" s="39">
        <f t="shared" si="85"/>
        <v>-0.002623954209</v>
      </c>
      <c r="H119" s="39">
        <f t="shared" si="85"/>
        <v>0.1072400718</v>
      </c>
      <c r="I119" s="39">
        <f t="shared" si="85"/>
        <v>0.1267892722</v>
      </c>
      <c r="J119" s="39">
        <f t="shared" si="85"/>
        <v>0.1031195784</v>
      </c>
      <c r="K119" s="184">
        <v>0.1</v>
      </c>
      <c r="L119" s="185">
        <f t="shared" ref="L119:P119" si="86">K119</f>
        <v>0.1</v>
      </c>
      <c r="M119" s="185">
        <f t="shared" si="86"/>
        <v>0.1</v>
      </c>
      <c r="N119" s="185">
        <f t="shared" si="86"/>
        <v>0.1</v>
      </c>
      <c r="O119" s="185">
        <f t="shared" si="86"/>
        <v>0.1</v>
      </c>
      <c r="P119" s="185">
        <f t="shared" si="86"/>
        <v>0.1</v>
      </c>
    </row>
    <row r="120" ht="15.75" customHeight="1">
      <c r="A120" s="5"/>
    </row>
    <row r="121" ht="15.75" customHeight="1">
      <c r="A121" s="17" t="s">
        <v>84</v>
      </c>
    </row>
    <row r="122" ht="15.75" customHeight="1">
      <c r="A122" s="5"/>
    </row>
    <row r="123" ht="15.75" customHeight="1">
      <c r="A123" s="1" t="s">
        <v>5</v>
      </c>
      <c r="B123" s="35">
        <f t="shared" ref="B123:B128" si="88">B9/$B$3</f>
        <v>0.6344154991</v>
      </c>
      <c r="C123" s="39">
        <f t="shared" ref="C123:C128" si="89">C9/$C$3</f>
        <v>0.6260982595</v>
      </c>
      <c r="D123" s="35">
        <f t="shared" ref="D123:D128" si="90">D9/$D$3</f>
        <v>0.5631316612</v>
      </c>
      <c r="E123" s="35">
        <f>E9/E3</f>
        <v>0.5231379657</v>
      </c>
      <c r="F123" s="35">
        <f t="shared" ref="F123:F128" si="91">F9/$F$3</f>
        <v>0.4577689664</v>
      </c>
      <c r="G123" s="35">
        <f t="shared" ref="G123:G128" si="92">G9/$G$3</f>
        <v>0.4731484113</v>
      </c>
      <c r="H123" s="35">
        <f t="shared" ref="H123:H128" si="93">H9/$H$3</f>
        <v>0.4499002602</v>
      </c>
      <c r="I123" s="35">
        <f t="shared" ref="I123:I128" si="94">I9/$I$3</f>
        <v>0.6194769187</v>
      </c>
      <c r="J123" s="35">
        <f t="shared" ref="J123:J128" si="95">J9/$J$3</f>
        <v>0.5562970628</v>
      </c>
      <c r="K123" s="74">
        <v>0.6</v>
      </c>
      <c r="L123" s="186">
        <f t="shared" ref="L123:P123" si="87">K123</f>
        <v>0.6</v>
      </c>
      <c r="M123" s="186">
        <f t="shared" si="87"/>
        <v>0.6</v>
      </c>
      <c r="N123" s="186">
        <f t="shared" si="87"/>
        <v>0.6</v>
      </c>
      <c r="O123" s="186">
        <f t="shared" si="87"/>
        <v>0.6</v>
      </c>
      <c r="P123" s="186">
        <f t="shared" si="87"/>
        <v>0.6</v>
      </c>
      <c r="Q123" s="35"/>
      <c r="R123" s="35"/>
      <c r="S123" s="35"/>
    </row>
    <row r="124" ht="15.75" customHeight="1">
      <c r="A124" s="1" t="s">
        <v>6</v>
      </c>
      <c r="B124" s="35">
        <f t="shared" si="88"/>
        <v>0.05558038257</v>
      </c>
      <c r="C124" s="39">
        <f t="shared" si="89"/>
        <v>0.06599985312</v>
      </c>
      <c r="D124" s="35">
        <f t="shared" si="90"/>
        <v>0.1253248364</v>
      </c>
      <c r="E124" s="35">
        <f t="shared" ref="E124:E128" si="97">E10/$B$3</f>
        <v>0.2509730729</v>
      </c>
      <c r="F124" s="35">
        <f t="shared" si="91"/>
        <v>0.2480465239</v>
      </c>
      <c r="G124" s="35">
        <f t="shared" si="92"/>
        <v>0.2451841642</v>
      </c>
      <c r="H124" s="35">
        <f t="shared" si="93"/>
        <v>0.2988515767</v>
      </c>
      <c r="I124" s="35">
        <f t="shared" si="94"/>
        <v>0.1073786905</v>
      </c>
      <c r="J124" s="35">
        <f t="shared" si="95"/>
        <v>0.1494746162</v>
      </c>
      <c r="K124" s="187">
        <v>0.08</v>
      </c>
      <c r="L124" s="186">
        <f t="shared" ref="L124:P124" si="96">K124</f>
        <v>0.08</v>
      </c>
      <c r="M124" s="186">
        <f t="shared" si="96"/>
        <v>0.08</v>
      </c>
      <c r="N124" s="186">
        <f t="shared" si="96"/>
        <v>0.08</v>
      </c>
      <c r="O124" s="186">
        <f t="shared" si="96"/>
        <v>0.08</v>
      </c>
      <c r="P124" s="186">
        <f t="shared" si="96"/>
        <v>0.08</v>
      </c>
      <c r="Q124" s="35"/>
      <c r="R124" s="35"/>
      <c r="S124" s="35"/>
    </row>
    <row r="125" ht="15.75" customHeight="1">
      <c r="A125" s="1" t="s">
        <v>8</v>
      </c>
      <c r="B125" s="35">
        <f t="shared" si="88"/>
        <v>0.0001104071922</v>
      </c>
      <c r="C125" s="39">
        <f t="shared" si="89"/>
        <v>-0.005570977455</v>
      </c>
      <c r="D125" s="35">
        <f t="shared" si="90"/>
        <v>0.0005112179768</v>
      </c>
      <c r="E125" s="35">
        <f t="shared" si="97"/>
        <v>0.003708279663</v>
      </c>
      <c r="F125" s="35">
        <f t="shared" si="91"/>
        <v>-0.003154903516</v>
      </c>
      <c r="G125" s="35">
        <f t="shared" si="92"/>
        <v>0.003887909964</v>
      </c>
      <c r="H125" s="35">
        <f t="shared" si="93"/>
        <v>-0.001054004424</v>
      </c>
      <c r="I125" s="35">
        <f t="shared" si="94"/>
        <v>-0.004902461703</v>
      </c>
      <c r="J125" s="35">
        <f t="shared" si="95"/>
        <v>-0.002668862286</v>
      </c>
      <c r="K125" s="186">
        <f t="shared" ref="K125:P125" si="98">J125</f>
        <v>-0.002668862286</v>
      </c>
      <c r="L125" s="186">
        <f t="shared" si="98"/>
        <v>-0.002668862286</v>
      </c>
      <c r="M125" s="186">
        <f t="shared" si="98"/>
        <v>-0.002668862286</v>
      </c>
      <c r="N125" s="186">
        <f t="shared" si="98"/>
        <v>-0.002668862286</v>
      </c>
      <c r="O125" s="186">
        <f t="shared" si="98"/>
        <v>-0.002668862286</v>
      </c>
      <c r="P125" s="186">
        <f t="shared" si="98"/>
        <v>-0.002668862286</v>
      </c>
      <c r="Q125" s="35"/>
      <c r="R125" s="35"/>
      <c r="S125" s="35"/>
    </row>
    <row r="126" ht="15.75" customHeight="1">
      <c r="A126" s="1" t="s">
        <v>10</v>
      </c>
      <c r="B126" s="35">
        <f t="shared" si="88"/>
        <v>0.03610490436</v>
      </c>
      <c r="C126" s="39">
        <f t="shared" si="89"/>
        <v>0.03466696042</v>
      </c>
      <c r="D126" s="35">
        <f t="shared" si="90"/>
        <v>0.03587797929</v>
      </c>
      <c r="E126" s="35">
        <f t="shared" si="97"/>
        <v>0.05756946453</v>
      </c>
      <c r="F126" s="35">
        <f t="shared" si="91"/>
        <v>0.04515199577</v>
      </c>
      <c r="G126" s="35">
        <f t="shared" si="92"/>
        <v>0.04876371284</v>
      </c>
      <c r="H126" s="35">
        <f t="shared" si="93"/>
        <v>0.04586674033</v>
      </c>
      <c r="I126" s="35">
        <f t="shared" si="94"/>
        <v>0.04483155547</v>
      </c>
      <c r="J126" s="35">
        <f t="shared" si="95"/>
        <v>0.04442182405</v>
      </c>
      <c r="K126" s="74">
        <v>0.04</v>
      </c>
      <c r="L126" s="186">
        <f t="shared" ref="L126:P126" si="99">K126</f>
        <v>0.04</v>
      </c>
      <c r="M126" s="186">
        <f t="shared" si="99"/>
        <v>0.04</v>
      </c>
      <c r="N126" s="186">
        <f t="shared" si="99"/>
        <v>0.04</v>
      </c>
      <c r="O126" s="186">
        <f t="shared" si="99"/>
        <v>0.04</v>
      </c>
      <c r="P126" s="186">
        <f t="shared" si="99"/>
        <v>0.04</v>
      </c>
      <c r="Q126" s="35"/>
      <c r="R126" s="35"/>
      <c r="S126" s="35"/>
    </row>
    <row r="127" ht="15.75" customHeight="1">
      <c r="A127" s="1" t="s">
        <v>12</v>
      </c>
      <c r="B127" s="35">
        <f t="shared" si="88"/>
        <v>0.1422097211</v>
      </c>
      <c r="C127" s="39">
        <f t="shared" si="89"/>
        <v>0.1281927003</v>
      </c>
      <c r="D127" s="35">
        <f t="shared" si="90"/>
        <v>0.1252433924</v>
      </c>
      <c r="E127" s="35">
        <f t="shared" si="97"/>
        <v>0.216331502</v>
      </c>
      <c r="F127" s="35">
        <f t="shared" si="91"/>
        <v>0.1571451229</v>
      </c>
      <c r="G127" s="35">
        <f t="shared" si="92"/>
        <v>0.1540030126</v>
      </c>
      <c r="H127" s="35">
        <f t="shared" si="93"/>
        <v>0.1434702671</v>
      </c>
      <c r="I127" s="35">
        <f t="shared" si="94"/>
        <v>0.123951629</v>
      </c>
      <c r="J127" s="35">
        <f t="shared" si="95"/>
        <v>0.1237157951</v>
      </c>
      <c r="K127" s="186">
        <f t="shared" ref="K127:P127" si="100">J127</f>
        <v>0.1237157951</v>
      </c>
      <c r="L127" s="186">
        <f t="shared" si="100"/>
        <v>0.1237157951</v>
      </c>
      <c r="M127" s="186">
        <f t="shared" si="100"/>
        <v>0.1237157951</v>
      </c>
      <c r="N127" s="186">
        <f t="shared" si="100"/>
        <v>0.1237157951</v>
      </c>
      <c r="O127" s="186">
        <f t="shared" si="100"/>
        <v>0.1237157951</v>
      </c>
      <c r="P127" s="186">
        <f t="shared" si="100"/>
        <v>0.1237157951</v>
      </c>
      <c r="Q127" s="35"/>
      <c r="R127" s="35"/>
      <c r="S127" s="35"/>
    </row>
    <row r="128" ht="15.75" customHeight="1">
      <c r="A128" s="1" t="s">
        <v>85</v>
      </c>
      <c r="B128" s="35">
        <f t="shared" si="88"/>
        <v>-0.001055002059</v>
      </c>
      <c r="C128" s="39">
        <f t="shared" si="89"/>
        <v>-0.001521627378</v>
      </c>
      <c r="D128" s="35">
        <f t="shared" si="90"/>
        <v>-0.00124170837</v>
      </c>
      <c r="E128" s="35">
        <f t="shared" si="97"/>
        <v>-0.002139796535</v>
      </c>
      <c r="F128" s="35">
        <f t="shared" si="91"/>
        <v>-0.001608511763</v>
      </c>
      <c r="G128" s="35">
        <f t="shared" si="92"/>
        <v>-0.001034502359</v>
      </c>
      <c r="H128" s="35">
        <f t="shared" si="93"/>
        <v>-0.001635914493</v>
      </c>
      <c r="I128" s="35">
        <f t="shared" si="94"/>
        <v>-0.001321680028</v>
      </c>
      <c r="J128" s="35">
        <f t="shared" si="95"/>
        <v>-0.001837750655</v>
      </c>
      <c r="K128" s="186">
        <f t="shared" ref="K128:P128" si="101">J128</f>
        <v>-0.001837750655</v>
      </c>
      <c r="L128" s="186">
        <f t="shared" si="101"/>
        <v>-0.001837750655</v>
      </c>
      <c r="M128" s="186">
        <f t="shared" si="101"/>
        <v>-0.001837750655</v>
      </c>
      <c r="N128" s="186">
        <f t="shared" si="101"/>
        <v>-0.001837750655</v>
      </c>
      <c r="O128" s="186">
        <f t="shared" si="101"/>
        <v>-0.001837750655</v>
      </c>
      <c r="P128" s="186">
        <f t="shared" si="101"/>
        <v>-0.001837750655</v>
      </c>
      <c r="Q128" s="35"/>
      <c r="R128" s="35"/>
      <c r="S128" s="35"/>
    </row>
    <row r="129" ht="15.75" customHeight="1">
      <c r="A129" s="5"/>
    </row>
    <row r="130" ht="15.75" customHeight="1">
      <c r="A130" s="5"/>
    </row>
    <row r="131" ht="15.75" customHeight="1">
      <c r="A131" s="5"/>
    </row>
    <row r="132" ht="15.75" customHeight="1">
      <c r="A132" s="18" t="s">
        <v>87</v>
      </c>
    </row>
    <row r="133" ht="15.75" customHeight="1">
      <c r="A133" s="5"/>
    </row>
    <row r="134" ht="15.75" customHeight="1">
      <c r="A134" s="17" t="s">
        <v>60</v>
      </c>
      <c r="B134" s="27">
        <f t="shared" ref="B134:Q134" si="102">sum(B135:B140)</f>
        <v>79004</v>
      </c>
      <c r="C134" s="27">
        <f t="shared" si="102"/>
        <v>87745</v>
      </c>
      <c r="D134" s="27">
        <f t="shared" si="102"/>
        <v>78560</v>
      </c>
      <c r="E134" s="27">
        <f t="shared" si="102"/>
        <v>121849</v>
      </c>
      <c r="F134" s="27">
        <f t="shared" si="102"/>
        <v>84116</v>
      </c>
      <c r="G134" s="27">
        <f t="shared" si="102"/>
        <v>150499</v>
      </c>
      <c r="H134" s="27">
        <f t="shared" si="102"/>
        <v>137512</v>
      </c>
      <c r="I134" s="27">
        <f t="shared" si="102"/>
        <v>129207</v>
      </c>
      <c r="J134" s="27">
        <f t="shared" si="102"/>
        <v>198064</v>
      </c>
      <c r="K134" s="27">
        <f t="shared" si="102"/>
        <v>209876.9401</v>
      </c>
      <c r="L134" s="27">
        <f t="shared" si="102"/>
        <v>245214.4084</v>
      </c>
      <c r="M134" s="27">
        <f t="shared" si="102"/>
        <v>286605.6154</v>
      </c>
      <c r="N134" s="27">
        <f t="shared" si="102"/>
        <v>335099.7624</v>
      </c>
      <c r="O134" s="27">
        <f t="shared" si="102"/>
        <v>391929.2833</v>
      </c>
      <c r="P134" s="27">
        <f t="shared" si="102"/>
        <v>458542.0012</v>
      </c>
      <c r="Q134" s="188">
        <f t="shared" si="102"/>
        <v>0</v>
      </c>
      <c r="R134" s="34"/>
      <c r="S134" s="34"/>
      <c r="T134" s="34"/>
      <c r="U134" s="34"/>
      <c r="V134" s="34"/>
      <c r="W134" s="34"/>
      <c r="X134" s="34"/>
      <c r="Y134" s="34"/>
      <c r="Z134" s="34"/>
    </row>
    <row r="135" ht="15.75" customHeight="1">
      <c r="A135" s="16" t="s">
        <v>61</v>
      </c>
      <c r="B135" s="189">
        <f t="shared" ref="B135:J135" si="103">B82</f>
        <v>31326</v>
      </c>
      <c r="C135" s="189">
        <f t="shared" si="103"/>
        <v>32637</v>
      </c>
      <c r="D135" s="189">
        <f t="shared" si="103"/>
        <v>31602</v>
      </c>
      <c r="E135" s="189">
        <f t="shared" si="103"/>
        <v>33226</v>
      </c>
      <c r="F135" s="189">
        <f t="shared" si="103"/>
        <v>32139</v>
      </c>
      <c r="G135" s="189">
        <f t="shared" si="103"/>
        <v>30490</v>
      </c>
      <c r="H135" s="189">
        <f t="shared" si="103"/>
        <v>35323</v>
      </c>
      <c r="I135" s="189">
        <f t="shared" si="103"/>
        <v>54435</v>
      </c>
      <c r="J135" s="189">
        <f t="shared" si="103"/>
        <v>53181</v>
      </c>
      <c r="K135" s="190">
        <f t="shared" ref="K135:K140" si="105">$K$150*K154</f>
        <v>69824.85122</v>
      </c>
      <c r="L135" s="190">
        <f t="shared" ref="L135:L140" si="106">$L$150*L154</f>
        <v>81581.42375</v>
      </c>
      <c r="M135" s="190">
        <f t="shared" ref="M135:M140" si="107">$M$150*M154</f>
        <v>95352.0403</v>
      </c>
      <c r="N135" s="190">
        <f t="shared" ref="N135:N140" si="108">$N$150*N154</f>
        <v>111485.7642</v>
      </c>
      <c r="O135" s="190">
        <f t="shared" ref="O135:O140" si="109">$O$150*O154</f>
        <v>130392.619</v>
      </c>
      <c r="P135" s="190">
        <f t="shared" ref="P135:P140" si="110">$P$150*P154</f>
        <v>152554.2873</v>
      </c>
      <c r="Q135" s="191"/>
    </row>
    <row r="136" ht="15.75" customHeight="1">
      <c r="A136" s="16" t="s">
        <v>62</v>
      </c>
      <c r="B136" s="189">
        <f t="shared" ref="B136:J136" si="104">B83</f>
        <v>13234</v>
      </c>
      <c r="C136" s="189">
        <f t="shared" si="104"/>
        <v>12026</v>
      </c>
      <c r="D136" s="189">
        <f t="shared" si="104"/>
        <v>14654</v>
      </c>
      <c r="E136" s="189">
        <f t="shared" si="104"/>
        <v>23128</v>
      </c>
      <c r="F136" s="189">
        <f t="shared" si="104"/>
        <v>21298</v>
      </c>
      <c r="G136" s="189">
        <f t="shared" si="104"/>
        <v>12799</v>
      </c>
      <c r="H136" s="189">
        <f t="shared" si="104"/>
        <v>20345</v>
      </c>
      <c r="I136" s="189">
        <f t="shared" si="104"/>
        <v>32848</v>
      </c>
      <c r="J136" s="189">
        <f t="shared" si="104"/>
        <v>45968</v>
      </c>
      <c r="K136" s="190">
        <f t="shared" si="105"/>
        <v>52368.63842</v>
      </c>
      <c r="L136" s="190">
        <f t="shared" si="106"/>
        <v>61186.06781</v>
      </c>
      <c r="M136" s="190">
        <f t="shared" si="107"/>
        <v>71514.03023</v>
      </c>
      <c r="N136" s="190">
        <f t="shared" si="108"/>
        <v>83614.32315</v>
      </c>
      <c r="O136" s="190">
        <f t="shared" si="109"/>
        <v>97794.46428</v>
      </c>
      <c r="P136" s="190">
        <f t="shared" si="110"/>
        <v>114415.7154</v>
      </c>
      <c r="Q136" s="191"/>
    </row>
    <row r="137" ht="15.75" customHeight="1">
      <c r="A137" s="16" t="s">
        <v>64</v>
      </c>
      <c r="B137" s="189">
        <f t="shared" ref="B137:J137" si="111">B85</f>
        <v>31</v>
      </c>
      <c r="C137" s="189">
        <f t="shared" si="111"/>
        <v>25</v>
      </c>
      <c r="D137" s="189">
        <f t="shared" si="111"/>
        <v>30</v>
      </c>
      <c r="E137" s="189">
        <f t="shared" si="111"/>
        <v>161</v>
      </c>
      <c r="F137" s="189">
        <f t="shared" si="111"/>
        <v>170</v>
      </c>
      <c r="G137" s="189">
        <f t="shared" si="111"/>
        <v>230</v>
      </c>
      <c r="H137" s="189">
        <f t="shared" si="111"/>
        <v>305</v>
      </c>
      <c r="I137" s="189">
        <f t="shared" si="111"/>
        <v>297</v>
      </c>
      <c r="J137" s="189">
        <f t="shared" si="111"/>
        <v>327</v>
      </c>
      <c r="K137" s="190">
        <f t="shared" si="105"/>
        <v>402.3864385</v>
      </c>
      <c r="L137" s="190">
        <f t="shared" si="106"/>
        <v>470.1371786</v>
      </c>
      <c r="M137" s="190">
        <f t="shared" si="107"/>
        <v>549.4944455</v>
      </c>
      <c r="N137" s="190">
        <f t="shared" si="108"/>
        <v>642.4698201</v>
      </c>
      <c r="O137" s="190">
        <f t="shared" si="109"/>
        <v>751.4261852</v>
      </c>
      <c r="P137" s="190">
        <f t="shared" si="110"/>
        <v>879.1393789</v>
      </c>
      <c r="Q137" s="191"/>
    </row>
    <row r="138" ht="15.75" customHeight="1">
      <c r="A138" s="16" t="s">
        <v>65</v>
      </c>
      <c r="B138" s="189">
        <f t="shared" ref="B138:J138" si="112">B86</f>
        <v>16611</v>
      </c>
      <c r="C138" s="189">
        <f t="shared" si="112"/>
        <v>15408</v>
      </c>
      <c r="D138" s="189">
        <f t="shared" si="112"/>
        <v>13140</v>
      </c>
      <c r="E138" s="189">
        <f t="shared" si="112"/>
        <v>5638</v>
      </c>
      <c r="F138" s="189">
        <f t="shared" si="112"/>
        <v>7974</v>
      </c>
      <c r="G138" s="189">
        <f t="shared" si="112"/>
        <v>9581</v>
      </c>
      <c r="H138" s="189">
        <f t="shared" si="112"/>
        <v>14608</v>
      </c>
      <c r="I138" s="189">
        <f t="shared" si="112"/>
        <v>15602</v>
      </c>
      <c r="J138" s="189">
        <f t="shared" si="112"/>
        <v>25077</v>
      </c>
      <c r="K138" s="190">
        <f t="shared" si="105"/>
        <v>34912.42561</v>
      </c>
      <c r="L138" s="190">
        <f t="shared" si="106"/>
        <v>40790.71187</v>
      </c>
      <c r="M138" s="190">
        <f t="shared" si="107"/>
        <v>47676.02015</v>
      </c>
      <c r="N138" s="190">
        <f t="shared" si="108"/>
        <v>55742.8821</v>
      </c>
      <c r="O138" s="190">
        <f t="shared" si="109"/>
        <v>65196.30952</v>
      </c>
      <c r="P138" s="190">
        <f t="shared" si="110"/>
        <v>76277.14363</v>
      </c>
      <c r="Q138" s="191"/>
    </row>
    <row r="139" ht="15.75" customHeight="1">
      <c r="A139" s="16" t="s">
        <v>66</v>
      </c>
      <c r="B139" s="189">
        <f t="shared" ref="B139:J139" si="113">B87</f>
        <v>4906</v>
      </c>
      <c r="C139" s="189">
        <f t="shared" si="113"/>
        <v>4910</v>
      </c>
      <c r="D139" s="189">
        <f t="shared" si="113"/>
        <v>4115</v>
      </c>
      <c r="E139" s="189">
        <f t="shared" si="113"/>
        <v>4277</v>
      </c>
      <c r="F139" s="189">
        <f t="shared" si="113"/>
        <v>5272</v>
      </c>
      <c r="G139" s="189">
        <f t="shared" si="113"/>
        <v>0</v>
      </c>
      <c r="H139" s="189">
        <f t="shared" si="113"/>
        <v>0</v>
      </c>
      <c r="I139" s="189">
        <f t="shared" si="113"/>
        <v>0</v>
      </c>
      <c r="J139" s="189">
        <f t="shared" si="113"/>
        <v>0</v>
      </c>
      <c r="K139" s="190">
        <f t="shared" si="105"/>
        <v>0</v>
      </c>
      <c r="L139" s="190">
        <f t="shared" si="106"/>
        <v>0</v>
      </c>
      <c r="M139" s="190">
        <f t="shared" si="107"/>
        <v>0</v>
      </c>
      <c r="N139" s="190">
        <f t="shared" si="108"/>
        <v>0</v>
      </c>
      <c r="O139" s="190">
        <f t="shared" si="109"/>
        <v>0</v>
      </c>
      <c r="P139" s="190">
        <f t="shared" si="110"/>
        <v>0</v>
      </c>
      <c r="Q139" s="191"/>
    </row>
    <row r="140" ht="15.75" customHeight="1">
      <c r="A140" s="1" t="s">
        <v>57</v>
      </c>
      <c r="B140" s="189">
        <f t="shared" ref="B140:J140" si="114">B88+B89+B81</f>
        <v>12896</v>
      </c>
      <c r="C140" s="189">
        <f t="shared" si="114"/>
        <v>22739</v>
      </c>
      <c r="D140" s="189">
        <f t="shared" si="114"/>
        <v>15019</v>
      </c>
      <c r="E140" s="189">
        <f t="shared" si="114"/>
        <v>55419</v>
      </c>
      <c r="F140" s="189">
        <f t="shared" si="114"/>
        <v>17263</v>
      </c>
      <c r="G140" s="189">
        <f t="shared" si="114"/>
        <v>97399</v>
      </c>
      <c r="H140" s="189">
        <f t="shared" si="114"/>
        <v>66931</v>
      </c>
      <c r="I140" s="189">
        <f t="shared" si="114"/>
        <v>26025</v>
      </c>
      <c r="J140" s="189">
        <f t="shared" si="114"/>
        <v>73511</v>
      </c>
      <c r="K140" s="190">
        <f t="shared" si="105"/>
        <v>52368.63842</v>
      </c>
      <c r="L140" s="190">
        <f t="shared" si="106"/>
        <v>61186.06781</v>
      </c>
      <c r="M140" s="190">
        <f t="shared" si="107"/>
        <v>71514.03023</v>
      </c>
      <c r="N140" s="190">
        <f t="shared" si="108"/>
        <v>83614.32315</v>
      </c>
      <c r="O140" s="190">
        <f t="shared" si="109"/>
        <v>97794.46428</v>
      </c>
      <c r="P140" s="190">
        <f t="shared" si="110"/>
        <v>114415.7154</v>
      </c>
      <c r="Q140" s="192"/>
    </row>
    <row r="141" ht="15.75" customHeight="1">
      <c r="A141" s="5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</row>
    <row r="142" ht="15.75" customHeight="1">
      <c r="A142" s="17" t="s">
        <v>42</v>
      </c>
      <c r="B142" s="27">
        <f t="shared" ref="B142:P142" si="115">sum(B143:B148)</f>
        <v>110441</v>
      </c>
      <c r="C142" s="27">
        <f t="shared" si="115"/>
        <v>132368</v>
      </c>
      <c r="D142" s="27">
        <f t="shared" si="115"/>
        <v>154485</v>
      </c>
      <c r="E142" s="27">
        <f t="shared" si="115"/>
        <v>141605</v>
      </c>
      <c r="F142" s="27">
        <f t="shared" si="115"/>
        <v>113054</v>
      </c>
      <c r="G142" s="27">
        <f t="shared" si="115"/>
        <v>162139</v>
      </c>
      <c r="H142" s="27">
        <f t="shared" si="115"/>
        <v>170235</v>
      </c>
      <c r="I142" s="27">
        <f t="shared" si="115"/>
        <v>227667</v>
      </c>
      <c r="J142" s="27">
        <f t="shared" si="115"/>
        <v>259518</v>
      </c>
      <c r="K142" s="27">
        <f t="shared" si="115"/>
        <v>333413.6646</v>
      </c>
      <c r="L142" s="27">
        <f t="shared" si="115"/>
        <v>389551.2984</v>
      </c>
      <c r="M142" s="27">
        <f t="shared" si="115"/>
        <v>455305.9924</v>
      </c>
      <c r="N142" s="27">
        <f t="shared" si="115"/>
        <v>532344.524</v>
      </c>
      <c r="O142" s="27">
        <f t="shared" si="115"/>
        <v>622624.7559</v>
      </c>
      <c r="P142" s="27">
        <f t="shared" si="115"/>
        <v>728446.7217</v>
      </c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ht="15.75" customHeight="1">
      <c r="A143" s="1" t="s">
        <v>43</v>
      </c>
      <c r="B143" s="6">
        <f t="shared" ref="B143:J143" si="116">B56</f>
        <v>7956</v>
      </c>
      <c r="C143" s="6">
        <f t="shared" si="116"/>
        <v>8036</v>
      </c>
      <c r="D143" s="6">
        <f t="shared" si="116"/>
        <v>8541</v>
      </c>
      <c r="E143" s="6">
        <f t="shared" si="116"/>
        <v>6729</v>
      </c>
      <c r="F143" s="6">
        <f t="shared" si="116"/>
        <v>6962</v>
      </c>
      <c r="G143" s="6">
        <f t="shared" si="116"/>
        <v>8547</v>
      </c>
      <c r="H143" s="6">
        <f t="shared" si="116"/>
        <v>11113</v>
      </c>
      <c r="I143" s="6">
        <f t="shared" si="116"/>
        <v>11584</v>
      </c>
      <c r="J143" s="6">
        <f t="shared" si="116"/>
        <v>12030</v>
      </c>
      <c r="K143" s="120">
        <f t="shared" ref="K143:K148" si="118">$K$150*K162</f>
        <v>17456.21281</v>
      </c>
      <c r="L143" s="120">
        <f t="shared" ref="L143:L148" si="119">$L$150*L162</f>
        <v>20395.35594</v>
      </c>
      <c r="M143" s="120">
        <f t="shared" ref="M143:M148" si="120">$M$150*M162</f>
        <v>23838.01008</v>
      </c>
      <c r="N143" s="120">
        <f t="shared" ref="N143:N148" si="121">$N$150*N162</f>
        <v>27871.44105</v>
      </c>
      <c r="O143" s="120">
        <f t="shared" ref="O143:O148" si="122">$O$150*O162</f>
        <v>32598.15476</v>
      </c>
      <c r="P143" s="120">
        <f t="shared" ref="P143:P148" si="123">$P$150*P162</f>
        <v>38138.57181</v>
      </c>
    </row>
    <row r="144" ht="15.75" customHeight="1">
      <c r="A144" s="1" t="s">
        <v>44</v>
      </c>
      <c r="B144" s="6">
        <f t="shared" ref="B144:J144" si="117">B57</f>
        <v>774</v>
      </c>
      <c r="C144" s="6">
        <f t="shared" si="117"/>
        <v>4838</v>
      </c>
      <c r="D144" s="6">
        <f t="shared" si="117"/>
        <v>1108</v>
      </c>
      <c r="E144" s="6">
        <f t="shared" si="117"/>
        <v>1496</v>
      </c>
      <c r="F144" s="6">
        <f t="shared" si="117"/>
        <v>1063</v>
      </c>
      <c r="G144" s="6">
        <f t="shared" si="117"/>
        <v>4888</v>
      </c>
      <c r="H144" s="6">
        <f t="shared" si="117"/>
        <v>3819</v>
      </c>
      <c r="I144" s="6">
        <f t="shared" si="117"/>
        <v>22900</v>
      </c>
      <c r="J144" s="6">
        <f t="shared" si="117"/>
        <v>22237</v>
      </c>
      <c r="K144" s="120">
        <f t="shared" si="118"/>
        <v>1745.621281</v>
      </c>
      <c r="L144" s="120">
        <f t="shared" si="119"/>
        <v>2039.535594</v>
      </c>
      <c r="M144" s="120">
        <f t="shared" si="120"/>
        <v>2383.801008</v>
      </c>
      <c r="N144" s="120">
        <f t="shared" si="121"/>
        <v>2787.144105</v>
      </c>
      <c r="O144" s="120">
        <f t="shared" si="122"/>
        <v>3259.815476</v>
      </c>
      <c r="P144" s="120">
        <f t="shared" si="123"/>
        <v>3813.857181</v>
      </c>
    </row>
    <row r="145" ht="15.75" customHeight="1">
      <c r="A145" s="1" t="s">
        <v>45</v>
      </c>
      <c r="B145" s="6">
        <f t="shared" ref="B145:J145" si="124">B58</f>
        <v>74089</v>
      </c>
      <c r="C145" s="6">
        <f t="shared" si="124"/>
        <v>83692</v>
      </c>
      <c r="D145" s="6">
        <f t="shared" si="124"/>
        <v>104993</v>
      </c>
      <c r="E145" s="6">
        <f t="shared" si="124"/>
        <v>96377</v>
      </c>
      <c r="F145" s="6">
        <f t="shared" si="124"/>
        <v>74988</v>
      </c>
      <c r="G145" s="6">
        <f t="shared" si="124"/>
        <v>101681</v>
      </c>
      <c r="H145" s="6">
        <f t="shared" si="124"/>
        <v>97652</v>
      </c>
      <c r="I145" s="6">
        <f t="shared" si="124"/>
        <v>136755</v>
      </c>
      <c r="J145" s="6">
        <f t="shared" si="124"/>
        <v>169884</v>
      </c>
      <c r="K145" s="120">
        <f t="shared" si="118"/>
        <v>209474.5537</v>
      </c>
      <c r="L145" s="120">
        <f t="shared" si="119"/>
        <v>244744.2712</v>
      </c>
      <c r="M145" s="120">
        <f t="shared" si="120"/>
        <v>286056.1209</v>
      </c>
      <c r="N145" s="120">
        <f t="shared" si="121"/>
        <v>334457.2926</v>
      </c>
      <c r="O145" s="120">
        <f t="shared" si="122"/>
        <v>391177.8571</v>
      </c>
      <c r="P145" s="120">
        <f t="shared" si="123"/>
        <v>457662.8618</v>
      </c>
    </row>
    <row r="146" ht="15.75" customHeight="1">
      <c r="A146" s="1" t="s">
        <v>46</v>
      </c>
      <c r="B146" s="6">
        <f t="shared" ref="B146:J146" si="125">B59</f>
        <v>11650</v>
      </c>
      <c r="C146" s="6">
        <f t="shared" si="125"/>
        <v>18278</v>
      </c>
      <c r="D146" s="6">
        <f t="shared" si="125"/>
        <v>20896</v>
      </c>
      <c r="E146" s="6">
        <f t="shared" si="125"/>
        <v>16329</v>
      </c>
      <c r="F146" s="6">
        <f t="shared" si="125"/>
        <v>14091</v>
      </c>
      <c r="G146" s="6">
        <f t="shared" si="125"/>
        <v>26801</v>
      </c>
      <c r="H146" s="6">
        <f t="shared" si="125"/>
        <v>28686</v>
      </c>
      <c r="I146" s="6">
        <f t="shared" si="125"/>
        <v>33372</v>
      </c>
      <c r="J146" s="6">
        <f t="shared" si="125"/>
        <v>41739</v>
      </c>
      <c r="K146" s="120">
        <f t="shared" si="118"/>
        <v>52368.63842</v>
      </c>
      <c r="L146" s="120">
        <f t="shared" si="119"/>
        <v>61186.06781</v>
      </c>
      <c r="M146" s="120">
        <f t="shared" si="120"/>
        <v>71514.03023</v>
      </c>
      <c r="N146" s="120">
        <f t="shared" si="121"/>
        <v>83614.32315</v>
      </c>
      <c r="O146" s="120">
        <f t="shared" si="122"/>
        <v>97794.46428</v>
      </c>
      <c r="P146" s="120">
        <f t="shared" si="123"/>
        <v>114415.7154</v>
      </c>
    </row>
    <row r="147" ht="15.75" customHeight="1">
      <c r="A147" s="1" t="s">
        <v>47</v>
      </c>
      <c r="B147" s="6">
        <f t="shared" ref="B147:J147" si="126">B60</f>
        <v>3994</v>
      </c>
      <c r="C147" s="6">
        <f t="shared" si="126"/>
        <v>4496</v>
      </c>
      <c r="D147" s="6">
        <f t="shared" si="126"/>
        <v>5609</v>
      </c>
      <c r="E147" s="6">
        <f t="shared" si="126"/>
        <v>6254</v>
      </c>
      <c r="F147" s="6">
        <f t="shared" si="126"/>
        <v>6807</v>
      </c>
      <c r="G147" s="6">
        <f t="shared" si="126"/>
        <v>7428</v>
      </c>
      <c r="H147" s="6">
        <f t="shared" si="126"/>
        <v>8613</v>
      </c>
      <c r="I147" s="6">
        <f t="shared" si="126"/>
        <v>10830</v>
      </c>
      <c r="J147" s="6">
        <f t="shared" si="126"/>
        <v>13119</v>
      </c>
      <c r="K147" s="120">
        <f t="shared" si="118"/>
        <v>17456.21281</v>
      </c>
      <c r="L147" s="120">
        <f t="shared" si="119"/>
        <v>20395.35594</v>
      </c>
      <c r="M147" s="120">
        <f t="shared" si="120"/>
        <v>23838.01008</v>
      </c>
      <c r="N147" s="120">
        <f t="shared" si="121"/>
        <v>27871.44105</v>
      </c>
      <c r="O147" s="120">
        <f t="shared" si="122"/>
        <v>32598.15476</v>
      </c>
      <c r="P147" s="120">
        <f t="shared" si="123"/>
        <v>38138.57181</v>
      </c>
    </row>
    <row r="148" ht="15.75" customHeight="1">
      <c r="A148" s="1" t="s">
        <v>48</v>
      </c>
      <c r="B148" s="6">
        <f t="shared" ref="B148:J148" si="127">B61</f>
        <v>11978</v>
      </c>
      <c r="C148" s="6">
        <f t="shared" si="127"/>
        <v>13028</v>
      </c>
      <c r="D148" s="6">
        <f t="shared" si="127"/>
        <v>13338</v>
      </c>
      <c r="E148" s="6">
        <f t="shared" si="127"/>
        <v>14420</v>
      </c>
      <c r="F148" s="6">
        <f t="shared" si="127"/>
        <v>9143</v>
      </c>
      <c r="G148" s="6">
        <f t="shared" si="127"/>
        <v>12794</v>
      </c>
      <c r="H148" s="6">
        <f t="shared" si="127"/>
        <v>20352</v>
      </c>
      <c r="I148" s="6">
        <f t="shared" si="127"/>
        <v>12226</v>
      </c>
      <c r="J148" s="6">
        <f t="shared" si="127"/>
        <v>509</v>
      </c>
      <c r="K148" s="120">
        <f t="shared" si="118"/>
        <v>34912.42561</v>
      </c>
      <c r="L148" s="120">
        <f t="shared" si="119"/>
        <v>40790.71187</v>
      </c>
      <c r="M148" s="120">
        <f t="shared" si="120"/>
        <v>47676.02015</v>
      </c>
      <c r="N148" s="120">
        <f t="shared" si="121"/>
        <v>55742.8821</v>
      </c>
      <c r="O148" s="120">
        <f t="shared" si="122"/>
        <v>65196.30952</v>
      </c>
      <c r="P148" s="120">
        <f t="shared" si="123"/>
        <v>76277.14363</v>
      </c>
    </row>
    <row r="149" ht="15.75" customHeight="1">
      <c r="A149" s="5"/>
    </row>
    <row r="150" ht="15.75" customHeight="1">
      <c r="A150" s="18" t="s">
        <v>88</v>
      </c>
      <c r="B150" s="27">
        <f t="shared" ref="B150:P150" si="128">B3</f>
        <v>570615</v>
      </c>
      <c r="C150" s="27">
        <f t="shared" si="128"/>
        <v>680850</v>
      </c>
      <c r="D150" s="27">
        <f t="shared" si="128"/>
        <v>798094</v>
      </c>
      <c r="E150" s="27">
        <f t="shared" si="128"/>
        <v>860685</v>
      </c>
      <c r="F150" s="27">
        <f t="shared" si="128"/>
        <v>756600</v>
      </c>
      <c r="G150" s="27">
        <f t="shared" si="128"/>
        <v>703720</v>
      </c>
      <c r="H150" s="27">
        <f t="shared" si="128"/>
        <v>883298</v>
      </c>
      <c r="I150" s="27">
        <f t="shared" si="128"/>
        <v>1184099</v>
      </c>
      <c r="J150" s="27">
        <f t="shared" si="128"/>
        <v>1418582</v>
      </c>
      <c r="K150" s="27">
        <f t="shared" si="128"/>
        <v>1745621.281</v>
      </c>
      <c r="L150" s="27">
        <f t="shared" si="128"/>
        <v>2039535.594</v>
      </c>
      <c r="M150" s="27">
        <f t="shared" si="128"/>
        <v>2383801.008</v>
      </c>
      <c r="N150" s="27">
        <f t="shared" si="128"/>
        <v>2787144.105</v>
      </c>
      <c r="O150" s="27">
        <f t="shared" si="128"/>
        <v>3259815.476</v>
      </c>
      <c r="P150" s="27">
        <f t="shared" si="128"/>
        <v>3813857.181</v>
      </c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ht="15.75" customHeight="1">
      <c r="A151" s="5"/>
    </row>
    <row r="152" ht="15.75" customHeight="1">
      <c r="A152" s="18" t="s">
        <v>89</v>
      </c>
    </row>
    <row r="153" ht="15.75" customHeight="1">
      <c r="A153" s="121" t="s">
        <v>60</v>
      </c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ht="15.75" customHeight="1">
      <c r="A154" s="16" t="s">
        <v>61</v>
      </c>
      <c r="B154" s="35">
        <f t="shared" ref="B154:B159" si="130">B135/$B$150</f>
        <v>0.05489866197</v>
      </c>
      <c r="C154" s="35">
        <f t="shared" ref="C154:C159" si="131">C135/$C$150</f>
        <v>0.04793566865</v>
      </c>
      <c r="D154" s="35">
        <f t="shared" ref="D154:D159" si="132">D135/$D$150</f>
        <v>0.03959683947</v>
      </c>
      <c r="E154" s="35">
        <f t="shared" ref="E154:E159" si="133">E135/$E$150</f>
        <v>0.03860413508</v>
      </c>
      <c r="F154" s="35">
        <f t="shared" ref="F154:F159" si="134">F135/$F$150</f>
        <v>0.04247819191</v>
      </c>
      <c r="G154" s="35">
        <f t="shared" ref="G154:G159" si="135">G135/$G$150</f>
        <v>0.04332689138</v>
      </c>
      <c r="H154" s="35">
        <f t="shared" ref="H154:H159" si="136">H135/$H$150</f>
        <v>0.03998990148</v>
      </c>
      <c r="I154" s="35">
        <f t="shared" ref="I154:I159" si="137">I135/$I$150</f>
        <v>0.04597166284</v>
      </c>
      <c r="J154" s="35">
        <f t="shared" ref="J154:J159" si="138">J135/$J$150</f>
        <v>0.03748884449</v>
      </c>
      <c r="K154" s="180">
        <v>0.04</v>
      </c>
      <c r="L154" s="181">
        <f t="shared" ref="L154:P154" si="129">K154</f>
        <v>0.04</v>
      </c>
      <c r="M154" s="181">
        <f t="shared" si="129"/>
        <v>0.04</v>
      </c>
      <c r="N154" s="181">
        <f t="shared" si="129"/>
        <v>0.04</v>
      </c>
      <c r="O154" s="181">
        <f t="shared" si="129"/>
        <v>0.04</v>
      </c>
      <c r="P154" s="181">
        <f t="shared" si="129"/>
        <v>0.04</v>
      </c>
    </row>
    <row r="155" ht="15.75" customHeight="1">
      <c r="A155" s="16" t="s">
        <v>62</v>
      </c>
      <c r="B155" s="35">
        <f t="shared" si="130"/>
        <v>0.02319252035</v>
      </c>
      <c r="C155" s="35">
        <f t="shared" si="131"/>
        <v>0.0176632151</v>
      </c>
      <c r="D155" s="35">
        <f t="shared" si="132"/>
        <v>0.01836124567</v>
      </c>
      <c r="E155" s="35">
        <f t="shared" si="133"/>
        <v>0.0268716197</v>
      </c>
      <c r="F155" s="35">
        <f t="shared" si="134"/>
        <v>0.02814961671</v>
      </c>
      <c r="G155" s="35">
        <f t="shared" si="135"/>
        <v>0.01818763144</v>
      </c>
      <c r="H155" s="35">
        <f t="shared" si="136"/>
        <v>0.02303299679</v>
      </c>
      <c r="I155" s="35">
        <f t="shared" si="137"/>
        <v>0.02774092369</v>
      </c>
      <c r="J155" s="35">
        <f t="shared" si="138"/>
        <v>0.03240418954</v>
      </c>
      <c r="K155" s="180">
        <v>0.03</v>
      </c>
      <c r="L155" s="181">
        <f t="shared" ref="L155:P155" si="139">K155</f>
        <v>0.03</v>
      </c>
      <c r="M155" s="181">
        <f t="shared" si="139"/>
        <v>0.03</v>
      </c>
      <c r="N155" s="181">
        <f t="shared" si="139"/>
        <v>0.03</v>
      </c>
      <c r="O155" s="181">
        <f t="shared" si="139"/>
        <v>0.03</v>
      </c>
      <c r="P155" s="181">
        <f t="shared" si="139"/>
        <v>0.03</v>
      </c>
    </row>
    <row r="156" ht="15.75" customHeight="1">
      <c r="A156" s="16" t="s">
        <v>64</v>
      </c>
      <c r="B156" s="35">
        <f t="shared" si="130"/>
        <v>0.00005432734856</v>
      </c>
      <c r="C156" s="35">
        <f t="shared" si="131"/>
        <v>0.00003671880737</v>
      </c>
      <c r="D156" s="35">
        <f t="shared" si="132"/>
        <v>0.00003758955712</v>
      </c>
      <c r="E156" s="35">
        <f t="shared" si="133"/>
        <v>0.0001870603066</v>
      </c>
      <c r="F156" s="35">
        <f t="shared" si="134"/>
        <v>0.0002246893999</v>
      </c>
      <c r="G156" s="35">
        <f t="shared" si="135"/>
        <v>0.0003268345365</v>
      </c>
      <c r="H156" s="35">
        <f t="shared" si="136"/>
        <v>0.0003452968307</v>
      </c>
      <c r="I156" s="35">
        <f t="shared" si="137"/>
        <v>0.000250823622</v>
      </c>
      <c r="J156" s="35">
        <f t="shared" si="138"/>
        <v>0.0002305118774</v>
      </c>
      <c r="K156" s="193">
        <f t="shared" ref="K156:P156" si="140">J156</f>
        <v>0.0002305118774</v>
      </c>
      <c r="L156" s="181">
        <f t="shared" si="140"/>
        <v>0.0002305118774</v>
      </c>
      <c r="M156" s="181">
        <f t="shared" si="140"/>
        <v>0.0002305118774</v>
      </c>
      <c r="N156" s="181">
        <f t="shared" si="140"/>
        <v>0.0002305118774</v>
      </c>
      <c r="O156" s="181">
        <f t="shared" si="140"/>
        <v>0.0002305118774</v>
      </c>
      <c r="P156" s="181">
        <f t="shared" si="140"/>
        <v>0.0002305118774</v>
      </c>
    </row>
    <row r="157" ht="15.75" customHeight="1">
      <c r="A157" s="16" t="s">
        <v>65</v>
      </c>
      <c r="B157" s="35">
        <f t="shared" si="130"/>
        <v>0.02911069635</v>
      </c>
      <c r="C157" s="35">
        <f t="shared" si="131"/>
        <v>0.02263053536</v>
      </c>
      <c r="D157" s="35">
        <f t="shared" si="132"/>
        <v>0.01646422602</v>
      </c>
      <c r="E157" s="35">
        <f t="shared" si="133"/>
        <v>0.006550596327</v>
      </c>
      <c r="F157" s="35">
        <f t="shared" si="134"/>
        <v>0.01053925456</v>
      </c>
      <c r="G157" s="35">
        <f t="shared" si="135"/>
        <v>0.01361478997</v>
      </c>
      <c r="H157" s="35">
        <f t="shared" si="136"/>
        <v>0.01653802001</v>
      </c>
      <c r="I157" s="35">
        <f t="shared" si="137"/>
        <v>0.01317626313</v>
      </c>
      <c r="J157" s="35">
        <f t="shared" si="138"/>
        <v>0.01767751177</v>
      </c>
      <c r="K157" s="180">
        <v>0.02</v>
      </c>
      <c r="L157" s="181">
        <f t="shared" ref="L157:P157" si="141">K157</f>
        <v>0.02</v>
      </c>
      <c r="M157" s="181">
        <f t="shared" si="141"/>
        <v>0.02</v>
      </c>
      <c r="N157" s="181">
        <f t="shared" si="141"/>
        <v>0.02</v>
      </c>
      <c r="O157" s="181">
        <f t="shared" si="141"/>
        <v>0.02</v>
      </c>
      <c r="P157" s="181">
        <f t="shared" si="141"/>
        <v>0.02</v>
      </c>
    </row>
    <row r="158" ht="15.75" customHeight="1">
      <c r="A158" s="16" t="s">
        <v>66</v>
      </c>
      <c r="B158" s="35">
        <f t="shared" si="130"/>
        <v>0.008597741034</v>
      </c>
      <c r="C158" s="35">
        <f t="shared" si="131"/>
        <v>0.007211573768</v>
      </c>
      <c r="D158" s="35">
        <f t="shared" si="132"/>
        <v>0.005156034252</v>
      </c>
      <c r="E158" s="35">
        <f t="shared" si="133"/>
        <v>0.004969297711</v>
      </c>
      <c r="F158" s="35">
        <f t="shared" si="134"/>
        <v>0.006968014803</v>
      </c>
      <c r="G158" s="35">
        <f t="shared" si="135"/>
        <v>0</v>
      </c>
      <c r="H158" s="35">
        <f t="shared" si="136"/>
        <v>0</v>
      </c>
      <c r="I158" s="35">
        <f t="shared" si="137"/>
        <v>0</v>
      </c>
      <c r="J158" s="35">
        <f t="shared" si="138"/>
        <v>0</v>
      </c>
      <c r="K158" s="193">
        <f t="shared" ref="K158:P158" si="142">J158</f>
        <v>0</v>
      </c>
      <c r="L158" s="181">
        <f t="shared" si="142"/>
        <v>0</v>
      </c>
      <c r="M158" s="181">
        <f t="shared" si="142"/>
        <v>0</v>
      </c>
      <c r="N158" s="181">
        <f t="shared" si="142"/>
        <v>0</v>
      </c>
      <c r="O158" s="181">
        <f t="shared" si="142"/>
        <v>0</v>
      </c>
      <c r="P158" s="181">
        <f t="shared" si="142"/>
        <v>0</v>
      </c>
    </row>
    <row r="159" ht="15.75" customHeight="1">
      <c r="A159" s="1" t="s">
        <v>57</v>
      </c>
      <c r="B159" s="35">
        <f t="shared" si="130"/>
        <v>0.022600177</v>
      </c>
      <c r="C159" s="35">
        <f t="shared" si="131"/>
        <v>0.03339795843</v>
      </c>
      <c r="D159" s="35">
        <f t="shared" si="132"/>
        <v>0.01881858528</v>
      </c>
      <c r="E159" s="35">
        <f t="shared" si="133"/>
        <v>0.06438941076</v>
      </c>
      <c r="F159" s="35">
        <f t="shared" si="134"/>
        <v>0.02281654771</v>
      </c>
      <c r="G159" s="35">
        <f t="shared" si="135"/>
        <v>0.1384059001</v>
      </c>
      <c r="H159" s="35">
        <f t="shared" si="136"/>
        <v>0.07577397436</v>
      </c>
      <c r="I159" s="35">
        <f t="shared" si="137"/>
        <v>0.02197873658</v>
      </c>
      <c r="J159" s="35">
        <f t="shared" si="138"/>
        <v>0.05182005693</v>
      </c>
      <c r="K159" s="180">
        <v>0.03</v>
      </c>
      <c r="L159" s="181">
        <f t="shared" ref="L159:P159" si="143">K159</f>
        <v>0.03</v>
      </c>
      <c r="M159" s="181">
        <f t="shared" si="143"/>
        <v>0.03</v>
      </c>
      <c r="N159" s="181">
        <f t="shared" si="143"/>
        <v>0.03</v>
      </c>
      <c r="O159" s="181">
        <f t="shared" si="143"/>
        <v>0.03</v>
      </c>
      <c r="P159" s="181">
        <f t="shared" si="143"/>
        <v>0.03</v>
      </c>
    </row>
    <row r="160" ht="15.75" customHeight="1">
      <c r="A160" s="5"/>
    </row>
    <row r="161" ht="15.75" customHeight="1">
      <c r="A161" s="5" t="s">
        <v>42</v>
      </c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</row>
    <row r="162" ht="15.75" customHeight="1">
      <c r="A162" s="1" t="s">
        <v>43</v>
      </c>
      <c r="B162" s="35">
        <f t="shared" ref="B162:B167" si="145">B143/$B$150</f>
        <v>0.01394285113</v>
      </c>
      <c r="C162" s="35">
        <f t="shared" ref="C162:C167" si="146">C143/$C$150</f>
        <v>0.01180289344</v>
      </c>
      <c r="D162" s="35">
        <f t="shared" ref="D162:D167" si="147">D143/$D$150</f>
        <v>0.01070174691</v>
      </c>
      <c r="E162" s="35">
        <f t="shared" ref="E162:E167" si="148">E143/$E$150</f>
        <v>0.007818191324</v>
      </c>
      <c r="F162" s="35">
        <f t="shared" ref="F162:F167" si="149">F143/$F$150</f>
        <v>0.009201691779</v>
      </c>
      <c r="G162" s="35">
        <f t="shared" ref="G162:G167" si="150">G143/$G$150</f>
        <v>0.01214545558</v>
      </c>
      <c r="H162" s="35">
        <f t="shared" ref="H162:H167" si="151">H143/$H$150</f>
        <v>0.01258125797</v>
      </c>
      <c r="I162" s="35">
        <f t="shared" ref="I162:I167" si="152">I143/$I$150</f>
        <v>0.009782965782</v>
      </c>
      <c r="J162" s="35">
        <f t="shared" ref="J162:J167" si="153">J143/$J$150</f>
        <v>0.008480299341</v>
      </c>
      <c r="K162" s="180">
        <v>0.01</v>
      </c>
      <c r="L162" s="181">
        <f t="shared" ref="L162:P162" si="144">K162</f>
        <v>0.01</v>
      </c>
      <c r="M162" s="181">
        <f t="shared" si="144"/>
        <v>0.01</v>
      </c>
      <c r="N162" s="181">
        <f t="shared" si="144"/>
        <v>0.01</v>
      </c>
      <c r="O162" s="181">
        <f t="shared" si="144"/>
        <v>0.01</v>
      </c>
      <c r="P162" s="181">
        <f t="shared" si="144"/>
        <v>0.01</v>
      </c>
    </row>
    <row r="163" ht="15.75" customHeight="1">
      <c r="A163" s="1" t="s">
        <v>44</v>
      </c>
      <c r="B163" s="35">
        <f t="shared" si="145"/>
        <v>0.001356431219</v>
      </c>
      <c r="C163" s="35">
        <f t="shared" si="146"/>
        <v>0.007105823603</v>
      </c>
      <c r="D163" s="35">
        <f t="shared" si="147"/>
        <v>0.001388307643</v>
      </c>
      <c r="E163" s="35">
        <f t="shared" si="148"/>
        <v>0.001738150427</v>
      </c>
      <c r="F163" s="35">
        <f t="shared" si="149"/>
        <v>0.001404969601</v>
      </c>
      <c r="G163" s="35">
        <f t="shared" si="150"/>
        <v>0.00694594441</v>
      </c>
      <c r="H163" s="35">
        <f t="shared" si="151"/>
        <v>0.004323569169</v>
      </c>
      <c r="I163" s="35">
        <f t="shared" si="152"/>
        <v>0.01933959914</v>
      </c>
      <c r="J163" s="35">
        <f t="shared" si="153"/>
        <v>0.01567551259</v>
      </c>
      <c r="K163" s="180">
        <v>0.001</v>
      </c>
      <c r="L163" s="181">
        <f t="shared" ref="L163:P163" si="154">K163</f>
        <v>0.001</v>
      </c>
      <c r="M163" s="181">
        <f t="shared" si="154"/>
        <v>0.001</v>
      </c>
      <c r="N163" s="181">
        <f t="shared" si="154"/>
        <v>0.001</v>
      </c>
      <c r="O163" s="181">
        <f t="shared" si="154"/>
        <v>0.001</v>
      </c>
      <c r="P163" s="181">
        <f t="shared" si="154"/>
        <v>0.001</v>
      </c>
    </row>
    <row r="164" ht="15.75" customHeight="1">
      <c r="A164" s="1" t="s">
        <v>45</v>
      </c>
      <c r="B164" s="35">
        <f t="shared" si="145"/>
        <v>0.1298406106</v>
      </c>
      <c r="C164" s="35">
        <f t="shared" si="146"/>
        <v>0.1229228171</v>
      </c>
      <c r="D164" s="35">
        <f t="shared" si="147"/>
        <v>0.131554679</v>
      </c>
      <c r="E164" s="35">
        <f t="shared" si="148"/>
        <v>0.111977088</v>
      </c>
      <c r="F164" s="35">
        <f t="shared" si="149"/>
        <v>0.09911181602</v>
      </c>
      <c r="G164" s="35">
        <f t="shared" si="150"/>
        <v>0.1444907065</v>
      </c>
      <c r="H164" s="35">
        <f t="shared" si="151"/>
        <v>0.1105538561</v>
      </c>
      <c r="I164" s="35">
        <f t="shared" si="152"/>
        <v>0.1154928769</v>
      </c>
      <c r="J164" s="35">
        <f t="shared" si="153"/>
        <v>0.1197562073</v>
      </c>
      <c r="K164" s="180">
        <v>0.12</v>
      </c>
      <c r="L164" s="181">
        <f t="shared" ref="L164:P164" si="155">K164</f>
        <v>0.12</v>
      </c>
      <c r="M164" s="181">
        <f t="shared" si="155"/>
        <v>0.12</v>
      </c>
      <c r="N164" s="181">
        <f t="shared" si="155"/>
        <v>0.12</v>
      </c>
      <c r="O164" s="181">
        <f t="shared" si="155"/>
        <v>0.12</v>
      </c>
      <c r="P164" s="181">
        <f t="shared" si="155"/>
        <v>0.12</v>
      </c>
    </row>
    <row r="165" ht="15.75" customHeight="1">
      <c r="A165" s="1" t="s">
        <v>46</v>
      </c>
      <c r="B165" s="35">
        <f t="shared" si="145"/>
        <v>0.02041656809</v>
      </c>
      <c r="C165" s="35">
        <f t="shared" si="146"/>
        <v>0.02684585445</v>
      </c>
      <c r="D165" s="35">
        <f t="shared" si="147"/>
        <v>0.02618237952</v>
      </c>
      <c r="E165" s="35">
        <f t="shared" si="148"/>
        <v>0.01897209781</v>
      </c>
      <c r="F165" s="35">
        <f t="shared" si="149"/>
        <v>0.01862410785</v>
      </c>
      <c r="G165" s="35">
        <f t="shared" si="150"/>
        <v>0.03808474962</v>
      </c>
      <c r="H165" s="35">
        <f t="shared" si="151"/>
        <v>0.03247601602</v>
      </c>
      <c r="I165" s="35">
        <f t="shared" si="152"/>
        <v>0.02818345426</v>
      </c>
      <c r="J165" s="35">
        <f t="shared" si="153"/>
        <v>0.02942304357</v>
      </c>
      <c r="K165" s="180">
        <v>0.03</v>
      </c>
      <c r="L165" s="181">
        <f t="shared" ref="L165:P165" si="156">K165</f>
        <v>0.03</v>
      </c>
      <c r="M165" s="181">
        <f t="shared" si="156"/>
        <v>0.03</v>
      </c>
      <c r="N165" s="181">
        <f t="shared" si="156"/>
        <v>0.03</v>
      </c>
      <c r="O165" s="181">
        <f t="shared" si="156"/>
        <v>0.03</v>
      </c>
      <c r="P165" s="181">
        <f t="shared" si="156"/>
        <v>0.03</v>
      </c>
    </row>
    <row r="166" ht="15.75" customHeight="1">
      <c r="A166" s="1" t="s">
        <v>47</v>
      </c>
      <c r="B166" s="35">
        <f t="shared" si="145"/>
        <v>0.006999465489</v>
      </c>
      <c r="C166" s="35">
        <f t="shared" si="146"/>
        <v>0.006603510318</v>
      </c>
      <c r="D166" s="35">
        <f t="shared" si="147"/>
        <v>0.007027994196</v>
      </c>
      <c r="E166" s="35">
        <f t="shared" si="148"/>
        <v>0.007266305327</v>
      </c>
      <c r="F166" s="35">
        <f t="shared" si="149"/>
        <v>0.008996827914</v>
      </c>
      <c r="G166" s="35">
        <f t="shared" si="150"/>
        <v>0.01055533451</v>
      </c>
      <c r="H166" s="35">
        <f t="shared" si="151"/>
        <v>0.009750956076</v>
      </c>
      <c r="I166" s="35">
        <f t="shared" si="152"/>
        <v>0.009146194702</v>
      </c>
      <c r="J166" s="35">
        <f t="shared" si="153"/>
        <v>0.009247967336</v>
      </c>
      <c r="K166" s="180">
        <v>0.01</v>
      </c>
      <c r="L166" s="181">
        <f t="shared" ref="L166:P166" si="157">K166</f>
        <v>0.01</v>
      </c>
      <c r="M166" s="181">
        <f t="shared" si="157"/>
        <v>0.01</v>
      </c>
      <c r="N166" s="181">
        <f t="shared" si="157"/>
        <v>0.01</v>
      </c>
      <c r="O166" s="181">
        <f t="shared" si="157"/>
        <v>0.01</v>
      </c>
      <c r="P166" s="181">
        <f t="shared" si="157"/>
        <v>0.01</v>
      </c>
    </row>
    <row r="167" ht="15.75" customHeight="1">
      <c r="A167" s="1" t="s">
        <v>48</v>
      </c>
      <c r="B167" s="35">
        <f t="shared" si="145"/>
        <v>0.02099138649</v>
      </c>
      <c r="C167" s="35">
        <f t="shared" si="146"/>
        <v>0.0191349049</v>
      </c>
      <c r="D167" s="35">
        <f t="shared" si="147"/>
        <v>0.0167123171</v>
      </c>
      <c r="E167" s="35">
        <f t="shared" si="148"/>
        <v>0.01675409703</v>
      </c>
      <c r="F167" s="35">
        <f t="shared" si="149"/>
        <v>0.01208432461</v>
      </c>
      <c r="G167" s="35">
        <f t="shared" si="150"/>
        <v>0.01818052635</v>
      </c>
      <c r="H167" s="35">
        <f t="shared" si="151"/>
        <v>0.02304092164</v>
      </c>
      <c r="I167" s="35">
        <f t="shared" si="152"/>
        <v>0.01032515018</v>
      </c>
      <c r="J167" s="35">
        <f t="shared" si="153"/>
        <v>0.0003588090079</v>
      </c>
      <c r="K167" s="180">
        <v>0.02</v>
      </c>
      <c r="L167" s="181">
        <f t="shared" ref="L167:P167" si="158">K167</f>
        <v>0.02</v>
      </c>
      <c r="M167" s="181">
        <f t="shared" si="158"/>
        <v>0.02</v>
      </c>
      <c r="N167" s="181">
        <f t="shared" si="158"/>
        <v>0.02</v>
      </c>
      <c r="O167" s="181">
        <f t="shared" si="158"/>
        <v>0.02</v>
      </c>
      <c r="P167" s="181">
        <f t="shared" si="158"/>
        <v>0.02</v>
      </c>
    </row>
    <row r="168" ht="15.75" customHeight="1">
      <c r="A168" s="5"/>
    </row>
    <row r="169" ht="15.75" customHeight="1">
      <c r="A169" s="1" t="s">
        <v>90</v>
      </c>
      <c r="B169" s="19">
        <f t="shared" ref="B169:P169" si="159">B134-B142</f>
        <v>-31437</v>
      </c>
      <c r="C169" s="19">
        <f t="shared" si="159"/>
        <v>-44623</v>
      </c>
      <c r="D169" s="19">
        <f t="shared" si="159"/>
        <v>-75925</v>
      </c>
      <c r="E169" s="19">
        <f t="shared" si="159"/>
        <v>-19756</v>
      </c>
      <c r="F169" s="19">
        <f t="shared" si="159"/>
        <v>-28938</v>
      </c>
      <c r="G169" s="19">
        <f t="shared" si="159"/>
        <v>-11640</v>
      </c>
      <c r="H169" s="19">
        <f t="shared" si="159"/>
        <v>-32723</v>
      </c>
      <c r="I169" s="19">
        <f t="shared" si="159"/>
        <v>-98460</v>
      </c>
      <c r="J169" s="19">
        <f t="shared" si="159"/>
        <v>-61454</v>
      </c>
      <c r="K169" s="19">
        <f t="shared" si="159"/>
        <v>-123536.7245</v>
      </c>
      <c r="L169" s="19">
        <f t="shared" si="159"/>
        <v>-144336.89</v>
      </c>
      <c r="M169" s="19">
        <f t="shared" si="159"/>
        <v>-168700.3771</v>
      </c>
      <c r="N169" s="19">
        <f t="shared" si="159"/>
        <v>-197244.7616</v>
      </c>
      <c r="O169" s="19">
        <f t="shared" si="159"/>
        <v>-230695.4726</v>
      </c>
      <c r="P169" s="19">
        <f t="shared" si="159"/>
        <v>-269904.7205</v>
      </c>
    </row>
    <row r="170" ht="15.75" customHeight="1">
      <c r="A170" s="1" t="s">
        <v>91</v>
      </c>
      <c r="C170" s="19">
        <f t="shared" ref="C170:P170" si="160">C169-B169</f>
        <v>-13186</v>
      </c>
      <c r="D170" s="19">
        <f t="shared" si="160"/>
        <v>-31302</v>
      </c>
      <c r="E170" s="19">
        <f t="shared" si="160"/>
        <v>56169</v>
      </c>
      <c r="F170" s="19">
        <f t="shared" si="160"/>
        <v>-9182</v>
      </c>
      <c r="G170" s="19">
        <f t="shared" si="160"/>
        <v>17298</v>
      </c>
      <c r="H170" s="19">
        <f t="shared" si="160"/>
        <v>-21083</v>
      </c>
      <c r="I170" s="19">
        <f t="shared" si="160"/>
        <v>-65737</v>
      </c>
      <c r="J170" s="19">
        <f t="shared" si="160"/>
        <v>37006</v>
      </c>
      <c r="K170" s="19">
        <f t="shared" si="160"/>
        <v>-62082.72448</v>
      </c>
      <c r="L170" s="19">
        <f t="shared" si="160"/>
        <v>-20800.16549</v>
      </c>
      <c r="M170" s="19">
        <f t="shared" si="160"/>
        <v>-24363.48712</v>
      </c>
      <c r="N170" s="19">
        <f t="shared" si="160"/>
        <v>-28544.38454</v>
      </c>
      <c r="O170" s="19">
        <f t="shared" si="160"/>
        <v>-33450.71097</v>
      </c>
      <c r="P170" s="19">
        <f t="shared" si="160"/>
        <v>-39209.2479</v>
      </c>
    </row>
    <row r="171" ht="15.75" customHeight="1">
      <c r="A171" s="5"/>
    </row>
    <row r="172" ht="15.75" customHeight="1">
      <c r="A172" s="5"/>
    </row>
    <row r="173" ht="15.75" customHeight="1">
      <c r="A173" s="5"/>
    </row>
    <row r="174" ht="15.75" customHeight="1">
      <c r="A174" s="18" t="s">
        <v>92</v>
      </c>
    </row>
    <row r="175" ht="15.75" customHeight="1">
      <c r="A175" s="5" t="s">
        <v>93</v>
      </c>
      <c r="B175" s="19">
        <f t="shared" ref="B175:J175" si="161">sum(B68,B70,B72)</f>
        <v>131896</v>
      </c>
      <c r="C175" s="19">
        <f t="shared" si="161"/>
        <v>141900</v>
      </c>
      <c r="D175" s="19">
        <f t="shared" si="161"/>
        <v>152092</v>
      </c>
      <c r="E175" s="19">
        <f t="shared" si="161"/>
        <v>165931</v>
      </c>
      <c r="F175" s="19">
        <f t="shared" si="161"/>
        <v>167529</v>
      </c>
      <c r="G175" s="19">
        <f t="shared" si="161"/>
        <v>159638</v>
      </c>
      <c r="H175" s="19">
        <f t="shared" si="161"/>
        <v>160435</v>
      </c>
      <c r="I175" s="19">
        <f t="shared" si="161"/>
        <v>314476</v>
      </c>
      <c r="J175" s="19">
        <f t="shared" si="161"/>
        <v>349154</v>
      </c>
    </row>
    <row r="176" ht="15.75" customHeight="1">
      <c r="A176" s="5" t="s">
        <v>94</v>
      </c>
      <c r="B176" s="19">
        <f t="shared" ref="B176:J176" si="162">sum(B69,B71)</f>
        <v>3469</v>
      </c>
      <c r="C176" s="19">
        <f t="shared" si="162"/>
        <v>3730</v>
      </c>
      <c r="D176" s="19">
        <f t="shared" si="162"/>
        <v>3117</v>
      </c>
      <c r="E176" s="19">
        <f t="shared" si="162"/>
        <v>4511</v>
      </c>
      <c r="F176" s="19">
        <f t="shared" si="162"/>
        <v>4067</v>
      </c>
      <c r="G176" s="19">
        <f t="shared" si="162"/>
        <v>5217</v>
      </c>
      <c r="H176" s="19">
        <f t="shared" si="162"/>
        <v>6402</v>
      </c>
      <c r="I176" s="19">
        <f t="shared" si="162"/>
        <v>6368</v>
      </c>
      <c r="J176" s="19">
        <f t="shared" si="162"/>
        <v>6842</v>
      </c>
    </row>
    <row r="177" ht="15.75" customHeight="1">
      <c r="A177" s="194" t="s">
        <v>49</v>
      </c>
      <c r="B177" s="27">
        <f t="shared" ref="B177:J177" si="163">SUM(B175:B176)</f>
        <v>135365</v>
      </c>
      <c r="C177" s="27">
        <f t="shared" si="163"/>
        <v>145630</v>
      </c>
      <c r="D177" s="27">
        <f t="shared" si="163"/>
        <v>155209</v>
      </c>
      <c r="E177" s="27">
        <f t="shared" si="163"/>
        <v>170442</v>
      </c>
      <c r="F177" s="27">
        <f t="shared" si="163"/>
        <v>171596</v>
      </c>
      <c r="G177" s="27">
        <f t="shared" si="163"/>
        <v>164855</v>
      </c>
      <c r="H177" s="27">
        <f t="shared" si="163"/>
        <v>166837</v>
      </c>
      <c r="I177" s="27">
        <f t="shared" si="163"/>
        <v>320844</v>
      </c>
      <c r="J177" s="27">
        <f t="shared" si="163"/>
        <v>355996</v>
      </c>
      <c r="K177" s="27">
        <f t="shared" ref="K177:P177" si="164">(K179*K93)/10^6</f>
        <v>408000</v>
      </c>
      <c r="L177" s="27">
        <f t="shared" si="164"/>
        <v>456000</v>
      </c>
      <c r="M177" s="27">
        <f t="shared" si="164"/>
        <v>504000</v>
      </c>
      <c r="N177" s="27">
        <f t="shared" si="164"/>
        <v>552000</v>
      </c>
      <c r="O177" s="27">
        <f t="shared" si="164"/>
        <v>600000</v>
      </c>
      <c r="P177" s="27">
        <f t="shared" si="164"/>
        <v>648000</v>
      </c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ht="15.75" customHeight="1">
      <c r="A178" s="5"/>
    </row>
    <row r="179" ht="15.75" customHeight="1">
      <c r="A179" s="5" t="s">
        <v>95</v>
      </c>
      <c r="B179" s="195">
        <f t="shared" ref="B179:J179" si="165">(B177/B93)*10^6</f>
        <v>90243.33333</v>
      </c>
      <c r="C179" s="195">
        <f t="shared" si="165"/>
        <v>93652.73312</v>
      </c>
      <c r="D179" s="195">
        <f t="shared" si="165"/>
        <v>99061.14373</v>
      </c>
      <c r="E179" s="195">
        <f t="shared" si="165"/>
        <v>108148.4772</v>
      </c>
      <c r="F179" s="195">
        <f t="shared" si="165"/>
        <v>85798</v>
      </c>
      <c r="G179" s="195">
        <f t="shared" si="165"/>
        <v>73268.88889</v>
      </c>
      <c r="H179" s="195">
        <f t="shared" si="165"/>
        <v>74149.77778</v>
      </c>
      <c r="I179" s="195">
        <f t="shared" si="165"/>
        <v>142597.3333</v>
      </c>
      <c r="J179" s="195">
        <f t="shared" si="165"/>
        <v>158220.4444</v>
      </c>
      <c r="K179" s="174">
        <v>160000.0</v>
      </c>
      <c r="L179" s="175">
        <f t="shared" ref="L179:P179" si="166">K179</f>
        <v>160000</v>
      </c>
      <c r="M179" s="175">
        <f t="shared" si="166"/>
        <v>160000</v>
      </c>
      <c r="N179" s="175">
        <f t="shared" si="166"/>
        <v>160000</v>
      </c>
      <c r="O179" s="175">
        <f t="shared" si="166"/>
        <v>160000</v>
      </c>
      <c r="P179" s="175">
        <f t="shared" si="166"/>
        <v>160000</v>
      </c>
    </row>
    <row r="180" ht="15.75" customHeight="1">
      <c r="A180" s="5"/>
    </row>
    <row r="181" ht="15.75" customHeight="1">
      <c r="A181" s="5" t="s">
        <v>96</v>
      </c>
      <c r="B181" s="19"/>
      <c r="C181" s="19"/>
      <c r="D181" s="19"/>
      <c r="E181" s="19"/>
      <c r="F181" s="19"/>
      <c r="G181" s="19"/>
      <c r="H181" s="19"/>
      <c r="I181" s="19"/>
      <c r="J181" s="19"/>
      <c r="K181" s="19">
        <f t="shared" ref="K181:P181" si="167">(K179*K94)/10^6</f>
        <v>48000</v>
      </c>
      <c r="L181" s="19">
        <f t="shared" si="167"/>
        <v>48000</v>
      </c>
      <c r="M181" s="19">
        <f t="shared" si="167"/>
        <v>48000</v>
      </c>
      <c r="N181" s="19">
        <f t="shared" si="167"/>
        <v>48000</v>
      </c>
      <c r="O181" s="19">
        <f t="shared" si="167"/>
        <v>48000</v>
      </c>
      <c r="P181" s="19">
        <f t="shared" si="167"/>
        <v>48000</v>
      </c>
    </row>
    <row r="182" ht="15.75" customHeight="1">
      <c r="A182" s="5" t="s">
        <v>97</v>
      </c>
      <c r="B182" s="19"/>
      <c r="C182" s="19"/>
      <c r="D182" s="19"/>
      <c r="E182" s="19"/>
      <c r="F182" s="19"/>
      <c r="G182" s="19"/>
      <c r="H182" s="19"/>
      <c r="I182" s="19"/>
      <c r="J182" s="19"/>
      <c r="K182" s="19">
        <f t="shared" ref="K182:P182" si="168">J185</f>
        <v>52558</v>
      </c>
      <c r="L182" s="19">
        <f t="shared" si="168"/>
        <v>61200</v>
      </c>
      <c r="M182" s="19">
        <f t="shared" si="168"/>
        <v>68400</v>
      </c>
      <c r="N182" s="19">
        <f t="shared" si="168"/>
        <v>75600</v>
      </c>
      <c r="O182" s="19">
        <f t="shared" si="168"/>
        <v>82800</v>
      </c>
      <c r="P182" s="19">
        <f t="shared" si="168"/>
        <v>90000</v>
      </c>
    </row>
    <row r="183" ht="15.75" customHeight="1">
      <c r="A183" s="5" t="s">
        <v>98</v>
      </c>
      <c r="B183" s="19"/>
      <c r="C183" s="19"/>
      <c r="D183" s="19"/>
      <c r="E183" s="19"/>
      <c r="F183" s="19"/>
      <c r="G183" s="19"/>
      <c r="H183" s="19"/>
      <c r="I183" s="19"/>
      <c r="J183" s="19"/>
      <c r="K183" s="19">
        <f t="shared" ref="K183:P183" si="169">sum(K181:K182)</f>
        <v>100558</v>
      </c>
      <c r="L183" s="19">
        <f t="shared" si="169"/>
        <v>109200</v>
      </c>
      <c r="M183" s="19">
        <f t="shared" si="169"/>
        <v>116400</v>
      </c>
      <c r="N183" s="19">
        <f t="shared" si="169"/>
        <v>123600</v>
      </c>
      <c r="O183" s="19">
        <f t="shared" si="169"/>
        <v>130800</v>
      </c>
      <c r="P183" s="19">
        <f t="shared" si="169"/>
        <v>138000</v>
      </c>
    </row>
    <row r="184" ht="15.75" customHeight="1">
      <c r="A184" s="5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</row>
    <row r="185" ht="15.75" customHeight="1">
      <c r="A185" s="5" t="s">
        <v>99</v>
      </c>
      <c r="B185" s="19">
        <f t="shared" ref="B185:J185" si="170">B20</f>
        <v>28670</v>
      </c>
      <c r="C185" s="19">
        <f t="shared" si="170"/>
        <v>26039</v>
      </c>
      <c r="D185" s="19">
        <f t="shared" si="170"/>
        <v>27598</v>
      </c>
      <c r="E185" s="19">
        <f t="shared" si="170"/>
        <v>30208</v>
      </c>
      <c r="F185" s="19">
        <f t="shared" si="170"/>
        <v>35284</v>
      </c>
      <c r="G185" s="19">
        <f t="shared" si="170"/>
        <v>30341</v>
      </c>
      <c r="H185" s="19">
        <f t="shared" si="170"/>
        <v>27890</v>
      </c>
      <c r="I185" s="19">
        <f t="shared" si="170"/>
        <v>48460</v>
      </c>
      <c r="J185" s="19">
        <f t="shared" si="170"/>
        <v>52558</v>
      </c>
      <c r="K185" s="19">
        <f t="shared" ref="K185:P185" si="171">K177*K186</f>
        <v>61200</v>
      </c>
      <c r="L185" s="19">
        <f t="shared" si="171"/>
        <v>68400</v>
      </c>
      <c r="M185" s="19">
        <f t="shared" si="171"/>
        <v>75600</v>
      </c>
      <c r="N185" s="19">
        <f t="shared" si="171"/>
        <v>82800</v>
      </c>
      <c r="O185" s="19">
        <f t="shared" si="171"/>
        <v>90000</v>
      </c>
      <c r="P185" s="19">
        <f t="shared" si="171"/>
        <v>97200</v>
      </c>
    </row>
    <row r="186" ht="15.75" customHeight="1">
      <c r="A186" s="5" t="s">
        <v>100</v>
      </c>
      <c r="B186" s="35">
        <f t="shared" ref="B186:J186" si="172">B185/B177</f>
        <v>0.2117977321</v>
      </c>
      <c r="C186" s="35">
        <f t="shared" si="172"/>
        <v>0.1788024446</v>
      </c>
      <c r="D186" s="35">
        <f t="shared" si="172"/>
        <v>0.1778118537</v>
      </c>
      <c r="E186" s="35">
        <f t="shared" si="172"/>
        <v>0.177233311</v>
      </c>
      <c r="F186" s="35">
        <f t="shared" si="172"/>
        <v>0.2056225087</v>
      </c>
      <c r="G186" s="35">
        <f t="shared" si="172"/>
        <v>0.1840465864</v>
      </c>
      <c r="H186" s="35">
        <f t="shared" si="172"/>
        <v>0.1671691531</v>
      </c>
      <c r="I186" s="35">
        <f t="shared" si="172"/>
        <v>0.1510391343</v>
      </c>
      <c r="J186" s="35">
        <f t="shared" si="172"/>
        <v>0.1476364903</v>
      </c>
      <c r="K186" s="180">
        <v>0.15</v>
      </c>
      <c r="L186" s="181">
        <f t="shared" ref="L186:P186" si="173">K186</f>
        <v>0.15</v>
      </c>
      <c r="M186" s="181">
        <f t="shared" si="173"/>
        <v>0.15</v>
      </c>
      <c r="N186" s="181">
        <f t="shared" si="173"/>
        <v>0.15</v>
      </c>
      <c r="O186" s="181">
        <f t="shared" si="173"/>
        <v>0.15</v>
      </c>
      <c r="P186" s="181">
        <f t="shared" si="173"/>
        <v>0.15</v>
      </c>
    </row>
    <row r="187" ht="15.75" customHeight="1">
      <c r="A187" s="1"/>
    </row>
    <row r="188" ht="15.75" customHeight="1">
      <c r="A188" s="121" t="s">
        <v>115</v>
      </c>
    </row>
    <row r="189" ht="15.75" customHeight="1">
      <c r="A189" s="29" t="s">
        <v>116</v>
      </c>
      <c r="B189" s="19">
        <f t="shared" ref="B189:P189" si="174">B36</f>
        <v>46988</v>
      </c>
      <c r="C189" s="19">
        <f t="shared" si="174"/>
        <v>77326</v>
      </c>
      <c r="D189" s="19">
        <f t="shared" si="174"/>
        <v>82118</v>
      </c>
      <c r="E189" s="19">
        <f t="shared" si="174"/>
        <v>74103</v>
      </c>
      <c r="F189" s="19">
        <f t="shared" si="174"/>
        <v>52359</v>
      </c>
      <c r="G189" s="19">
        <f t="shared" si="174"/>
        <v>49027</v>
      </c>
      <c r="H189" s="19">
        <f t="shared" si="174"/>
        <v>41924</v>
      </c>
      <c r="I189" s="19">
        <f t="shared" si="174"/>
        <v>83223</v>
      </c>
      <c r="J189" s="19">
        <f t="shared" si="174"/>
        <v>137551</v>
      </c>
      <c r="K189" s="19">
        <f t="shared" si="174"/>
        <v>170690.0114</v>
      </c>
      <c r="L189" s="19">
        <f t="shared" si="174"/>
        <v>198731.1173</v>
      </c>
      <c r="M189" s="19">
        <f t="shared" si="174"/>
        <v>232439.4196</v>
      </c>
      <c r="N189" s="19">
        <f t="shared" si="174"/>
        <v>272797.1261</v>
      </c>
      <c r="O189" s="19">
        <f t="shared" si="174"/>
        <v>320957.9775</v>
      </c>
      <c r="P189" s="19">
        <f t="shared" si="174"/>
        <v>378277.3508</v>
      </c>
    </row>
    <row r="190" ht="15.75" customHeight="1">
      <c r="A190" s="29" t="s">
        <v>117</v>
      </c>
      <c r="B190" s="19">
        <f t="shared" ref="B190:P190" si="175">B20</f>
        <v>28670</v>
      </c>
      <c r="C190" s="19">
        <f t="shared" si="175"/>
        <v>26039</v>
      </c>
      <c r="D190" s="19">
        <f t="shared" si="175"/>
        <v>27598</v>
      </c>
      <c r="E190" s="19">
        <f t="shared" si="175"/>
        <v>30208</v>
      </c>
      <c r="F190" s="19">
        <f t="shared" si="175"/>
        <v>35284</v>
      </c>
      <c r="G190" s="19">
        <f t="shared" si="175"/>
        <v>30341</v>
      </c>
      <c r="H190" s="19">
        <f t="shared" si="175"/>
        <v>27890</v>
      </c>
      <c r="I190" s="19">
        <f t="shared" si="175"/>
        <v>48460</v>
      </c>
      <c r="J190" s="19">
        <f t="shared" si="175"/>
        <v>52558</v>
      </c>
      <c r="K190" s="19">
        <f t="shared" si="175"/>
        <v>61200</v>
      </c>
      <c r="L190" s="19">
        <f t="shared" si="175"/>
        <v>68400</v>
      </c>
      <c r="M190" s="19">
        <f t="shared" si="175"/>
        <v>75600</v>
      </c>
      <c r="N190" s="19">
        <f t="shared" si="175"/>
        <v>82800</v>
      </c>
      <c r="O190" s="19">
        <f t="shared" si="175"/>
        <v>90000</v>
      </c>
      <c r="P190" s="19">
        <f t="shared" si="175"/>
        <v>97200</v>
      </c>
    </row>
    <row r="191" ht="15.75" customHeight="1">
      <c r="A191" s="29" t="s">
        <v>118</v>
      </c>
      <c r="B191" s="15">
        <v>0.0</v>
      </c>
      <c r="C191" s="15">
        <v>0.0</v>
      </c>
      <c r="D191" s="15">
        <v>0.0</v>
      </c>
      <c r="E191" s="15">
        <v>0.0</v>
      </c>
      <c r="F191" s="15">
        <v>0.0</v>
      </c>
      <c r="G191" s="15">
        <v>0.0</v>
      </c>
      <c r="H191" s="15">
        <v>0.0</v>
      </c>
      <c r="I191" s="15">
        <v>0.0</v>
      </c>
      <c r="J191" s="15">
        <v>0.0</v>
      </c>
      <c r="K191" s="15">
        <v>0.0</v>
      </c>
      <c r="L191" s="15">
        <v>0.0</v>
      </c>
      <c r="M191" s="15">
        <v>0.0</v>
      </c>
      <c r="N191" s="15">
        <v>0.0</v>
      </c>
      <c r="O191" s="15">
        <v>0.0</v>
      </c>
      <c r="P191" s="15">
        <v>0.0</v>
      </c>
    </row>
    <row r="192" ht="15.75" customHeight="1">
      <c r="A192" s="29" t="s">
        <v>119</v>
      </c>
      <c r="B192" s="44" t="str">
        <f t="shared" ref="B192:P192" si="176">B170</f>
        <v/>
      </c>
      <c r="C192" s="19">
        <f t="shared" si="176"/>
        <v>-13186</v>
      </c>
      <c r="D192" s="19">
        <f t="shared" si="176"/>
        <v>-31302</v>
      </c>
      <c r="E192" s="19">
        <f t="shared" si="176"/>
        <v>56169</v>
      </c>
      <c r="F192" s="19">
        <f t="shared" si="176"/>
        <v>-9182</v>
      </c>
      <c r="G192" s="19">
        <f t="shared" si="176"/>
        <v>17298</v>
      </c>
      <c r="H192" s="19">
        <f t="shared" si="176"/>
        <v>-21083</v>
      </c>
      <c r="I192" s="19">
        <f t="shared" si="176"/>
        <v>-65737</v>
      </c>
      <c r="J192" s="19">
        <f t="shared" si="176"/>
        <v>37006</v>
      </c>
      <c r="K192" s="19">
        <f t="shared" si="176"/>
        <v>-62082.72448</v>
      </c>
      <c r="L192" s="19">
        <f t="shared" si="176"/>
        <v>-20800.16549</v>
      </c>
      <c r="M192" s="19">
        <f t="shared" si="176"/>
        <v>-24363.48712</v>
      </c>
      <c r="N192" s="19">
        <f t="shared" si="176"/>
        <v>-28544.38454</v>
      </c>
      <c r="O192" s="19">
        <f t="shared" si="176"/>
        <v>-33450.71097</v>
      </c>
      <c r="P192" s="19">
        <f t="shared" si="176"/>
        <v>-39209.2479</v>
      </c>
    </row>
    <row r="193" ht="15.75" customHeight="1">
      <c r="A193" s="29" t="s">
        <v>120</v>
      </c>
      <c r="K193" s="19">
        <f t="shared" ref="K193:P193" si="177">K183</f>
        <v>100558</v>
      </c>
      <c r="L193" s="19">
        <f t="shared" si="177"/>
        <v>109200</v>
      </c>
      <c r="M193" s="19">
        <f t="shared" si="177"/>
        <v>116400</v>
      </c>
      <c r="N193" s="19">
        <f t="shared" si="177"/>
        <v>123600</v>
      </c>
      <c r="O193" s="19">
        <f t="shared" si="177"/>
        <v>130800</v>
      </c>
      <c r="P193" s="19">
        <f t="shared" si="177"/>
        <v>138000</v>
      </c>
    </row>
    <row r="194" ht="15.75" customHeight="1">
      <c r="A194" s="1"/>
    </row>
    <row r="195" ht="15.75" customHeight="1">
      <c r="A195" s="29" t="s">
        <v>121</v>
      </c>
      <c r="B195" s="196"/>
      <c r="C195" s="196"/>
      <c r="D195" s="196"/>
      <c r="E195" s="196"/>
      <c r="F195" s="196"/>
      <c r="G195" s="196"/>
      <c r="H195" s="196"/>
      <c r="I195" s="196"/>
      <c r="J195" s="196"/>
      <c r="K195" s="19">
        <f t="shared" ref="K195:P195" si="178">J197</f>
        <v>28274</v>
      </c>
      <c r="L195" s="19">
        <f t="shared" si="178"/>
        <v>221688.7359</v>
      </c>
      <c r="M195" s="19">
        <f t="shared" si="178"/>
        <v>400420.0187</v>
      </c>
      <c r="N195" s="19">
        <f t="shared" si="178"/>
        <v>616422.9254</v>
      </c>
      <c r="O195" s="19">
        <f t="shared" si="178"/>
        <v>876964.436</v>
      </c>
      <c r="P195" s="19">
        <f t="shared" si="178"/>
        <v>1190573.125</v>
      </c>
    </row>
    <row r="196" ht="15.75" customHeight="1">
      <c r="A196" s="29" t="s">
        <v>122</v>
      </c>
      <c r="B196" s="196"/>
      <c r="C196" s="196"/>
      <c r="D196" s="196"/>
      <c r="E196" s="196"/>
      <c r="F196" s="196"/>
      <c r="G196" s="196"/>
      <c r="H196" s="196"/>
      <c r="I196" s="196"/>
      <c r="J196" s="196"/>
      <c r="K196" s="19">
        <f t="shared" ref="K196:P196" si="179">K189+K190+K191-K192-K193</f>
        <v>193414.7359</v>
      </c>
      <c r="L196" s="19">
        <f t="shared" si="179"/>
        <v>178731.2828</v>
      </c>
      <c r="M196" s="19">
        <f t="shared" si="179"/>
        <v>216002.9067</v>
      </c>
      <c r="N196" s="19">
        <f t="shared" si="179"/>
        <v>260541.5106</v>
      </c>
      <c r="O196" s="19">
        <f t="shared" si="179"/>
        <v>313608.6885</v>
      </c>
      <c r="P196" s="19">
        <f t="shared" si="179"/>
        <v>376686.5987</v>
      </c>
    </row>
    <row r="197" ht="15.75" customHeight="1">
      <c r="A197" s="121" t="s">
        <v>123</v>
      </c>
      <c r="B197" s="196"/>
      <c r="C197" s="196"/>
      <c r="D197" s="196"/>
      <c r="E197" s="196"/>
      <c r="F197" s="196"/>
      <c r="G197" s="196"/>
      <c r="H197" s="196"/>
      <c r="I197" s="196"/>
      <c r="J197" s="197">
        <f>J84</f>
        <v>28274</v>
      </c>
      <c r="K197" s="19">
        <f t="shared" ref="K197:P197" si="180">sum(K195:K196)</f>
        <v>221688.7359</v>
      </c>
      <c r="L197" s="19">
        <f t="shared" si="180"/>
        <v>400420.0187</v>
      </c>
      <c r="M197" s="19">
        <f t="shared" si="180"/>
        <v>616422.9254</v>
      </c>
      <c r="N197" s="19">
        <f t="shared" si="180"/>
        <v>876964.436</v>
      </c>
      <c r="O197" s="19">
        <f t="shared" si="180"/>
        <v>1190573.125</v>
      </c>
      <c r="P197" s="19">
        <f t="shared" si="180"/>
        <v>1567259.723</v>
      </c>
    </row>
    <row r="198" ht="15.75" customHeight="1">
      <c r="A198" s="29" t="s">
        <v>124</v>
      </c>
      <c r="B198" s="196"/>
      <c r="C198" s="196"/>
      <c r="D198" s="196"/>
      <c r="E198" s="196"/>
      <c r="F198" s="196"/>
      <c r="G198" s="196"/>
      <c r="H198" s="196"/>
      <c r="I198" s="196"/>
      <c r="J198" s="196"/>
      <c r="L198" s="35">
        <f t="shared" ref="L198:P198" si="181">L196/K196-1</f>
        <v>-0.07591693042</v>
      </c>
      <c r="M198" s="35">
        <f t="shared" si="181"/>
        <v>0.208534417</v>
      </c>
      <c r="N198" s="35">
        <f t="shared" si="181"/>
        <v>0.2061944659</v>
      </c>
      <c r="O198" s="35">
        <f t="shared" si="181"/>
        <v>0.2036803185</v>
      </c>
      <c r="P198" s="35">
        <f t="shared" si="181"/>
        <v>0.2011357227</v>
      </c>
      <c r="Q198" s="35">
        <f t="shared" ref="Q198:V198" si="182">P198-$B$202</f>
        <v>0.1761357227</v>
      </c>
      <c r="R198" s="35">
        <f t="shared" si="182"/>
        <v>0.1511357227</v>
      </c>
      <c r="S198" s="35">
        <f t="shared" si="182"/>
        <v>0.1261357227</v>
      </c>
      <c r="T198" s="35">
        <f t="shared" si="182"/>
        <v>0.1011357227</v>
      </c>
      <c r="U198" s="35">
        <f t="shared" si="182"/>
        <v>0.07613572271</v>
      </c>
      <c r="V198" s="35">
        <f t="shared" si="182"/>
        <v>0.05113572271</v>
      </c>
      <c r="W198" s="26">
        <v>0.02</v>
      </c>
    </row>
    <row r="199" ht="15.75" customHeight="1">
      <c r="A199" s="1"/>
    </row>
    <row r="200" ht="15.75" customHeight="1">
      <c r="A200" s="1"/>
    </row>
    <row r="201" ht="15.75" customHeight="1">
      <c r="A201" s="29" t="s">
        <v>125</v>
      </c>
      <c r="B201" s="180">
        <v>0.02</v>
      </c>
    </row>
    <row r="202" ht="15.75" customHeight="1">
      <c r="A202" s="29" t="s">
        <v>126</v>
      </c>
      <c r="B202" s="180">
        <v>0.025</v>
      </c>
    </row>
    <row r="203" ht="15.75" customHeight="1">
      <c r="A203" s="29" t="s">
        <v>127</v>
      </c>
      <c r="B203" s="35">
        <f>sum(B204:B205)</f>
        <v>0.07</v>
      </c>
    </row>
    <row r="204" ht="15.75" customHeight="1">
      <c r="A204" s="29" t="s">
        <v>128</v>
      </c>
      <c r="B204" s="180">
        <v>0.07</v>
      </c>
    </row>
    <row r="205" ht="15.75" customHeight="1">
      <c r="A205" s="29" t="s">
        <v>129</v>
      </c>
      <c r="B205" s="35">
        <f>(12%-7%)*B206</f>
        <v>0</v>
      </c>
    </row>
    <row r="206" ht="15.75" customHeight="1">
      <c r="A206" s="29" t="s">
        <v>130</v>
      </c>
      <c r="B206" s="180">
        <v>0.0</v>
      </c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29" t="s">
        <v>107</v>
      </c>
      <c r="B1" s="2">
        <v>2016.0</v>
      </c>
      <c r="C1" s="2">
        <f t="shared" ref="C1:V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  <c r="Q1" s="111">
        <f t="shared" si="1"/>
        <v>2031</v>
      </c>
      <c r="R1" s="111">
        <f t="shared" si="1"/>
        <v>2032</v>
      </c>
      <c r="S1" s="111">
        <f t="shared" si="1"/>
        <v>2033</v>
      </c>
      <c r="T1" s="111">
        <f t="shared" si="1"/>
        <v>2034</v>
      </c>
      <c r="U1" s="111">
        <f t="shared" si="1"/>
        <v>2035</v>
      </c>
      <c r="V1" s="111">
        <f t="shared" si="1"/>
        <v>2036</v>
      </c>
      <c r="W1" s="112" t="s">
        <v>108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  <c r="K3" s="19">
        <f t="shared" ref="K3:P3" si="2">(K104*K124)/10^6</f>
        <v>1745621.281</v>
      </c>
      <c r="L3" s="19">
        <f t="shared" si="2"/>
        <v>2039535.594</v>
      </c>
      <c r="M3" s="19">
        <f t="shared" si="2"/>
        <v>2383801.008</v>
      </c>
      <c r="N3" s="19">
        <f t="shared" si="2"/>
        <v>2787144.105</v>
      </c>
      <c r="O3" s="19">
        <f t="shared" si="2"/>
        <v>3259815.476</v>
      </c>
      <c r="P3" s="19">
        <f t="shared" si="2"/>
        <v>3813857.181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  <c r="K4" s="20">
        <v>20000.0</v>
      </c>
      <c r="L4" s="116">
        <f>K4</f>
        <v>20000</v>
      </c>
      <c r="M4" s="116">
        <f>K4</f>
        <v>20000</v>
      </c>
      <c r="N4" s="116">
        <f>K4</f>
        <v>20000</v>
      </c>
      <c r="O4" s="116">
        <f>K4</f>
        <v>20000</v>
      </c>
      <c r="P4" s="116">
        <f>K4</f>
        <v>20000</v>
      </c>
    </row>
    <row r="5" ht="15.75" customHeight="1">
      <c r="A5" s="7"/>
    </row>
    <row r="6" ht="15.75" customHeight="1">
      <c r="A6" s="8" t="s">
        <v>3</v>
      </c>
      <c r="B6" s="9">
        <f t="shared" ref="B6:P6" si="3">SUM(B3:B4)</f>
        <v>586120</v>
      </c>
      <c r="C6" s="9">
        <f t="shared" si="3"/>
        <v>703746</v>
      </c>
      <c r="D6" s="9">
        <f t="shared" si="3"/>
        <v>818552</v>
      </c>
      <c r="E6" s="9">
        <f t="shared" si="3"/>
        <v>886301</v>
      </c>
      <c r="F6" s="9">
        <f t="shared" si="3"/>
        <v>789944</v>
      </c>
      <c r="G6" s="9">
        <f t="shared" si="3"/>
        <v>733083</v>
      </c>
      <c r="H6" s="9">
        <f t="shared" si="3"/>
        <v>900745</v>
      </c>
      <c r="I6" s="9">
        <f t="shared" si="3"/>
        <v>1206746</v>
      </c>
      <c r="J6" s="9">
        <f t="shared" si="3"/>
        <v>1459517</v>
      </c>
      <c r="K6" s="9">
        <f t="shared" si="3"/>
        <v>1765621.281</v>
      </c>
      <c r="L6" s="9">
        <f t="shared" si="3"/>
        <v>2059535.594</v>
      </c>
      <c r="M6" s="9">
        <f t="shared" si="3"/>
        <v>2403801.008</v>
      </c>
      <c r="N6" s="9">
        <f t="shared" si="3"/>
        <v>2807144.105</v>
      </c>
      <c r="O6" s="9">
        <f t="shared" si="3"/>
        <v>3279815.476</v>
      </c>
      <c r="P6" s="9">
        <f t="shared" si="3"/>
        <v>3833857.181</v>
      </c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  <c r="K9" s="19">
        <f t="shared" ref="K9:P9" si="4">K$3*K129</f>
        <v>1047372.768</v>
      </c>
      <c r="L9" s="19">
        <f t="shared" si="4"/>
        <v>1223721.356</v>
      </c>
      <c r="M9" s="19">
        <f t="shared" si="4"/>
        <v>1430280.605</v>
      </c>
      <c r="N9" s="19">
        <f t="shared" si="4"/>
        <v>1672286.463</v>
      </c>
      <c r="O9" s="19">
        <f t="shared" si="4"/>
        <v>1955889.286</v>
      </c>
      <c r="P9" s="19">
        <f t="shared" si="4"/>
        <v>2288314.309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  <c r="K10" s="19">
        <f t="shared" ref="K10:P10" si="5">K$3*K130</f>
        <v>139649.7024</v>
      </c>
      <c r="L10" s="19">
        <f t="shared" si="5"/>
        <v>163162.8475</v>
      </c>
      <c r="M10" s="19">
        <f t="shared" si="5"/>
        <v>190704.0806</v>
      </c>
      <c r="N10" s="19">
        <f t="shared" si="5"/>
        <v>222971.5284</v>
      </c>
      <c r="O10" s="19">
        <f t="shared" si="5"/>
        <v>260785.2381</v>
      </c>
      <c r="P10" s="19">
        <f t="shared" si="5"/>
        <v>305108.5745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  <c r="K11" s="19">
        <f t="shared" ref="K11:P11" si="6">K$3*K131</f>
        <v>-4658.822802</v>
      </c>
      <c r="L11" s="19">
        <f t="shared" si="6"/>
        <v>-5443.239628</v>
      </c>
      <c r="M11" s="19">
        <f t="shared" si="6"/>
        <v>-6362.036607</v>
      </c>
      <c r="N11" s="19">
        <f t="shared" si="6"/>
        <v>-7438.503788</v>
      </c>
      <c r="O11" s="19">
        <f t="shared" si="6"/>
        <v>-8699.998584</v>
      </c>
      <c r="P11" s="19">
        <f t="shared" si="6"/>
        <v>-10178.6596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  <c r="K12" s="19">
        <f t="shared" ref="K12:P12" si="7">K$3*K132</f>
        <v>69824.85122</v>
      </c>
      <c r="L12" s="19">
        <f t="shared" si="7"/>
        <v>81581.42375</v>
      </c>
      <c r="M12" s="19">
        <f t="shared" si="7"/>
        <v>95352.0403</v>
      </c>
      <c r="N12" s="19">
        <f t="shared" si="7"/>
        <v>111485.7642</v>
      </c>
      <c r="O12" s="19">
        <f t="shared" si="7"/>
        <v>130392.619</v>
      </c>
      <c r="P12" s="19">
        <f t="shared" si="7"/>
        <v>152554.2873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  <c r="K13" s="19">
        <f t="shared" ref="K13:P13" si="8">K$3*K133</f>
        <v>215960.9246</v>
      </c>
      <c r="L13" s="19">
        <f t="shared" si="8"/>
        <v>252322.7675</v>
      </c>
      <c r="M13" s="19">
        <f t="shared" si="8"/>
        <v>294913.8369</v>
      </c>
      <c r="N13" s="19">
        <f t="shared" si="8"/>
        <v>344813.7489</v>
      </c>
      <c r="O13" s="19">
        <f t="shared" si="8"/>
        <v>403290.6634</v>
      </c>
      <c r="P13" s="19">
        <f t="shared" si="8"/>
        <v>471834.3735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  <c r="K14" s="19">
        <f t="shared" ref="K14:P14" si="9">K$3*K134</f>
        <v>-3208.016652</v>
      </c>
      <c r="L14" s="19">
        <f t="shared" si="9"/>
        <v>-3748.157874</v>
      </c>
      <c r="M14" s="19">
        <f t="shared" si="9"/>
        <v>-4380.831864</v>
      </c>
      <c r="N14" s="19">
        <f t="shared" si="9"/>
        <v>-5122.075905</v>
      </c>
      <c r="O14" s="19">
        <f t="shared" si="9"/>
        <v>-5990.728027</v>
      </c>
      <c r="P14" s="19">
        <f t="shared" si="9"/>
        <v>-7008.918534</v>
      </c>
    </row>
    <row r="15" ht="15.75" customHeight="1">
      <c r="A15" s="7"/>
    </row>
    <row r="16" ht="15.75" customHeight="1">
      <c r="A16" s="45" t="s">
        <v>109</v>
      </c>
      <c r="B16" s="9">
        <f t="shared" ref="B16:P16" si="10">SUM(B9:B14)</f>
        <v>494932</v>
      </c>
      <c r="C16" s="9">
        <f t="shared" si="10"/>
        <v>577269</v>
      </c>
      <c r="D16" s="9">
        <f t="shared" si="10"/>
        <v>677460</v>
      </c>
      <c r="E16" s="9">
        <f t="shared" si="10"/>
        <v>750653</v>
      </c>
      <c r="F16" s="9">
        <f t="shared" si="10"/>
        <v>683474</v>
      </c>
      <c r="G16" s="9">
        <f t="shared" si="10"/>
        <v>650204</v>
      </c>
      <c r="H16" s="9">
        <f t="shared" si="10"/>
        <v>826236</v>
      </c>
      <c r="I16" s="9">
        <f t="shared" si="10"/>
        <v>1053155</v>
      </c>
      <c r="J16" s="9">
        <f t="shared" si="10"/>
        <v>1233319</v>
      </c>
      <c r="K16" s="9">
        <f t="shared" si="10"/>
        <v>1464941.407</v>
      </c>
      <c r="L16" s="9">
        <f t="shared" si="10"/>
        <v>1711596.997</v>
      </c>
      <c r="M16" s="9">
        <f t="shared" si="10"/>
        <v>2000507.694</v>
      </c>
      <c r="N16" s="9">
        <f t="shared" si="10"/>
        <v>2338996.925</v>
      </c>
      <c r="O16" s="9">
        <f t="shared" si="10"/>
        <v>2735667.079</v>
      </c>
      <c r="P16" s="9">
        <f t="shared" si="10"/>
        <v>3200623.966</v>
      </c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15.75" customHeight="1">
      <c r="A17" s="7"/>
    </row>
    <row r="18" ht="15.75" customHeight="1">
      <c r="A18" s="113" t="s">
        <v>177</v>
      </c>
      <c r="B18" s="23">
        <f t="shared" ref="B18:P18" si="11">B6-B16</f>
        <v>91188</v>
      </c>
      <c r="C18" s="23">
        <f t="shared" si="11"/>
        <v>126477</v>
      </c>
      <c r="D18" s="23">
        <f t="shared" si="11"/>
        <v>141092</v>
      </c>
      <c r="E18" s="23">
        <f t="shared" si="11"/>
        <v>135648</v>
      </c>
      <c r="F18" s="23">
        <f t="shared" si="11"/>
        <v>106470</v>
      </c>
      <c r="G18" s="23">
        <f t="shared" si="11"/>
        <v>82879</v>
      </c>
      <c r="H18" s="23">
        <f t="shared" si="11"/>
        <v>74509</v>
      </c>
      <c r="I18" s="23">
        <f t="shared" si="11"/>
        <v>153591</v>
      </c>
      <c r="J18" s="23">
        <f t="shared" si="11"/>
        <v>226198</v>
      </c>
      <c r="K18" s="23">
        <f t="shared" si="11"/>
        <v>300679.8734</v>
      </c>
      <c r="L18" s="23">
        <f t="shared" si="11"/>
        <v>347938.5962</v>
      </c>
      <c r="M18" s="23">
        <f t="shared" si="11"/>
        <v>403293.3137</v>
      </c>
      <c r="N18" s="23">
        <f t="shared" si="11"/>
        <v>468147.1802</v>
      </c>
      <c r="O18" s="23">
        <f t="shared" si="11"/>
        <v>544148.3965</v>
      </c>
      <c r="P18" s="23">
        <f t="shared" si="11"/>
        <v>633233.2155</v>
      </c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  <c r="K20" s="198">
        <f t="shared" ref="K20:P20" si="12">K207</f>
        <v>61200</v>
      </c>
      <c r="L20" s="198">
        <f t="shared" si="12"/>
        <v>68400</v>
      </c>
      <c r="M20" s="198">
        <f t="shared" si="12"/>
        <v>75600</v>
      </c>
      <c r="N20" s="198">
        <f t="shared" si="12"/>
        <v>82800</v>
      </c>
      <c r="O20" s="198">
        <f t="shared" si="12"/>
        <v>90000</v>
      </c>
      <c r="P20" s="198">
        <f t="shared" si="12"/>
        <v>97200</v>
      </c>
    </row>
    <row r="21" ht="15.75" customHeight="1">
      <c r="A21" s="7"/>
    </row>
    <row r="22" ht="15.75" customHeight="1">
      <c r="A22" s="113" t="s">
        <v>200</v>
      </c>
      <c r="B22" s="23">
        <f t="shared" ref="B22:P22" si="13">B18-B20</f>
        <v>62518</v>
      </c>
      <c r="C22" s="23">
        <f t="shared" si="13"/>
        <v>100438</v>
      </c>
      <c r="D22" s="23">
        <f t="shared" si="13"/>
        <v>113494</v>
      </c>
      <c r="E22" s="23">
        <f t="shared" si="13"/>
        <v>105440</v>
      </c>
      <c r="F22" s="23">
        <f t="shared" si="13"/>
        <v>71186</v>
      </c>
      <c r="G22" s="23">
        <f t="shared" si="13"/>
        <v>52538</v>
      </c>
      <c r="H22" s="23">
        <f t="shared" si="13"/>
        <v>46619</v>
      </c>
      <c r="I22" s="23">
        <f t="shared" si="13"/>
        <v>105131</v>
      </c>
      <c r="J22" s="23">
        <f t="shared" si="13"/>
        <v>173640</v>
      </c>
      <c r="K22" s="23">
        <f t="shared" si="13"/>
        <v>239479.8734</v>
      </c>
      <c r="L22" s="23">
        <f t="shared" si="13"/>
        <v>279538.5962</v>
      </c>
      <c r="M22" s="23">
        <f t="shared" si="13"/>
        <v>327693.3137</v>
      </c>
      <c r="N22" s="23">
        <f t="shared" si="13"/>
        <v>385347.1802</v>
      </c>
      <c r="O22" s="23">
        <f t="shared" si="13"/>
        <v>454148.3965</v>
      </c>
      <c r="P22" s="23">
        <f t="shared" si="13"/>
        <v>536033.2155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  <c r="K24" s="20">
        <f t="shared" ref="K24:L24" si="14">J24</f>
        <v>1936</v>
      </c>
      <c r="L24" s="116">
        <f t="shared" si="14"/>
        <v>1936</v>
      </c>
      <c r="M24" s="116">
        <f>K24</f>
        <v>1936</v>
      </c>
      <c r="N24" s="116">
        <f>K24</f>
        <v>1936</v>
      </c>
      <c r="O24" s="116">
        <f>K24</f>
        <v>1936</v>
      </c>
      <c r="P24" s="116">
        <f>K24</f>
        <v>1936</v>
      </c>
    </row>
    <row r="25" ht="15.75" customHeight="1">
      <c r="A25" s="7"/>
    </row>
    <row r="26" ht="15.75" customHeight="1">
      <c r="A26" s="7" t="s">
        <v>23</v>
      </c>
      <c r="B26" s="6">
        <f t="shared" ref="B26:P26" si="15">B22-B24</f>
        <v>61581</v>
      </c>
      <c r="C26" s="6">
        <f t="shared" si="15"/>
        <v>99544</v>
      </c>
      <c r="D26" s="6">
        <f t="shared" si="15"/>
        <v>110036</v>
      </c>
      <c r="E26" s="6">
        <f t="shared" si="15"/>
        <v>104681</v>
      </c>
      <c r="F26" s="6">
        <f t="shared" si="15"/>
        <v>69844</v>
      </c>
      <c r="G26" s="6">
        <f t="shared" si="15"/>
        <v>51520</v>
      </c>
      <c r="H26" s="6">
        <f t="shared" si="15"/>
        <v>45353</v>
      </c>
      <c r="I26" s="6">
        <f t="shared" si="15"/>
        <v>102608</v>
      </c>
      <c r="J26" s="6">
        <f t="shared" si="15"/>
        <v>171704</v>
      </c>
      <c r="K26" s="6">
        <f t="shared" si="15"/>
        <v>237543.8734</v>
      </c>
      <c r="L26" s="6">
        <f t="shared" si="15"/>
        <v>277602.5962</v>
      </c>
      <c r="M26" s="6">
        <f t="shared" si="15"/>
        <v>325757.3137</v>
      </c>
      <c r="N26" s="6">
        <f t="shared" si="15"/>
        <v>383411.1802</v>
      </c>
      <c r="O26" s="6">
        <f t="shared" si="15"/>
        <v>452212.3965</v>
      </c>
      <c r="P26" s="6">
        <f t="shared" si="15"/>
        <v>534097.2155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  <c r="K27" s="20">
        <f t="shared" ref="K27:L27" si="16">J27</f>
        <v>2669</v>
      </c>
      <c r="L27" s="116">
        <f t="shared" si="16"/>
        <v>2669</v>
      </c>
      <c r="M27" s="116">
        <f>K27</f>
        <v>2669</v>
      </c>
      <c r="N27" s="116">
        <f>K27</f>
        <v>2669</v>
      </c>
      <c r="O27" s="116">
        <f>K27</f>
        <v>2669</v>
      </c>
      <c r="P27" s="116">
        <f>K27</f>
        <v>2669</v>
      </c>
    </row>
    <row r="28" ht="15.75" customHeight="1">
      <c r="A28" s="113" t="s">
        <v>179</v>
      </c>
      <c r="B28" s="23">
        <f t="shared" ref="B28:P28" si="17">SUM(B26:B27)</f>
        <v>66296</v>
      </c>
      <c r="C28" s="23">
        <f t="shared" si="17"/>
        <v>101272</v>
      </c>
      <c r="D28" s="23">
        <f t="shared" si="17"/>
        <v>111669</v>
      </c>
      <c r="E28" s="23">
        <f t="shared" si="17"/>
        <v>102651</v>
      </c>
      <c r="F28" s="23">
        <f t="shared" si="17"/>
        <v>65427</v>
      </c>
      <c r="G28" s="23">
        <f t="shared" si="17"/>
        <v>56656</v>
      </c>
      <c r="H28" s="23">
        <f t="shared" si="17"/>
        <v>48482</v>
      </c>
      <c r="I28" s="23">
        <f t="shared" si="17"/>
        <v>103194</v>
      </c>
      <c r="J28" s="23">
        <f t="shared" si="17"/>
        <v>174373</v>
      </c>
      <c r="K28" s="23">
        <f t="shared" si="17"/>
        <v>240212.8734</v>
      </c>
      <c r="L28" s="23">
        <f t="shared" si="17"/>
        <v>280271.5962</v>
      </c>
      <c r="M28" s="23">
        <f t="shared" si="17"/>
        <v>328426.3137</v>
      </c>
      <c r="N28" s="23">
        <f t="shared" si="17"/>
        <v>386080.1802</v>
      </c>
      <c r="O28" s="23">
        <f t="shared" si="17"/>
        <v>454881.3965</v>
      </c>
      <c r="P28" s="23">
        <f t="shared" si="17"/>
        <v>536766.2155</v>
      </c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  <c r="K30" s="19">
        <f t="shared" ref="K30:P30" si="18">K28*K31</f>
        <v>72063.86202</v>
      </c>
      <c r="L30" s="19">
        <f t="shared" si="18"/>
        <v>84081.47885</v>
      </c>
      <c r="M30" s="19">
        <f t="shared" si="18"/>
        <v>98527.8941</v>
      </c>
      <c r="N30" s="19">
        <f t="shared" si="18"/>
        <v>115824.054</v>
      </c>
      <c r="O30" s="19">
        <f t="shared" si="18"/>
        <v>136464.4189</v>
      </c>
      <c r="P30" s="19">
        <f t="shared" si="18"/>
        <v>161029.8646</v>
      </c>
    </row>
    <row r="31" ht="15.75" customHeight="1">
      <c r="A31" s="7"/>
      <c r="K31" s="37">
        <v>0.3</v>
      </c>
      <c r="L31" s="38">
        <f t="shared" ref="L31:P31" si="19">K31</f>
        <v>0.3</v>
      </c>
      <c r="M31" s="38">
        <f t="shared" si="19"/>
        <v>0.3</v>
      </c>
      <c r="N31" s="38">
        <f t="shared" si="19"/>
        <v>0.3</v>
      </c>
      <c r="O31" s="38">
        <f t="shared" si="19"/>
        <v>0.3</v>
      </c>
      <c r="P31" s="38">
        <f t="shared" si="19"/>
        <v>0.3</v>
      </c>
    </row>
    <row r="32" ht="15.75" customHeight="1">
      <c r="A32" s="7" t="s">
        <v>27</v>
      </c>
      <c r="B32" s="6">
        <f t="shared" ref="B32:P32" si="20">B28-B30</f>
        <v>46309</v>
      </c>
      <c r="C32" s="6">
        <f t="shared" si="20"/>
        <v>75110</v>
      </c>
      <c r="D32" s="6">
        <f t="shared" si="20"/>
        <v>78807</v>
      </c>
      <c r="E32" s="6">
        <f t="shared" si="20"/>
        <v>72919</v>
      </c>
      <c r="F32" s="6">
        <f t="shared" si="20"/>
        <v>51175</v>
      </c>
      <c r="G32" s="6">
        <f t="shared" si="20"/>
        <v>47337</v>
      </c>
      <c r="H32" s="6">
        <f t="shared" si="20"/>
        <v>40305</v>
      </c>
      <c r="I32" s="6">
        <f t="shared" si="20"/>
        <v>81449</v>
      </c>
      <c r="J32" s="6">
        <f t="shared" si="20"/>
        <v>135010</v>
      </c>
      <c r="K32" s="6">
        <f t="shared" si="20"/>
        <v>168149.0114</v>
      </c>
      <c r="L32" s="6">
        <f t="shared" si="20"/>
        <v>196190.1173</v>
      </c>
      <c r="M32" s="6">
        <f t="shared" si="20"/>
        <v>229898.4196</v>
      </c>
      <c r="N32" s="6">
        <f t="shared" si="20"/>
        <v>270256.1261</v>
      </c>
      <c r="O32" s="6">
        <f t="shared" si="20"/>
        <v>318416.9775</v>
      </c>
      <c r="P32" s="6">
        <f t="shared" si="20"/>
        <v>375736.3508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  <c r="K33" s="20">
        <f t="shared" ref="K33:P33" si="21">J33</f>
        <v>2541</v>
      </c>
      <c r="L33" s="21">
        <f t="shared" si="21"/>
        <v>2541</v>
      </c>
      <c r="M33" s="21">
        <f t="shared" si="21"/>
        <v>2541</v>
      </c>
      <c r="N33" s="21">
        <f t="shared" si="21"/>
        <v>2541</v>
      </c>
      <c r="O33" s="21">
        <f t="shared" si="21"/>
        <v>2541</v>
      </c>
      <c r="P33" s="21">
        <f t="shared" si="21"/>
        <v>2541</v>
      </c>
    </row>
    <row r="34" ht="15.75" customHeight="1">
      <c r="A34" s="1"/>
    </row>
    <row r="35" ht="15.75" customHeight="1">
      <c r="A35" s="1"/>
    </row>
    <row r="36" ht="15.75" customHeight="1">
      <c r="A36" s="45" t="s">
        <v>180</v>
      </c>
      <c r="B36" s="9">
        <f t="shared" ref="B36:D36" si="22">B32+B33</f>
        <v>46988</v>
      </c>
      <c r="C36" s="9">
        <f t="shared" si="22"/>
        <v>77326</v>
      </c>
      <c r="D36" s="9">
        <f t="shared" si="22"/>
        <v>82118</v>
      </c>
      <c r="E36" s="9">
        <f>E32+F33</f>
        <v>74103</v>
      </c>
      <c r="F36" s="9">
        <f t="shared" ref="F36:P36" si="23">F32+F33</f>
        <v>52359</v>
      </c>
      <c r="G36" s="9">
        <f t="shared" si="23"/>
        <v>49027</v>
      </c>
      <c r="H36" s="9">
        <f t="shared" si="23"/>
        <v>41924</v>
      </c>
      <c r="I36" s="9">
        <f t="shared" si="23"/>
        <v>83223</v>
      </c>
      <c r="J36" s="9">
        <f t="shared" si="23"/>
        <v>137551</v>
      </c>
      <c r="K36" s="9">
        <f t="shared" si="23"/>
        <v>170690.0114</v>
      </c>
      <c r="L36" s="9">
        <f t="shared" si="23"/>
        <v>198731.1173</v>
      </c>
      <c r="M36" s="9">
        <f t="shared" si="23"/>
        <v>232439.4196</v>
      </c>
      <c r="N36" s="9">
        <f t="shared" si="23"/>
        <v>272797.1261</v>
      </c>
      <c r="O36" s="9">
        <f t="shared" si="23"/>
        <v>320957.9775</v>
      </c>
      <c r="P36" s="9">
        <f t="shared" si="23"/>
        <v>378277.3508</v>
      </c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ht="15.75" customHeight="1">
      <c r="A40" s="7"/>
    </row>
    <row r="41" ht="15.75" customHeight="1">
      <c r="A41" s="4" t="s">
        <v>31</v>
      </c>
      <c r="B41" s="27">
        <f t="shared" ref="B41:P41" si="24">SUM(B42:B48)</f>
        <v>277631</v>
      </c>
      <c r="C41" s="27">
        <f t="shared" si="24"/>
        <v>370905</v>
      </c>
      <c r="D41" s="27">
        <f t="shared" si="24"/>
        <v>425755</v>
      </c>
      <c r="E41" s="27">
        <f t="shared" si="24"/>
        <v>471097</v>
      </c>
      <c r="F41" s="27">
        <f t="shared" si="24"/>
        <v>494322</v>
      </c>
      <c r="G41" s="27">
        <f t="shared" si="24"/>
        <v>525006</v>
      </c>
      <c r="H41" s="27">
        <f t="shared" si="24"/>
        <v>553335</v>
      </c>
      <c r="I41" s="27">
        <f t="shared" si="24"/>
        <v>746002</v>
      </c>
      <c r="J41" s="27">
        <f t="shared" si="24"/>
        <v>856360</v>
      </c>
      <c r="K41" s="27">
        <f t="shared" si="24"/>
        <v>1027050.011</v>
      </c>
      <c r="L41" s="27">
        <f t="shared" si="24"/>
        <v>1225781.129</v>
      </c>
      <c r="M41" s="27">
        <f t="shared" si="24"/>
        <v>1458220.548</v>
      </c>
      <c r="N41" s="27">
        <f t="shared" si="24"/>
        <v>1731017.674</v>
      </c>
      <c r="O41" s="27">
        <f t="shared" si="24"/>
        <v>2051975.652</v>
      </c>
      <c r="P41" s="27">
        <f t="shared" si="24"/>
        <v>2430253.003</v>
      </c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ht="15.75" customHeight="1">
      <c r="A42" s="1" t="s">
        <v>32</v>
      </c>
      <c r="B42" s="22">
        <v>1510.0</v>
      </c>
      <c r="C42" s="22">
        <v>1510.0</v>
      </c>
      <c r="D42" s="22">
        <v>1510.0</v>
      </c>
      <c r="E42" s="22">
        <v>1510.0</v>
      </c>
      <c r="F42" s="22">
        <v>1510.0</v>
      </c>
      <c r="G42" s="22">
        <v>1510.0</v>
      </c>
      <c r="H42" s="22">
        <v>1510.0</v>
      </c>
      <c r="I42" s="22">
        <v>1572.0</v>
      </c>
      <c r="J42" s="22">
        <v>1572.0</v>
      </c>
      <c r="K42" s="20">
        <f t="shared" ref="K42:P42" si="25">J42</f>
        <v>1572</v>
      </c>
      <c r="L42" s="21">
        <f t="shared" si="25"/>
        <v>1572</v>
      </c>
      <c r="M42" s="21">
        <f t="shared" si="25"/>
        <v>1572</v>
      </c>
      <c r="N42" s="21">
        <f t="shared" si="25"/>
        <v>1572</v>
      </c>
      <c r="O42" s="21">
        <f t="shared" si="25"/>
        <v>1572</v>
      </c>
      <c r="P42" s="21">
        <f t="shared" si="25"/>
        <v>1572</v>
      </c>
    </row>
    <row r="43" ht="15.75" customHeight="1">
      <c r="A43" s="29" t="s">
        <v>33</v>
      </c>
      <c r="B43" s="22">
        <v>275977.0</v>
      </c>
      <c r="C43" s="22">
        <v>369241.0</v>
      </c>
      <c r="D43" s="22">
        <v>424084.0</v>
      </c>
      <c r="E43" s="22">
        <v>469411.0</v>
      </c>
      <c r="F43" s="22">
        <v>492620.0</v>
      </c>
      <c r="G43" s="22">
        <v>523496.0</v>
      </c>
      <c r="H43" s="22">
        <v>551825.0</v>
      </c>
      <c r="I43" s="22">
        <v>744430.0</v>
      </c>
      <c r="J43" s="22">
        <v>854788.0</v>
      </c>
      <c r="K43" s="19">
        <f t="shared" ref="K43:P43" si="26">J43+K36</f>
        <v>1025478.011</v>
      </c>
      <c r="L43" s="19">
        <f t="shared" si="26"/>
        <v>1224209.129</v>
      </c>
      <c r="M43" s="19">
        <f t="shared" si="26"/>
        <v>1456648.548</v>
      </c>
      <c r="N43" s="19">
        <f t="shared" si="26"/>
        <v>1729445.674</v>
      </c>
      <c r="O43" s="19">
        <f t="shared" si="26"/>
        <v>2050403.652</v>
      </c>
      <c r="P43" s="19">
        <f t="shared" si="26"/>
        <v>2428681.003</v>
      </c>
    </row>
    <row r="44" ht="15.75" customHeight="1">
      <c r="A44" s="1"/>
    </row>
    <row r="45" ht="15.75" customHeight="1">
      <c r="A45" s="1" t="s">
        <v>34</v>
      </c>
      <c r="K45" s="20" t="str">
        <f t="shared" ref="K45:P45" si="27">J45</f>
        <v/>
      </c>
      <c r="L45" s="21" t="str">
        <f t="shared" si="27"/>
        <v/>
      </c>
      <c r="M45" s="21" t="str">
        <f t="shared" si="27"/>
        <v/>
      </c>
      <c r="N45" s="21" t="str">
        <f t="shared" si="27"/>
        <v/>
      </c>
      <c r="O45" s="21" t="str">
        <f t="shared" si="27"/>
        <v/>
      </c>
      <c r="P45" s="21" t="str">
        <f t="shared" si="27"/>
        <v/>
      </c>
    </row>
    <row r="46" ht="15.75" customHeight="1">
      <c r="A46" s="161" t="s">
        <v>201</v>
      </c>
      <c r="B46" s="15">
        <v>0.0</v>
      </c>
      <c r="C46" s="15">
        <v>154.0</v>
      </c>
      <c r="D46" s="15">
        <v>161.0</v>
      </c>
      <c r="E46" s="15">
        <v>176.0</v>
      </c>
      <c r="F46" s="15">
        <v>192.0</v>
      </c>
      <c r="G46" s="15">
        <v>0.0</v>
      </c>
      <c r="H46" s="15">
        <v>0.0</v>
      </c>
      <c r="I46" s="15">
        <v>0.0</v>
      </c>
      <c r="J46" s="15">
        <v>0.0</v>
      </c>
      <c r="K46" s="20">
        <f t="shared" ref="K46:P46" si="28">J46</f>
        <v>0</v>
      </c>
      <c r="L46" s="21">
        <f t="shared" si="28"/>
        <v>0</v>
      </c>
      <c r="M46" s="21">
        <f t="shared" si="28"/>
        <v>0</v>
      </c>
      <c r="N46" s="21">
        <f t="shared" si="28"/>
        <v>0</v>
      </c>
      <c r="O46" s="21">
        <f t="shared" si="28"/>
        <v>0</v>
      </c>
      <c r="P46" s="21">
        <f t="shared" si="28"/>
        <v>0</v>
      </c>
    </row>
    <row r="47" ht="15.75" customHeight="1">
      <c r="A47" s="7" t="s">
        <v>35</v>
      </c>
      <c r="B47" s="15">
        <v>144.0</v>
      </c>
      <c r="C47" s="15">
        <v>0.0</v>
      </c>
      <c r="D47" s="15">
        <v>0.0</v>
      </c>
      <c r="E47" s="15">
        <v>0.0</v>
      </c>
      <c r="F47" s="15">
        <v>0.0</v>
      </c>
      <c r="G47" s="15">
        <v>0.0</v>
      </c>
      <c r="H47" s="15">
        <v>0.0</v>
      </c>
      <c r="I47" s="15">
        <v>0.0</v>
      </c>
      <c r="J47" s="15">
        <v>0.0</v>
      </c>
      <c r="K47" s="20">
        <f t="shared" ref="K47:P47" si="29">J47</f>
        <v>0</v>
      </c>
      <c r="L47" s="21">
        <f t="shared" si="29"/>
        <v>0</v>
      </c>
      <c r="M47" s="21">
        <f t="shared" si="29"/>
        <v>0</v>
      </c>
      <c r="N47" s="21">
        <f t="shared" si="29"/>
        <v>0</v>
      </c>
      <c r="O47" s="21">
        <f t="shared" si="29"/>
        <v>0</v>
      </c>
      <c r="P47" s="21">
        <f t="shared" si="29"/>
        <v>0</v>
      </c>
    </row>
    <row r="48" ht="15.75" customHeight="1">
      <c r="A48" s="7" t="s">
        <v>36</v>
      </c>
      <c r="B48" s="15">
        <v>0.0</v>
      </c>
      <c r="C48" s="15">
        <v>0.0</v>
      </c>
      <c r="D48" s="15">
        <v>0.0</v>
      </c>
      <c r="E48" s="15">
        <v>0.0</v>
      </c>
      <c r="F48" s="15">
        <v>0.0</v>
      </c>
      <c r="G48" s="15">
        <v>0.0</v>
      </c>
      <c r="H48" s="15">
        <v>0.0</v>
      </c>
      <c r="I48" s="15">
        <v>0.0</v>
      </c>
      <c r="J48" s="15">
        <v>0.0</v>
      </c>
      <c r="K48" s="20">
        <f t="shared" ref="K48:P48" si="30">J48</f>
        <v>0</v>
      </c>
      <c r="L48" s="21">
        <f t="shared" si="30"/>
        <v>0</v>
      </c>
      <c r="M48" s="21">
        <f t="shared" si="30"/>
        <v>0</v>
      </c>
      <c r="N48" s="21">
        <f t="shared" si="30"/>
        <v>0</v>
      </c>
      <c r="O48" s="21">
        <f t="shared" si="30"/>
        <v>0</v>
      </c>
      <c r="P48" s="21">
        <f t="shared" si="30"/>
        <v>0</v>
      </c>
    </row>
    <row r="49" ht="15.75" customHeight="1">
      <c r="A49" s="7"/>
    </row>
    <row r="50" ht="15.75" customHeight="1">
      <c r="A50" s="4" t="s">
        <v>37</v>
      </c>
      <c r="B50" s="34">
        <f t="shared" ref="B50:P50" si="31">SUM(B51:B55)</f>
        <v>10467</v>
      </c>
      <c r="C50" s="34">
        <f t="shared" si="31"/>
        <v>16332</v>
      </c>
      <c r="D50" s="34">
        <f t="shared" si="31"/>
        <v>22244</v>
      </c>
      <c r="E50" s="34">
        <f t="shared" si="31"/>
        <v>26985</v>
      </c>
      <c r="F50" s="34">
        <f t="shared" si="31"/>
        <v>28901</v>
      </c>
      <c r="G50" s="34">
        <f t="shared" si="31"/>
        <v>26616</v>
      </c>
      <c r="H50" s="34">
        <f t="shared" si="31"/>
        <v>22985</v>
      </c>
      <c r="I50" s="34">
        <f t="shared" si="31"/>
        <v>30185</v>
      </c>
      <c r="J50" s="34">
        <f t="shared" si="31"/>
        <v>37630</v>
      </c>
      <c r="K50" s="27">
        <f t="shared" si="31"/>
        <v>37630</v>
      </c>
      <c r="L50" s="27">
        <f t="shared" si="31"/>
        <v>37630</v>
      </c>
      <c r="M50" s="27">
        <f t="shared" si="31"/>
        <v>37630</v>
      </c>
      <c r="N50" s="27">
        <f t="shared" si="31"/>
        <v>37630</v>
      </c>
      <c r="O50" s="27">
        <f t="shared" si="31"/>
        <v>37630</v>
      </c>
      <c r="P50" s="27">
        <f t="shared" si="31"/>
        <v>37630</v>
      </c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 ht="15.75" customHeight="1">
      <c r="A51" s="29" t="s">
        <v>202</v>
      </c>
      <c r="E51" s="15">
        <v>0.0</v>
      </c>
      <c r="F51" s="15">
        <v>598.0</v>
      </c>
      <c r="G51" s="15">
        <v>392.0</v>
      </c>
      <c r="H51" s="15">
        <v>329.0</v>
      </c>
      <c r="I51" s="15">
        <v>250.0</v>
      </c>
      <c r="J51" s="15">
        <v>677.0</v>
      </c>
      <c r="K51" s="20">
        <f t="shared" ref="K51:P51" si="32">J51</f>
        <v>677</v>
      </c>
      <c r="L51" s="21">
        <f t="shared" si="32"/>
        <v>677</v>
      </c>
      <c r="M51" s="21">
        <f t="shared" si="32"/>
        <v>677</v>
      </c>
      <c r="N51" s="21">
        <f t="shared" si="32"/>
        <v>677</v>
      </c>
      <c r="O51" s="21">
        <f t="shared" si="32"/>
        <v>677</v>
      </c>
      <c r="P51" s="21">
        <f t="shared" si="32"/>
        <v>677</v>
      </c>
    </row>
    <row r="52" ht="15.75" customHeight="1">
      <c r="A52" s="29" t="s">
        <v>203</v>
      </c>
      <c r="B52" s="22">
        <v>1471.0</v>
      </c>
      <c r="C52" s="15">
        <v>0.0</v>
      </c>
      <c r="D52" s="15">
        <v>100.0</v>
      </c>
      <c r="E52" s="15">
        <v>80.0</v>
      </c>
      <c r="F52" s="15">
        <v>54.0</v>
      </c>
      <c r="G52" s="15">
        <v>28.0</v>
      </c>
      <c r="H52" s="15">
        <v>0.0</v>
      </c>
      <c r="I52" s="15">
        <v>0.0</v>
      </c>
      <c r="J52" s="15">
        <v>0.0</v>
      </c>
      <c r="K52" s="20">
        <f t="shared" ref="K52:P52" si="33">J52</f>
        <v>0</v>
      </c>
      <c r="L52" s="21">
        <f t="shared" si="33"/>
        <v>0</v>
      </c>
      <c r="M52" s="21">
        <f t="shared" si="33"/>
        <v>0</v>
      </c>
      <c r="N52" s="21">
        <f t="shared" si="33"/>
        <v>0</v>
      </c>
      <c r="O52" s="21">
        <f t="shared" si="33"/>
        <v>0</v>
      </c>
      <c r="P52" s="21">
        <f t="shared" si="33"/>
        <v>0</v>
      </c>
    </row>
    <row r="53" ht="15.75" customHeight="1">
      <c r="A53" s="1" t="s">
        <v>39</v>
      </c>
      <c r="B53" s="22">
        <v>1224.0</v>
      </c>
      <c r="C53" s="22">
        <v>11055.0</v>
      </c>
      <c r="D53" s="22">
        <v>15859.0</v>
      </c>
      <c r="E53" s="22">
        <v>20371.0</v>
      </c>
      <c r="F53" s="22">
        <v>21158.0</v>
      </c>
      <c r="G53" s="22">
        <v>21295.0</v>
      </c>
      <c r="H53" s="22">
        <v>21812.0</v>
      </c>
      <c r="I53" s="22">
        <v>25850.0</v>
      </c>
      <c r="J53" s="22">
        <v>31617.0</v>
      </c>
      <c r="K53" s="20">
        <f t="shared" ref="K53:P53" si="34">J53</f>
        <v>31617</v>
      </c>
      <c r="L53" s="21">
        <f t="shared" si="34"/>
        <v>31617</v>
      </c>
      <c r="M53" s="21">
        <f t="shared" si="34"/>
        <v>31617</v>
      </c>
      <c r="N53" s="21">
        <f t="shared" si="34"/>
        <v>31617</v>
      </c>
      <c r="O53" s="21">
        <f t="shared" si="34"/>
        <v>31617</v>
      </c>
      <c r="P53" s="21">
        <f t="shared" si="34"/>
        <v>31617</v>
      </c>
    </row>
    <row r="54" ht="15.75" customHeight="1">
      <c r="A54" s="1" t="s">
        <v>40</v>
      </c>
      <c r="B54" s="22">
        <v>3021.0</v>
      </c>
      <c r="C54" s="15">
        <v>219.0</v>
      </c>
      <c r="D54" s="15">
        <v>265.0</v>
      </c>
      <c r="E54" s="15">
        <v>395.0</v>
      </c>
      <c r="F54" s="15">
        <v>516.0</v>
      </c>
      <c r="G54" s="15">
        <v>447.0</v>
      </c>
      <c r="H54" s="15">
        <v>844.0</v>
      </c>
      <c r="I54" s="15">
        <v>875.0</v>
      </c>
      <c r="J54" s="22">
        <v>1448.0</v>
      </c>
      <c r="K54" s="20">
        <f t="shared" ref="K54:P54" si="35">J54</f>
        <v>1448</v>
      </c>
      <c r="L54" s="21">
        <f t="shared" si="35"/>
        <v>1448</v>
      </c>
      <c r="M54" s="21">
        <f t="shared" si="35"/>
        <v>1448</v>
      </c>
      <c r="N54" s="21">
        <f t="shared" si="35"/>
        <v>1448</v>
      </c>
      <c r="O54" s="21">
        <f t="shared" si="35"/>
        <v>1448</v>
      </c>
      <c r="P54" s="21">
        <f t="shared" si="35"/>
        <v>1448</v>
      </c>
    </row>
    <row r="55" ht="15.75" customHeight="1">
      <c r="A55" s="1" t="s">
        <v>41</v>
      </c>
      <c r="B55" s="22">
        <v>4751.0</v>
      </c>
      <c r="C55" s="22">
        <v>5058.0</v>
      </c>
      <c r="D55" s="22">
        <v>6020.0</v>
      </c>
      <c r="E55" s="22">
        <v>6139.0</v>
      </c>
      <c r="F55" s="22">
        <v>6575.0</v>
      </c>
      <c r="G55" s="22">
        <v>4454.0</v>
      </c>
      <c r="H55" s="15">
        <v>0.0</v>
      </c>
      <c r="I55" s="22">
        <v>3210.0</v>
      </c>
      <c r="J55" s="22">
        <v>3888.0</v>
      </c>
      <c r="K55" s="20">
        <f t="shared" ref="K55:P55" si="36">J55</f>
        <v>3888</v>
      </c>
      <c r="L55" s="21">
        <f t="shared" si="36"/>
        <v>3888</v>
      </c>
      <c r="M55" s="21">
        <f t="shared" si="36"/>
        <v>3888</v>
      </c>
      <c r="N55" s="21">
        <f t="shared" si="36"/>
        <v>3888</v>
      </c>
      <c r="O55" s="21">
        <f t="shared" si="36"/>
        <v>3888</v>
      </c>
      <c r="P55" s="21">
        <f t="shared" si="36"/>
        <v>3888</v>
      </c>
    </row>
    <row r="56" ht="15.75" customHeight="1">
      <c r="A56" s="7"/>
    </row>
    <row r="57" ht="15.75" customHeight="1">
      <c r="A57" s="18" t="s">
        <v>42</v>
      </c>
      <c r="B57" s="34">
        <f t="shared" ref="B57:P57" si="37">SUM(B58:B64)</f>
        <v>114601</v>
      </c>
      <c r="C57" s="34">
        <f t="shared" si="37"/>
        <v>132368</v>
      </c>
      <c r="D57" s="34">
        <f t="shared" si="37"/>
        <v>154485</v>
      </c>
      <c r="E57" s="34">
        <f t="shared" si="37"/>
        <v>141605</v>
      </c>
      <c r="F57" s="34">
        <f t="shared" si="37"/>
        <v>113054</v>
      </c>
      <c r="G57" s="34">
        <f t="shared" si="37"/>
        <v>162139</v>
      </c>
      <c r="H57" s="34">
        <f t="shared" si="37"/>
        <v>170235</v>
      </c>
      <c r="I57" s="34">
        <f t="shared" si="37"/>
        <v>227667</v>
      </c>
      <c r="J57" s="34">
        <f t="shared" si="37"/>
        <v>259518</v>
      </c>
      <c r="K57" s="27">
        <f t="shared" si="37"/>
        <v>333413.6646</v>
      </c>
      <c r="L57" s="27">
        <f t="shared" si="37"/>
        <v>389551.2984</v>
      </c>
      <c r="M57" s="27">
        <f t="shared" si="37"/>
        <v>455305.9924</v>
      </c>
      <c r="N57" s="27">
        <f t="shared" si="37"/>
        <v>532344.524</v>
      </c>
      <c r="O57" s="27">
        <f t="shared" si="37"/>
        <v>622624.7559</v>
      </c>
      <c r="P57" s="27">
        <f t="shared" si="37"/>
        <v>728446.7217</v>
      </c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ht="15.75" customHeight="1">
      <c r="A58" s="29" t="s">
        <v>202</v>
      </c>
      <c r="B58" s="15">
        <v>0.0</v>
      </c>
      <c r="C58" s="15">
        <v>0.0</v>
      </c>
      <c r="D58" s="15">
        <v>0.0</v>
      </c>
      <c r="E58" s="15">
        <v>0.0</v>
      </c>
      <c r="F58" s="15">
        <v>103.0</v>
      </c>
      <c r="G58" s="15">
        <v>74.0</v>
      </c>
      <c r="H58" s="15">
        <v>80.0</v>
      </c>
      <c r="I58" s="15">
        <v>68.0</v>
      </c>
      <c r="J58" s="15">
        <v>178.0</v>
      </c>
      <c r="K58" s="130"/>
      <c r="L58" s="130"/>
      <c r="M58" s="130"/>
      <c r="N58" s="130"/>
      <c r="O58" s="130"/>
      <c r="P58" s="130"/>
    </row>
    <row r="59" ht="15.75" customHeight="1">
      <c r="A59" s="29" t="s">
        <v>204</v>
      </c>
      <c r="B59" s="15">
        <v>0.0</v>
      </c>
      <c r="C59" s="22">
        <v>8036.0</v>
      </c>
      <c r="D59" s="22">
        <v>8541.0</v>
      </c>
      <c r="E59" s="22">
        <v>6729.0</v>
      </c>
      <c r="F59" s="22">
        <v>6962.0</v>
      </c>
      <c r="G59" s="22">
        <v>8547.0</v>
      </c>
      <c r="H59" s="22">
        <v>11113.0</v>
      </c>
      <c r="I59" s="22">
        <v>11584.0</v>
      </c>
      <c r="J59" s="22">
        <v>12030.0</v>
      </c>
      <c r="K59" s="19">
        <f t="shared" ref="K59:P59" si="38">K167</f>
        <v>17456.21281</v>
      </c>
      <c r="L59" s="19">
        <f t="shared" si="38"/>
        <v>20395.35594</v>
      </c>
      <c r="M59" s="19">
        <f t="shared" si="38"/>
        <v>23838.01008</v>
      </c>
      <c r="N59" s="19">
        <f t="shared" si="38"/>
        <v>27871.44105</v>
      </c>
      <c r="O59" s="19">
        <f t="shared" si="38"/>
        <v>32598.15476</v>
      </c>
      <c r="P59" s="19">
        <f t="shared" si="38"/>
        <v>38138.57181</v>
      </c>
    </row>
    <row r="60" ht="15.75" customHeight="1">
      <c r="A60" s="1" t="s">
        <v>44</v>
      </c>
      <c r="B60" s="15">
        <v>907.0</v>
      </c>
      <c r="C60" s="22">
        <v>4836.0</v>
      </c>
      <c r="D60" s="22">
        <v>1108.0</v>
      </c>
      <c r="E60" s="22">
        <v>1496.0</v>
      </c>
      <c r="F60" s="22">
        <v>1063.0</v>
      </c>
      <c r="G60" s="22">
        <v>4888.0</v>
      </c>
      <c r="H60" s="22">
        <v>3819.0</v>
      </c>
      <c r="I60" s="22">
        <v>12158.0</v>
      </c>
      <c r="J60" s="15">
        <v>331.0</v>
      </c>
      <c r="K60" s="19">
        <f t="shared" ref="K60:P60" si="39">K168</f>
        <v>1745.621281</v>
      </c>
      <c r="L60" s="19">
        <f t="shared" si="39"/>
        <v>2039.535594</v>
      </c>
      <c r="M60" s="19">
        <f t="shared" si="39"/>
        <v>2383.801008</v>
      </c>
      <c r="N60" s="19">
        <f t="shared" si="39"/>
        <v>2787.144105</v>
      </c>
      <c r="O60" s="19">
        <f t="shared" si="39"/>
        <v>3259.815476</v>
      </c>
      <c r="P60" s="19">
        <f t="shared" si="39"/>
        <v>3813.857181</v>
      </c>
    </row>
    <row r="61" ht="15.75" customHeight="1">
      <c r="A61" s="29" t="s">
        <v>45</v>
      </c>
      <c r="B61" s="44">
        <f>533+70738</f>
        <v>71271</v>
      </c>
      <c r="C61" s="44">
        <f>832+82860</f>
        <v>83692</v>
      </c>
      <c r="D61" s="44">
        <f>711+104282</f>
        <v>104993</v>
      </c>
      <c r="E61" s="44">
        <f>682+95695</f>
        <v>96377</v>
      </c>
      <c r="F61" s="44">
        <f>481+74507</f>
        <v>74988</v>
      </c>
      <c r="G61" s="44">
        <f>698+100983</f>
        <v>101681</v>
      </c>
      <c r="H61" s="44">
        <f>1087+96565</f>
        <v>97652</v>
      </c>
      <c r="I61" s="15">
        <f>1947+134808</f>
        <v>136755</v>
      </c>
      <c r="J61" s="15">
        <f>2070+167814</f>
        <v>169884</v>
      </c>
      <c r="K61" s="19">
        <f t="shared" ref="K61:P61" si="40">K169</f>
        <v>209474.5537</v>
      </c>
      <c r="L61" s="19">
        <f t="shared" si="40"/>
        <v>244744.2712</v>
      </c>
      <c r="M61" s="19">
        <f t="shared" si="40"/>
        <v>286056.1209</v>
      </c>
      <c r="N61" s="19">
        <f t="shared" si="40"/>
        <v>334457.2926</v>
      </c>
      <c r="O61" s="19">
        <f t="shared" si="40"/>
        <v>391177.8571</v>
      </c>
      <c r="P61" s="19">
        <f t="shared" si="40"/>
        <v>457662.8618</v>
      </c>
    </row>
    <row r="62" ht="15.75" customHeight="1">
      <c r="A62" s="1" t="s">
        <v>46</v>
      </c>
      <c r="B62" s="22">
        <v>24078.0</v>
      </c>
      <c r="C62" s="22">
        <v>18278.0</v>
      </c>
      <c r="D62" s="22">
        <v>20896.0</v>
      </c>
      <c r="E62" s="22">
        <v>16329.0</v>
      </c>
      <c r="F62" s="22">
        <v>14091.0</v>
      </c>
      <c r="G62" s="22">
        <v>26801.0</v>
      </c>
      <c r="H62" s="22">
        <v>28686.0</v>
      </c>
      <c r="I62" s="22">
        <v>33372.0</v>
      </c>
      <c r="J62" s="22">
        <v>41739.0</v>
      </c>
      <c r="K62" s="19">
        <f t="shared" ref="K62:P62" si="41">K170</f>
        <v>52368.63842</v>
      </c>
      <c r="L62" s="19">
        <f t="shared" si="41"/>
        <v>61186.06781</v>
      </c>
      <c r="M62" s="19">
        <f t="shared" si="41"/>
        <v>71514.03023</v>
      </c>
      <c r="N62" s="19">
        <f t="shared" si="41"/>
        <v>83614.32315</v>
      </c>
      <c r="O62" s="19">
        <f t="shared" si="41"/>
        <v>97794.46428</v>
      </c>
      <c r="P62" s="19">
        <f t="shared" si="41"/>
        <v>114415.7154</v>
      </c>
    </row>
    <row r="63" ht="15.75" customHeight="1">
      <c r="A63" s="1" t="s">
        <v>47</v>
      </c>
      <c r="B63" s="22">
        <v>18345.0</v>
      </c>
      <c r="C63" s="22">
        <v>4498.0</v>
      </c>
      <c r="D63" s="22">
        <v>5609.0</v>
      </c>
      <c r="E63" s="22">
        <v>6254.0</v>
      </c>
      <c r="F63" s="22">
        <v>6807.0</v>
      </c>
      <c r="G63" s="22">
        <v>7428.0</v>
      </c>
      <c r="H63" s="22">
        <v>8613.0</v>
      </c>
      <c r="I63" s="22">
        <v>10830.0</v>
      </c>
      <c r="J63" s="22">
        <v>13119.0</v>
      </c>
      <c r="K63" s="19">
        <f t="shared" ref="K63:P63" si="42">K171</f>
        <v>17456.21281</v>
      </c>
      <c r="L63" s="19">
        <f t="shared" si="42"/>
        <v>20395.35594</v>
      </c>
      <c r="M63" s="19">
        <f t="shared" si="42"/>
        <v>23838.01008</v>
      </c>
      <c r="N63" s="19">
        <f t="shared" si="42"/>
        <v>27871.44105</v>
      </c>
      <c r="O63" s="19">
        <f t="shared" si="42"/>
        <v>32598.15476</v>
      </c>
      <c r="P63" s="19">
        <f t="shared" si="42"/>
        <v>38138.57181</v>
      </c>
    </row>
    <row r="64" ht="15.75" customHeight="1">
      <c r="A64" s="1" t="s">
        <v>48</v>
      </c>
      <c r="C64" s="22">
        <v>13028.0</v>
      </c>
      <c r="D64" s="22">
        <v>13338.0</v>
      </c>
      <c r="E64" s="22">
        <v>14420.0</v>
      </c>
      <c r="F64" s="22">
        <v>9040.0</v>
      </c>
      <c r="G64" s="22">
        <v>12720.0</v>
      </c>
      <c r="H64" s="22">
        <v>20272.0</v>
      </c>
      <c r="I64" s="22">
        <v>22900.0</v>
      </c>
      <c r="J64" s="22">
        <v>22237.0</v>
      </c>
      <c r="K64" s="19">
        <f t="shared" ref="K64:P64" si="43">K172</f>
        <v>34912.42561</v>
      </c>
      <c r="L64" s="19">
        <f t="shared" si="43"/>
        <v>40790.71187</v>
      </c>
      <c r="M64" s="19">
        <f t="shared" si="43"/>
        <v>47676.02015</v>
      </c>
      <c r="N64" s="19">
        <f t="shared" si="43"/>
        <v>55742.8821</v>
      </c>
      <c r="O64" s="19">
        <f t="shared" si="43"/>
        <v>65196.30952</v>
      </c>
      <c r="P64" s="19">
        <f t="shared" si="43"/>
        <v>76277.14363</v>
      </c>
    </row>
    <row r="65" ht="15.75" customHeight="1">
      <c r="A65" s="8" t="s">
        <v>49</v>
      </c>
      <c r="B65" s="27">
        <f t="shared" ref="B65:P65" si="44">SUM(B41,B50,B57)</f>
        <v>402699</v>
      </c>
      <c r="C65" s="27">
        <f t="shared" si="44"/>
        <v>519605</v>
      </c>
      <c r="D65" s="27">
        <f t="shared" si="44"/>
        <v>602484</v>
      </c>
      <c r="E65" s="27">
        <f t="shared" si="44"/>
        <v>639687</v>
      </c>
      <c r="F65" s="27">
        <f t="shared" si="44"/>
        <v>636277</v>
      </c>
      <c r="G65" s="27">
        <f t="shared" si="44"/>
        <v>713761</v>
      </c>
      <c r="H65" s="27">
        <f t="shared" si="44"/>
        <v>746555</v>
      </c>
      <c r="I65" s="27">
        <f t="shared" si="44"/>
        <v>1003854</v>
      </c>
      <c r="J65" s="27">
        <f t="shared" si="44"/>
        <v>1153508</v>
      </c>
      <c r="K65" s="27">
        <f t="shared" si="44"/>
        <v>1398093.676</v>
      </c>
      <c r="L65" s="27">
        <f t="shared" si="44"/>
        <v>1652962.427</v>
      </c>
      <c r="M65" s="27">
        <f t="shared" si="44"/>
        <v>1951156.541</v>
      </c>
      <c r="N65" s="27">
        <f t="shared" si="44"/>
        <v>2300992.198</v>
      </c>
      <c r="O65" s="27">
        <f t="shared" si="44"/>
        <v>2712230.408</v>
      </c>
      <c r="P65" s="27">
        <f t="shared" si="44"/>
        <v>3196329.724</v>
      </c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ht="15.75" customHeight="1">
      <c r="A66" s="7"/>
    </row>
    <row r="67" ht="15.75" customHeight="1">
      <c r="A67" s="7"/>
    </row>
    <row r="68" ht="15.75" customHeight="1">
      <c r="A68" s="4" t="s">
        <v>50</v>
      </c>
    </row>
    <row r="69" ht="15.75" customHeight="1">
      <c r="A69" s="7"/>
    </row>
    <row r="70" ht="15.75" customHeight="1">
      <c r="A70" s="18" t="s">
        <v>51</v>
      </c>
      <c r="B70" s="27">
        <f t="shared" ref="B70:P70" si="45">SUM(B71:B81)</f>
        <v>328656</v>
      </c>
      <c r="C70" s="27">
        <f t="shared" si="45"/>
        <v>431625</v>
      </c>
      <c r="D70" s="27">
        <f t="shared" si="45"/>
        <v>523184</v>
      </c>
      <c r="E70" s="27">
        <f t="shared" si="45"/>
        <v>515960</v>
      </c>
      <c r="F70" s="27">
        <f t="shared" si="45"/>
        <v>551871</v>
      </c>
      <c r="G70" s="27">
        <f t="shared" si="45"/>
        <v>532791</v>
      </c>
      <c r="H70" s="27">
        <f t="shared" si="45"/>
        <v>578621</v>
      </c>
      <c r="I70" s="27">
        <f t="shared" si="45"/>
        <v>847162</v>
      </c>
      <c r="J70" s="27">
        <f t="shared" si="45"/>
        <v>927170</v>
      </c>
      <c r="K70" s="27">
        <f t="shared" si="45"/>
        <v>966528</v>
      </c>
      <c r="L70" s="27">
        <f t="shared" si="45"/>
        <v>1007328</v>
      </c>
      <c r="M70" s="27">
        <f t="shared" si="45"/>
        <v>1048128</v>
      </c>
      <c r="N70" s="27">
        <f t="shared" si="45"/>
        <v>1088928</v>
      </c>
      <c r="O70" s="27">
        <f t="shared" si="45"/>
        <v>1129728</v>
      </c>
      <c r="P70" s="27">
        <f t="shared" si="45"/>
        <v>1170528</v>
      </c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ht="15.75" customHeight="1">
      <c r="A71" s="28" t="s">
        <v>101</v>
      </c>
      <c r="B71" s="22">
        <v>126251.0</v>
      </c>
      <c r="C71" s="22">
        <v>129377.0</v>
      </c>
      <c r="D71" s="22">
        <v>130771.0</v>
      </c>
      <c r="E71" s="22">
        <v>149862.0</v>
      </c>
      <c r="F71" s="22">
        <v>147905.0</v>
      </c>
      <c r="G71" s="22">
        <v>141785.0</v>
      </c>
      <c r="H71" s="22">
        <v>128261.0</v>
      </c>
      <c r="I71" s="22">
        <v>268028.0</v>
      </c>
      <c r="J71" s="22">
        <v>267982.0</v>
      </c>
      <c r="K71" s="19">
        <f t="shared" ref="K71:P71" si="46">SUM(J71:J75,K205)-K207</f>
        <v>395354</v>
      </c>
      <c r="L71" s="19">
        <f t="shared" si="46"/>
        <v>436154</v>
      </c>
      <c r="M71" s="19">
        <f t="shared" si="46"/>
        <v>476954</v>
      </c>
      <c r="N71" s="19">
        <f t="shared" si="46"/>
        <v>517754</v>
      </c>
      <c r="O71" s="19">
        <f t="shared" si="46"/>
        <v>558554</v>
      </c>
      <c r="P71" s="19">
        <f t="shared" si="46"/>
        <v>599354</v>
      </c>
    </row>
    <row r="72" ht="15.75" customHeight="1">
      <c r="A72" s="16" t="s">
        <v>53</v>
      </c>
      <c r="B72" s="22">
        <v>3508.0</v>
      </c>
      <c r="C72" s="22">
        <v>3730.0</v>
      </c>
      <c r="D72" s="22">
        <v>3117.0</v>
      </c>
      <c r="E72" s="22">
        <v>4511.0</v>
      </c>
      <c r="F72" s="22">
        <v>4067.0</v>
      </c>
      <c r="G72" s="22">
        <v>2242.0</v>
      </c>
      <c r="H72" s="22">
        <v>3499.0</v>
      </c>
      <c r="I72" s="22">
        <v>5479.0</v>
      </c>
      <c r="J72" s="22">
        <v>4537.0</v>
      </c>
      <c r="K72" s="196"/>
      <c r="L72" s="196"/>
      <c r="M72" s="196"/>
      <c r="N72" s="196"/>
      <c r="O72" s="196"/>
      <c r="P72" s="196"/>
    </row>
    <row r="73" ht="15.75" customHeight="1">
      <c r="A73" s="16" t="s">
        <v>54</v>
      </c>
      <c r="B73" s="22">
        <v>10134.0</v>
      </c>
      <c r="C73" s="22">
        <v>12523.0</v>
      </c>
      <c r="D73" s="22">
        <v>21321.0</v>
      </c>
      <c r="E73" s="22">
        <v>16069.0</v>
      </c>
      <c r="F73" s="22">
        <v>13443.0</v>
      </c>
      <c r="G73" s="22">
        <v>11993.0</v>
      </c>
      <c r="H73" s="22">
        <v>26462.0</v>
      </c>
      <c r="I73" s="22">
        <v>40541.0</v>
      </c>
      <c r="J73" s="22">
        <v>75043.0</v>
      </c>
      <c r="K73" s="196"/>
      <c r="L73" s="196"/>
      <c r="M73" s="196"/>
      <c r="N73" s="196"/>
      <c r="O73" s="196"/>
      <c r="P73" s="196"/>
    </row>
    <row r="74" ht="15.75" customHeight="1">
      <c r="A74" s="16" t="s">
        <v>55</v>
      </c>
      <c r="C74" s="15">
        <v>0.0</v>
      </c>
      <c r="D74" s="15">
        <v>0.0</v>
      </c>
      <c r="E74" s="15">
        <v>0.0</v>
      </c>
      <c r="F74" s="15">
        <v>0.0</v>
      </c>
      <c r="G74" s="22">
        <v>2975.0</v>
      </c>
      <c r="H74" s="22">
        <v>2903.0</v>
      </c>
      <c r="I74" s="15">
        <v>889.0</v>
      </c>
      <c r="J74" s="22">
        <v>2305.0</v>
      </c>
      <c r="K74" s="196"/>
      <c r="L74" s="196"/>
      <c r="M74" s="196"/>
      <c r="N74" s="196"/>
      <c r="O74" s="196"/>
      <c r="P74" s="196"/>
    </row>
    <row r="75" ht="15.75" customHeight="1">
      <c r="A75" s="29" t="s">
        <v>102</v>
      </c>
      <c r="C75" s="15">
        <v>0.0</v>
      </c>
      <c r="D75" s="15">
        <v>0.0</v>
      </c>
      <c r="E75" s="15">
        <v>0.0</v>
      </c>
      <c r="F75" s="22">
        <v>6181.0</v>
      </c>
      <c r="G75" s="22">
        <v>5860.0</v>
      </c>
      <c r="H75" s="22">
        <v>5712.0</v>
      </c>
      <c r="I75" s="22">
        <v>5907.0</v>
      </c>
      <c r="J75" s="22">
        <v>6129.0</v>
      </c>
      <c r="K75" s="196"/>
      <c r="L75" s="196"/>
      <c r="M75" s="196"/>
      <c r="N75" s="196"/>
      <c r="O75" s="196"/>
      <c r="P75" s="196"/>
    </row>
    <row r="76" ht="15.75" customHeight="1">
      <c r="A76" s="1" t="s">
        <v>56</v>
      </c>
      <c r="B76" s="22">
        <v>175117.0</v>
      </c>
      <c r="C76" s="22">
        <v>269718.0</v>
      </c>
      <c r="D76" s="22">
        <v>349058.0</v>
      </c>
      <c r="E76" s="22">
        <v>324581.0</v>
      </c>
      <c r="F76" s="22">
        <v>362692.0</v>
      </c>
      <c r="G76" s="22">
        <v>345291.0</v>
      </c>
      <c r="H76" s="22">
        <v>379346.0</v>
      </c>
      <c r="I76" s="22">
        <v>491843.0</v>
      </c>
      <c r="J76" s="22">
        <v>533838.0</v>
      </c>
      <c r="K76" s="20">
        <f t="shared" ref="K76:P76" si="47">J76</f>
        <v>533838</v>
      </c>
      <c r="L76" s="21">
        <f t="shared" si="47"/>
        <v>533838</v>
      </c>
      <c r="M76" s="21">
        <f t="shared" si="47"/>
        <v>533838</v>
      </c>
      <c r="N76" s="21">
        <f t="shared" si="47"/>
        <v>533838</v>
      </c>
      <c r="O76" s="21">
        <f t="shared" si="47"/>
        <v>533838</v>
      </c>
      <c r="P76" s="21">
        <f t="shared" si="47"/>
        <v>533838</v>
      </c>
    </row>
    <row r="77" ht="15.75" customHeight="1">
      <c r="A77" s="1" t="s">
        <v>57</v>
      </c>
      <c r="C77" s="15">
        <v>241.0</v>
      </c>
      <c r="D77" s="15">
        <v>328.0</v>
      </c>
      <c r="E77" s="15">
        <v>344.0</v>
      </c>
      <c r="F77" s="15">
        <v>365.0</v>
      </c>
      <c r="G77" s="22">
        <v>369.0</v>
      </c>
      <c r="H77" s="22">
        <v>375.0</v>
      </c>
      <c r="I77" s="22">
        <v>2398.0</v>
      </c>
      <c r="J77" s="22">
        <v>2981.0</v>
      </c>
      <c r="K77" s="20">
        <f t="shared" ref="K77:P77" si="48">J77</f>
        <v>2981</v>
      </c>
      <c r="L77" s="21">
        <f t="shared" si="48"/>
        <v>2981</v>
      </c>
      <c r="M77" s="21">
        <f t="shared" si="48"/>
        <v>2981</v>
      </c>
      <c r="N77" s="21">
        <f t="shared" si="48"/>
        <v>2981</v>
      </c>
      <c r="O77" s="21">
        <f t="shared" si="48"/>
        <v>2981</v>
      </c>
      <c r="P77" s="21">
        <f t="shared" si="48"/>
        <v>2981</v>
      </c>
    </row>
    <row r="78" ht="15.75" customHeight="1">
      <c r="A78" s="1" t="s">
        <v>58</v>
      </c>
      <c r="B78" s="22">
        <v>13555.0</v>
      </c>
      <c r="C78" s="15">
        <v>3.0</v>
      </c>
      <c r="D78" s="15">
        <v>2.0</v>
      </c>
      <c r="E78" s="15">
        <v>2.0</v>
      </c>
      <c r="F78" s="15">
        <v>2.0</v>
      </c>
      <c r="G78" s="22">
        <v>2.0</v>
      </c>
      <c r="H78" s="22">
        <v>2.0</v>
      </c>
      <c r="I78" s="15">
        <v>2.0</v>
      </c>
      <c r="J78" s="15">
        <v>1.0</v>
      </c>
      <c r="K78" s="20">
        <f t="shared" ref="K78:P78" si="49">J78</f>
        <v>1</v>
      </c>
      <c r="L78" s="21">
        <f t="shared" si="49"/>
        <v>1</v>
      </c>
      <c r="M78" s="21">
        <f t="shared" si="49"/>
        <v>1</v>
      </c>
      <c r="N78" s="21">
        <f t="shared" si="49"/>
        <v>1</v>
      </c>
      <c r="O78" s="21">
        <f t="shared" si="49"/>
        <v>1</v>
      </c>
      <c r="P78" s="21">
        <f t="shared" si="49"/>
        <v>1</v>
      </c>
    </row>
    <row r="79" ht="15.75" customHeight="1">
      <c r="A79" s="1" t="s">
        <v>59</v>
      </c>
      <c r="B79" s="15">
        <v>91.0</v>
      </c>
      <c r="C79" s="22">
        <v>16033.0</v>
      </c>
      <c r="D79" s="22">
        <v>18587.0</v>
      </c>
      <c r="E79" s="22">
        <v>20591.0</v>
      </c>
      <c r="F79" s="22">
        <v>17216.0</v>
      </c>
      <c r="G79" s="22">
        <v>16867.0</v>
      </c>
      <c r="H79" s="22">
        <v>25204.0</v>
      </c>
      <c r="I79" s="22">
        <v>6055.0</v>
      </c>
      <c r="J79" s="22">
        <v>5838.0</v>
      </c>
      <c r="K79" s="20">
        <f t="shared" ref="K79:P79" si="50">J79</f>
        <v>5838</v>
      </c>
      <c r="L79" s="21">
        <f t="shared" si="50"/>
        <v>5838</v>
      </c>
      <c r="M79" s="21">
        <f t="shared" si="50"/>
        <v>5838</v>
      </c>
      <c r="N79" s="21">
        <f t="shared" si="50"/>
        <v>5838</v>
      </c>
      <c r="O79" s="21">
        <f t="shared" si="50"/>
        <v>5838</v>
      </c>
      <c r="P79" s="21">
        <f t="shared" si="50"/>
        <v>5838</v>
      </c>
    </row>
    <row r="80" ht="15.75" customHeight="1">
      <c r="A80" s="29" t="s">
        <v>187</v>
      </c>
      <c r="C80" s="15">
        <v>0.0</v>
      </c>
      <c r="D80" s="15">
        <v>0.0</v>
      </c>
      <c r="E80" s="15">
        <v>0.0</v>
      </c>
      <c r="F80" s="15">
        <v>0.0</v>
      </c>
      <c r="G80" s="22">
        <v>5407.0</v>
      </c>
      <c r="H80" s="22">
        <v>5446.0</v>
      </c>
      <c r="I80" s="22">
        <v>23226.0</v>
      </c>
      <c r="J80" s="22">
        <v>28049.0</v>
      </c>
      <c r="K80" s="20">
        <f t="shared" ref="K80:P80" si="51">J80</f>
        <v>28049</v>
      </c>
      <c r="L80" s="21">
        <f t="shared" si="51"/>
        <v>28049</v>
      </c>
      <c r="M80" s="21">
        <f t="shared" si="51"/>
        <v>28049</v>
      </c>
      <c r="N80" s="21">
        <f t="shared" si="51"/>
        <v>28049</v>
      </c>
      <c r="O80" s="21">
        <f t="shared" si="51"/>
        <v>28049</v>
      </c>
      <c r="P80" s="21">
        <f t="shared" si="51"/>
        <v>28049</v>
      </c>
    </row>
    <row r="81" ht="15.75" customHeight="1">
      <c r="A81" s="29" t="s">
        <v>104</v>
      </c>
      <c r="C81" s="15">
        <v>0.0</v>
      </c>
      <c r="D81" s="15">
        <v>0.0</v>
      </c>
      <c r="E81" s="15">
        <v>0.0</v>
      </c>
      <c r="F81" s="15">
        <v>0.0</v>
      </c>
      <c r="G81" s="22">
        <v>0.0</v>
      </c>
      <c r="H81" s="22">
        <v>1411.0</v>
      </c>
      <c r="I81" s="22">
        <v>2794.0</v>
      </c>
      <c r="J81" s="15">
        <v>467.0</v>
      </c>
      <c r="K81" s="20">
        <f t="shared" ref="K81:P81" si="52">J81</f>
        <v>467</v>
      </c>
      <c r="L81" s="21">
        <f t="shared" si="52"/>
        <v>467</v>
      </c>
      <c r="M81" s="21">
        <f t="shared" si="52"/>
        <v>467</v>
      </c>
      <c r="N81" s="21">
        <f t="shared" si="52"/>
        <v>467</v>
      </c>
      <c r="O81" s="21">
        <f t="shared" si="52"/>
        <v>467</v>
      </c>
      <c r="P81" s="21">
        <f t="shared" si="52"/>
        <v>467</v>
      </c>
    </row>
    <row r="82" ht="15.75" customHeight="1">
      <c r="A82" s="1"/>
    </row>
    <row r="83" ht="15.75" customHeight="1">
      <c r="A83" s="18" t="s">
        <v>60</v>
      </c>
      <c r="B83" s="27">
        <f t="shared" ref="B83:P83" si="53">SUM(B85:B94)</f>
        <v>74043</v>
      </c>
      <c r="C83" s="27">
        <f t="shared" si="53"/>
        <v>87980</v>
      </c>
      <c r="D83" s="27">
        <f t="shared" si="53"/>
        <v>79300</v>
      </c>
      <c r="E83" s="27">
        <f t="shared" si="53"/>
        <v>123727</v>
      </c>
      <c r="F83" s="27">
        <f t="shared" si="53"/>
        <v>84406</v>
      </c>
      <c r="G83" s="27">
        <f t="shared" si="53"/>
        <v>180970</v>
      </c>
      <c r="H83" s="27">
        <f t="shared" si="53"/>
        <v>167934</v>
      </c>
      <c r="I83" s="27">
        <f t="shared" si="53"/>
        <v>156692</v>
      </c>
      <c r="J83" s="27">
        <f t="shared" si="53"/>
        <v>226338</v>
      </c>
      <c r="K83" s="27">
        <f t="shared" si="53"/>
        <v>431565.676</v>
      </c>
      <c r="L83" s="27">
        <f t="shared" si="53"/>
        <v>645634.4271</v>
      </c>
      <c r="M83" s="27">
        <f t="shared" si="53"/>
        <v>903028.5407</v>
      </c>
      <c r="N83" s="27">
        <f t="shared" si="53"/>
        <v>1212064.198</v>
      </c>
      <c r="O83" s="27">
        <f t="shared" si="53"/>
        <v>1582502.408</v>
      </c>
      <c r="P83" s="27">
        <f t="shared" si="53"/>
        <v>2025801.724</v>
      </c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ht="15.75" customHeight="1">
      <c r="A84" s="1"/>
    </row>
    <row r="85" ht="15.75" customHeight="1">
      <c r="A85" s="16" t="s">
        <v>61</v>
      </c>
      <c r="B85" s="22">
        <v>31998.0</v>
      </c>
      <c r="C85" s="22">
        <v>32637.0</v>
      </c>
      <c r="D85" s="22">
        <v>31602.0</v>
      </c>
      <c r="E85" s="22">
        <v>33226.0</v>
      </c>
      <c r="F85" s="22">
        <v>32139.0</v>
      </c>
      <c r="G85" s="22">
        <v>30490.0</v>
      </c>
      <c r="H85" s="22">
        <v>35323.0</v>
      </c>
      <c r="I85" s="22">
        <v>54435.0</v>
      </c>
      <c r="J85" s="22">
        <v>53181.0</v>
      </c>
      <c r="K85" s="19">
        <f t="shared" ref="K85:P85" si="54">K159</f>
        <v>69824.85122</v>
      </c>
      <c r="L85" s="19">
        <f t="shared" si="54"/>
        <v>81581.42375</v>
      </c>
      <c r="M85" s="19">
        <f t="shared" si="54"/>
        <v>95352.0403</v>
      </c>
      <c r="N85" s="19">
        <f t="shared" si="54"/>
        <v>111485.7642</v>
      </c>
      <c r="O85" s="19">
        <f t="shared" si="54"/>
        <v>130392.619</v>
      </c>
      <c r="P85" s="19">
        <f t="shared" si="54"/>
        <v>152554.2873</v>
      </c>
    </row>
    <row r="86" ht="15.75" customHeight="1">
      <c r="A86" s="16" t="s">
        <v>62</v>
      </c>
      <c r="B86" s="22">
        <v>13873.0</v>
      </c>
      <c r="C86" s="22">
        <v>12026.0</v>
      </c>
      <c r="D86" s="22">
        <v>14654.0</v>
      </c>
      <c r="E86" s="22">
        <v>23128.0</v>
      </c>
      <c r="F86" s="22">
        <v>21298.0</v>
      </c>
      <c r="G86" s="22">
        <v>12799.0</v>
      </c>
      <c r="H86" s="22">
        <v>20345.0</v>
      </c>
      <c r="I86" s="22">
        <v>32848.0</v>
      </c>
      <c r="J86" s="22">
        <v>45968.0</v>
      </c>
      <c r="K86" s="19">
        <f t="shared" ref="K86:P86" si="55">K160</f>
        <v>52368.63842</v>
      </c>
      <c r="L86" s="19">
        <f t="shared" si="55"/>
        <v>61186.06781</v>
      </c>
      <c r="M86" s="19">
        <f t="shared" si="55"/>
        <v>71514.03023</v>
      </c>
      <c r="N86" s="19">
        <f t="shared" si="55"/>
        <v>83614.32315</v>
      </c>
      <c r="O86" s="19">
        <f t="shared" si="55"/>
        <v>97794.46428</v>
      </c>
      <c r="P86" s="19">
        <f t="shared" si="55"/>
        <v>114415.7154</v>
      </c>
    </row>
    <row r="87" ht="15.75" customHeight="1">
      <c r="A87" s="16" t="s">
        <v>63</v>
      </c>
      <c r="B87" s="15">
        <v>768.0</v>
      </c>
      <c r="C87" s="15">
        <v>235.0</v>
      </c>
      <c r="D87" s="15">
        <v>740.0</v>
      </c>
      <c r="E87" s="22">
        <v>1878.0</v>
      </c>
      <c r="F87" s="15">
        <v>290.0</v>
      </c>
      <c r="G87" s="44">
        <f>408+30063</f>
        <v>30471</v>
      </c>
      <c r="H87" s="44">
        <f>351+30071</f>
        <v>30422</v>
      </c>
      <c r="I87" s="22">
        <f>17852+9633</f>
        <v>27485</v>
      </c>
      <c r="J87" s="22">
        <f>26595+1679</f>
        <v>28274</v>
      </c>
      <c r="K87" s="128">
        <f t="shared" ref="K87:P87" si="56">K219</f>
        <v>221688.7359</v>
      </c>
      <c r="L87" s="128">
        <f t="shared" si="56"/>
        <v>400420.0187</v>
      </c>
      <c r="M87" s="128">
        <f t="shared" si="56"/>
        <v>616422.9254</v>
      </c>
      <c r="N87" s="128">
        <f t="shared" si="56"/>
        <v>876964.436</v>
      </c>
      <c r="O87" s="128">
        <f t="shared" si="56"/>
        <v>1190573.125</v>
      </c>
      <c r="P87" s="128">
        <f t="shared" si="56"/>
        <v>1567259.723</v>
      </c>
    </row>
    <row r="88" ht="15.75" customHeight="1">
      <c r="A88" s="16" t="s">
        <v>64</v>
      </c>
      <c r="B88" s="22">
        <v>15957.0</v>
      </c>
      <c r="C88" s="15">
        <v>25.0</v>
      </c>
      <c r="D88" s="15">
        <v>30.0</v>
      </c>
      <c r="E88" s="15">
        <v>161.0</v>
      </c>
      <c r="F88" s="15">
        <v>170.0</v>
      </c>
      <c r="G88" s="15">
        <v>230.0</v>
      </c>
      <c r="H88" s="15">
        <v>305.0</v>
      </c>
      <c r="I88" s="15">
        <v>297.0</v>
      </c>
      <c r="J88" s="15">
        <v>327.0</v>
      </c>
      <c r="K88" s="19">
        <f t="shared" ref="K88:P88" si="57">K161</f>
        <v>402.3864385</v>
      </c>
      <c r="L88" s="19">
        <f t="shared" si="57"/>
        <v>470.1371786</v>
      </c>
      <c r="M88" s="19">
        <f t="shared" si="57"/>
        <v>549.4944455</v>
      </c>
      <c r="N88" s="19">
        <f t="shared" si="57"/>
        <v>642.4698201</v>
      </c>
      <c r="O88" s="19">
        <f t="shared" si="57"/>
        <v>751.4261852</v>
      </c>
      <c r="P88" s="19">
        <f t="shared" si="57"/>
        <v>879.1393789</v>
      </c>
    </row>
    <row r="89" ht="15.75" customHeight="1">
      <c r="A89" s="16" t="s">
        <v>65</v>
      </c>
      <c r="B89" s="22">
        <v>2699.0</v>
      </c>
      <c r="C89" s="22">
        <v>15408.0</v>
      </c>
      <c r="D89" s="22">
        <v>13140.0</v>
      </c>
      <c r="E89" s="22">
        <v>5638.0</v>
      </c>
      <c r="F89" s="22">
        <v>7974.0</v>
      </c>
      <c r="G89" s="22">
        <v>9581.0</v>
      </c>
      <c r="H89" s="22">
        <v>14608.0</v>
      </c>
      <c r="I89" s="22">
        <v>15602.0</v>
      </c>
      <c r="J89" s="22">
        <v>25077.0</v>
      </c>
      <c r="K89" s="19">
        <f t="shared" ref="K89:P89" si="58">K162</f>
        <v>34912.42561</v>
      </c>
      <c r="L89" s="19">
        <f t="shared" si="58"/>
        <v>40790.71187</v>
      </c>
      <c r="M89" s="19">
        <f t="shared" si="58"/>
        <v>47676.02015</v>
      </c>
      <c r="N89" s="19">
        <f t="shared" si="58"/>
        <v>55742.8821</v>
      </c>
      <c r="O89" s="19">
        <f t="shared" si="58"/>
        <v>65196.30952</v>
      </c>
      <c r="P89" s="19">
        <f t="shared" si="58"/>
        <v>76277.14363</v>
      </c>
    </row>
    <row r="90" ht="15.75" customHeight="1">
      <c r="A90" s="16" t="s">
        <v>66</v>
      </c>
      <c r="B90" s="15">
        <v>0.0</v>
      </c>
      <c r="C90" s="22">
        <v>4910.0</v>
      </c>
      <c r="D90" s="22">
        <v>4115.0</v>
      </c>
      <c r="E90" s="22">
        <v>4277.0</v>
      </c>
      <c r="F90" s="22">
        <v>5272.0</v>
      </c>
      <c r="G90" s="15">
        <v>0.0</v>
      </c>
      <c r="H90" s="15">
        <v>0.0</v>
      </c>
      <c r="I90" s="15">
        <v>0.0</v>
      </c>
      <c r="J90" s="15">
        <v>0.0</v>
      </c>
      <c r="K90" s="19">
        <f t="shared" ref="K90:P90" si="59">K163</f>
        <v>0</v>
      </c>
      <c r="L90" s="19">
        <f t="shared" si="59"/>
        <v>0</v>
      </c>
      <c r="M90" s="19">
        <f t="shared" si="59"/>
        <v>0</v>
      </c>
      <c r="N90" s="19">
        <f t="shared" si="59"/>
        <v>0</v>
      </c>
      <c r="O90" s="19">
        <f t="shared" si="59"/>
        <v>0</v>
      </c>
      <c r="P90" s="19">
        <f t="shared" si="59"/>
        <v>0</v>
      </c>
    </row>
    <row r="91" ht="15.75" customHeight="1">
      <c r="A91" s="16" t="s">
        <v>67</v>
      </c>
      <c r="B91" s="22">
        <v>8748.0</v>
      </c>
      <c r="C91" s="22">
        <v>21788.0</v>
      </c>
      <c r="D91" s="22">
        <v>12173.0</v>
      </c>
      <c r="E91" s="22">
        <v>50455.0</v>
      </c>
      <c r="F91" s="22">
        <v>12188.0</v>
      </c>
      <c r="G91" s="22">
        <v>84157.0</v>
      </c>
      <c r="H91" s="22">
        <v>41001.0</v>
      </c>
      <c r="I91" s="15">
        <v>0.0</v>
      </c>
      <c r="J91" s="22">
        <v>39122.0</v>
      </c>
      <c r="K91" s="19">
        <f t="shared" ref="K91:P91" si="60">K164</f>
        <v>52368.63842</v>
      </c>
      <c r="L91" s="19">
        <f t="shared" si="60"/>
        <v>61186.06781</v>
      </c>
      <c r="M91" s="19">
        <f t="shared" si="60"/>
        <v>71514.03023</v>
      </c>
      <c r="N91" s="19">
        <f t="shared" si="60"/>
        <v>83614.32315</v>
      </c>
      <c r="O91" s="19">
        <f t="shared" si="60"/>
        <v>97794.46428</v>
      </c>
      <c r="P91" s="19">
        <f t="shared" si="60"/>
        <v>114415.7154</v>
      </c>
    </row>
    <row r="92" ht="15.75" customHeight="1">
      <c r="A92" s="1" t="s">
        <v>57</v>
      </c>
      <c r="C92" s="15">
        <v>951.0</v>
      </c>
      <c r="D92" s="22">
        <v>2846.0</v>
      </c>
      <c r="E92" s="22">
        <v>4964.0</v>
      </c>
      <c r="F92" s="22">
        <v>5075.0</v>
      </c>
      <c r="G92" s="22">
        <v>13242.0</v>
      </c>
      <c r="H92" s="22">
        <v>25930.0</v>
      </c>
      <c r="I92" s="22">
        <v>26025.0</v>
      </c>
      <c r="J92" s="22">
        <v>34186.0</v>
      </c>
      <c r="K92" s="196"/>
      <c r="L92" s="196"/>
      <c r="M92" s="196"/>
      <c r="N92" s="196"/>
      <c r="O92" s="196"/>
      <c r="P92" s="196"/>
    </row>
    <row r="93" ht="15.75" customHeight="1">
      <c r="A93" s="29" t="s">
        <v>205</v>
      </c>
      <c r="G93" s="15">
        <v>0.0</v>
      </c>
      <c r="H93" s="15">
        <v>0.0</v>
      </c>
      <c r="I93" s="15">
        <v>0.0</v>
      </c>
      <c r="J93" s="15">
        <v>203.0</v>
      </c>
      <c r="K93" s="196"/>
      <c r="L93" s="196"/>
      <c r="M93" s="196"/>
      <c r="N93" s="196"/>
      <c r="O93" s="196"/>
      <c r="P93" s="196"/>
    </row>
    <row r="94" ht="15.75" customHeight="1">
      <c r="A94" s="18"/>
    </row>
    <row r="95" ht="15.75" customHeight="1">
      <c r="A95" s="18"/>
    </row>
    <row r="96" ht="15.75" customHeight="1">
      <c r="A96" s="8" t="s">
        <v>49</v>
      </c>
      <c r="B96" s="27">
        <f t="shared" ref="B96:P96" si="61">SUM(B70,B83)</f>
        <v>402699</v>
      </c>
      <c r="C96" s="27">
        <f t="shared" si="61"/>
        <v>519605</v>
      </c>
      <c r="D96" s="27">
        <f t="shared" si="61"/>
        <v>602484</v>
      </c>
      <c r="E96" s="27">
        <f t="shared" si="61"/>
        <v>639687</v>
      </c>
      <c r="F96" s="27">
        <f t="shared" si="61"/>
        <v>636277</v>
      </c>
      <c r="G96" s="27">
        <f t="shared" si="61"/>
        <v>713761</v>
      </c>
      <c r="H96" s="27">
        <f t="shared" si="61"/>
        <v>746555</v>
      </c>
      <c r="I96" s="27">
        <f t="shared" si="61"/>
        <v>1003854</v>
      </c>
      <c r="J96" s="27">
        <f t="shared" si="61"/>
        <v>1153508</v>
      </c>
      <c r="K96" s="27">
        <f t="shared" si="61"/>
        <v>1398093.676</v>
      </c>
      <c r="L96" s="27">
        <f t="shared" si="61"/>
        <v>1652962.427</v>
      </c>
      <c r="M96" s="27">
        <f t="shared" si="61"/>
        <v>1951156.541</v>
      </c>
      <c r="N96" s="27">
        <f t="shared" si="61"/>
        <v>2300992.198</v>
      </c>
      <c r="O96" s="27">
        <f t="shared" si="61"/>
        <v>2712230.408</v>
      </c>
      <c r="P96" s="27">
        <f t="shared" si="61"/>
        <v>3196329.724</v>
      </c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ht="15.75" customHeight="1">
      <c r="A97" s="199" t="s">
        <v>206</v>
      </c>
      <c r="B97" s="19">
        <f t="shared" ref="B97:P97" si="62">B65-B96</f>
        <v>0</v>
      </c>
      <c r="C97" s="19">
        <f t="shared" si="62"/>
        <v>0</v>
      </c>
      <c r="D97" s="19">
        <f t="shared" si="62"/>
        <v>0</v>
      </c>
      <c r="E97" s="19">
        <f t="shared" si="62"/>
        <v>0</v>
      </c>
      <c r="F97" s="19">
        <f t="shared" si="62"/>
        <v>0</v>
      </c>
      <c r="G97" s="19">
        <f t="shared" si="62"/>
        <v>0</v>
      </c>
      <c r="H97" s="19">
        <f t="shared" si="62"/>
        <v>0</v>
      </c>
      <c r="I97" s="19">
        <f t="shared" si="62"/>
        <v>0</v>
      </c>
      <c r="J97" s="19">
        <f t="shared" si="62"/>
        <v>0</v>
      </c>
      <c r="K97" s="19">
        <f t="shared" si="62"/>
        <v>0</v>
      </c>
      <c r="L97" s="19">
        <f t="shared" si="62"/>
        <v>0</v>
      </c>
      <c r="M97" s="19">
        <f t="shared" si="62"/>
        <v>0.0000000002328306437</v>
      </c>
      <c r="N97" s="19">
        <f t="shared" si="62"/>
        <v>0</v>
      </c>
      <c r="O97" s="19">
        <f t="shared" si="62"/>
        <v>0.0000000004656612873</v>
      </c>
      <c r="P97" s="19">
        <f t="shared" si="62"/>
        <v>0</v>
      </c>
    </row>
    <row r="98" ht="15.75" customHeight="1">
      <c r="A98" s="1"/>
    </row>
    <row r="99" ht="15.75" customHeight="1">
      <c r="A99" s="5" t="s">
        <v>68</v>
      </c>
      <c r="B99" s="22">
        <v>1500000.0</v>
      </c>
      <c r="C99" s="22">
        <v>1550000.0</v>
      </c>
      <c r="D99" s="22">
        <v>1560000.0</v>
      </c>
      <c r="E99" s="22">
        <v>1580000.0</v>
      </c>
      <c r="F99" s="22">
        <v>2000000.0</v>
      </c>
      <c r="G99" s="22">
        <v>2250000.0</v>
      </c>
      <c r="H99" s="22">
        <v>2250000.0</v>
      </c>
      <c r="I99" s="22">
        <v>2250000.0</v>
      </c>
      <c r="J99" s="22">
        <v>2250000.0</v>
      </c>
      <c r="K99" s="19">
        <f t="shared" ref="K99:P99" si="63">J99+K100</f>
        <v>2550000</v>
      </c>
      <c r="L99" s="19">
        <f t="shared" si="63"/>
        <v>2850000</v>
      </c>
      <c r="M99" s="19">
        <f t="shared" si="63"/>
        <v>3150000</v>
      </c>
      <c r="N99" s="19">
        <f t="shared" si="63"/>
        <v>3450000</v>
      </c>
      <c r="O99" s="19">
        <f t="shared" si="63"/>
        <v>3750000</v>
      </c>
      <c r="P99" s="19">
        <f t="shared" si="63"/>
        <v>4050000</v>
      </c>
    </row>
    <row r="100" ht="15.75" customHeight="1">
      <c r="A100" s="5" t="s">
        <v>69</v>
      </c>
      <c r="B100" s="15">
        <v>0.0</v>
      </c>
      <c r="C100" s="19">
        <f t="shared" ref="C100:J100" si="64">C99-B99</f>
        <v>50000</v>
      </c>
      <c r="D100" s="19">
        <f t="shared" si="64"/>
        <v>10000</v>
      </c>
      <c r="E100" s="19">
        <f t="shared" si="64"/>
        <v>20000</v>
      </c>
      <c r="F100" s="19">
        <f t="shared" si="64"/>
        <v>420000</v>
      </c>
      <c r="G100" s="19">
        <f t="shared" si="64"/>
        <v>250000</v>
      </c>
      <c r="H100" s="19">
        <f t="shared" si="64"/>
        <v>0</v>
      </c>
      <c r="I100" s="19">
        <f t="shared" si="64"/>
        <v>0</v>
      </c>
      <c r="J100" s="19">
        <f t="shared" si="64"/>
        <v>0</v>
      </c>
      <c r="K100" s="20">
        <v>300000.0</v>
      </c>
      <c r="L100" s="116">
        <f>K100</f>
        <v>300000</v>
      </c>
      <c r="M100" s="116">
        <f>K100</f>
        <v>300000</v>
      </c>
      <c r="N100" s="116">
        <f>K100</f>
        <v>300000</v>
      </c>
      <c r="O100" s="116">
        <f>K100</f>
        <v>300000</v>
      </c>
      <c r="P100" s="116">
        <f>K100</f>
        <v>300000</v>
      </c>
    </row>
    <row r="101" ht="15.75" customHeight="1">
      <c r="A101" s="5"/>
    </row>
    <row r="102" ht="15.75" customHeight="1">
      <c r="A102" s="5" t="s">
        <v>70</v>
      </c>
      <c r="B102" s="22">
        <v>1305351.0</v>
      </c>
      <c r="C102" s="22">
        <v>1444541.0</v>
      </c>
      <c r="D102" s="22">
        <v>1653500.0</v>
      </c>
      <c r="E102" s="22">
        <v>1753700.0</v>
      </c>
      <c r="F102" s="22">
        <v>1461126.0</v>
      </c>
      <c r="G102" s="22">
        <v>1361722.0</v>
      </c>
      <c r="H102" s="22">
        <v>1414277.0</v>
      </c>
      <c r="I102" s="22">
        <v>1706831.0</v>
      </c>
      <c r="J102" s="22">
        <v>1852256.0</v>
      </c>
      <c r="K102" s="114"/>
      <c r="L102" s="114"/>
      <c r="M102" s="114"/>
      <c r="N102" s="114"/>
      <c r="O102" s="114"/>
      <c r="P102" s="114"/>
    </row>
    <row r="103" ht="15.75" customHeight="1">
      <c r="A103" s="15" t="s">
        <v>181</v>
      </c>
      <c r="B103" s="22">
        <v>123897.0</v>
      </c>
      <c r="C103" s="22">
        <v>124062.0</v>
      </c>
      <c r="D103" s="22">
        <v>126074.0</v>
      </c>
      <c r="E103" s="22">
        <v>108749.0</v>
      </c>
      <c r="F103" s="22">
        <v>102171.0</v>
      </c>
      <c r="G103" s="22">
        <v>96139.0</v>
      </c>
      <c r="H103" s="22">
        <v>238376.0</v>
      </c>
      <c r="I103" s="22">
        <v>259333.0</v>
      </c>
      <c r="J103" s="22">
        <v>283067.0</v>
      </c>
      <c r="K103" s="114"/>
      <c r="L103" s="114"/>
      <c r="M103" s="114"/>
      <c r="N103" s="114"/>
      <c r="O103" s="114"/>
      <c r="P103" s="114"/>
    </row>
    <row r="104" ht="15.75" customHeight="1">
      <c r="A104" s="17" t="s">
        <v>49</v>
      </c>
      <c r="B104" s="27">
        <f t="shared" ref="B104:J104" si="65">SUM(B102:B103)</f>
        <v>1429248</v>
      </c>
      <c r="C104" s="27">
        <f t="shared" si="65"/>
        <v>1568603</v>
      </c>
      <c r="D104" s="27">
        <f t="shared" si="65"/>
        <v>1779574</v>
      </c>
      <c r="E104" s="27">
        <f t="shared" si="65"/>
        <v>1862449</v>
      </c>
      <c r="F104" s="27">
        <f t="shared" si="65"/>
        <v>1563297</v>
      </c>
      <c r="G104" s="27">
        <f t="shared" si="65"/>
        <v>1457861</v>
      </c>
      <c r="H104" s="27">
        <f t="shared" si="65"/>
        <v>1652653</v>
      </c>
      <c r="I104" s="27">
        <f t="shared" si="65"/>
        <v>1966164</v>
      </c>
      <c r="J104" s="27">
        <f t="shared" si="65"/>
        <v>2135323</v>
      </c>
      <c r="K104" s="27">
        <f t="shared" ref="K104:P104" si="66">K115*K122</f>
        <v>2388726.764</v>
      </c>
      <c r="L104" s="27">
        <f t="shared" si="66"/>
        <v>2537202.039</v>
      </c>
      <c r="M104" s="27">
        <f t="shared" si="66"/>
        <v>2695883.226</v>
      </c>
      <c r="N104" s="27">
        <f t="shared" si="66"/>
        <v>2865482.868</v>
      </c>
      <c r="O104" s="27">
        <f t="shared" si="66"/>
        <v>3046763.362</v>
      </c>
      <c r="P104" s="27">
        <f t="shared" si="66"/>
        <v>3240540.458</v>
      </c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ht="15.75" customHeight="1">
      <c r="A105" s="5"/>
    </row>
    <row r="106" ht="15.75" customHeight="1">
      <c r="A106" s="5" t="s">
        <v>72</v>
      </c>
      <c r="B106" s="35">
        <f t="shared" ref="B106:P106" si="67">B104/B99</f>
        <v>0.952832</v>
      </c>
      <c r="C106" s="35">
        <f t="shared" si="67"/>
        <v>1.012001935</v>
      </c>
      <c r="D106" s="35">
        <f t="shared" si="67"/>
        <v>1.140752564</v>
      </c>
      <c r="E106" s="35">
        <f t="shared" si="67"/>
        <v>1.17876519</v>
      </c>
      <c r="F106" s="35">
        <f t="shared" si="67"/>
        <v>0.7816485</v>
      </c>
      <c r="G106" s="35">
        <f t="shared" si="67"/>
        <v>0.6479382222</v>
      </c>
      <c r="H106" s="35">
        <f t="shared" si="67"/>
        <v>0.7345124444</v>
      </c>
      <c r="I106" s="35">
        <f t="shared" si="67"/>
        <v>0.8738506667</v>
      </c>
      <c r="J106" s="35">
        <f t="shared" si="67"/>
        <v>0.9490324444</v>
      </c>
      <c r="K106" s="35">
        <f t="shared" si="67"/>
        <v>0.9367555938</v>
      </c>
      <c r="L106" s="35">
        <f t="shared" si="67"/>
        <v>0.8902463294</v>
      </c>
      <c r="M106" s="35">
        <f t="shared" si="67"/>
        <v>0.8558359449</v>
      </c>
      <c r="N106" s="35">
        <f t="shared" si="67"/>
        <v>0.8305747443</v>
      </c>
      <c r="O106" s="35">
        <f t="shared" si="67"/>
        <v>0.8124702299</v>
      </c>
      <c r="P106" s="35">
        <f t="shared" si="67"/>
        <v>0.8001334464</v>
      </c>
    </row>
    <row r="107" ht="15.75" customHeight="1">
      <c r="A107" s="5"/>
    </row>
    <row r="108" ht="15.75" customHeight="1">
      <c r="A108" s="5" t="s">
        <v>73</v>
      </c>
      <c r="C108" s="35">
        <f t="shared" ref="C108:J108" si="68">C102/B102-1</f>
        <v>0.106630324</v>
      </c>
      <c r="D108" s="35">
        <f t="shared" si="68"/>
        <v>0.1446542535</v>
      </c>
      <c r="E108" s="35">
        <f t="shared" si="68"/>
        <v>0.06059872997</v>
      </c>
      <c r="F108" s="35">
        <f t="shared" si="68"/>
        <v>-0.1668324115</v>
      </c>
      <c r="G108" s="35">
        <f t="shared" si="68"/>
        <v>-0.06803246263</v>
      </c>
      <c r="H108" s="35">
        <f t="shared" si="68"/>
        <v>0.03859451489</v>
      </c>
      <c r="I108" s="35">
        <f t="shared" si="68"/>
        <v>0.2068576382</v>
      </c>
      <c r="J108" s="35">
        <f t="shared" si="68"/>
        <v>0.08520175694</v>
      </c>
    </row>
    <row r="109" ht="15.75" customHeight="1">
      <c r="A109" s="5" t="s">
        <v>74</v>
      </c>
      <c r="C109" s="35">
        <f t="shared" ref="C109:J109" si="69">C103/B103-1</f>
        <v>0.001331751374</v>
      </c>
      <c r="D109" s="35">
        <f t="shared" si="69"/>
        <v>0.0162176976</v>
      </c>
      <c r="E109" s="35">
        <f t="shared" si="69"/>
        <v>-0.1374192934</v>
      </c>
      <c r="F109" s="35">
        <f t="shared" si="69"/>
        <v>-0.06048791253</v>
      </c>
      <c r="G109" s="35">
        <f t="shared" si="69"/>
        <v>-0.05903827896</v>
      </c>
      <c r="H109" s="35">
        <f t="shared" si="69"/>
        <v>1.479493234</v>
      </c>
      <c r="I109" s="35">
        <f t="shared" si="69"/>
        <v>0.08791572977</v>
      </c>
      <c r="J109" s="35">
        <f t="shared" si="69"/>
        <v>0.09151939784</v>
      </c>
    </row>
    <row r="110" ht="15.75" customHeight="1">
      <c r="A110" s="17" t="s">
        <v>75</v>
      </c>
      <c r="B110" s="34"/>
      <c r="C110" s="35">
        <f t="shared" ref="C110:J110" si="70">C104/B104-1</f>
        <v>0.0975023229</v>
      </c>
      <c r="D110" s="35">
        <f t="shared" si="70"/>
        <v>0.134496109</v>
      </c>
      <c r="E110" s="35">
        <f t="shared" si="70"/>
        <v>0.0465701342</v>
      </c>
      <c r="F110" s="35">
        <f t="shared" si="70"/>
        <v>-0.1606229218</v>
      </c>
      <c r="G110" s="35">
        <f t="shared" si="70"/>
        <v>-0.06744463784</v>
      </c>
      <c r="H110" s="35">
        <f t="shared" si="70"/>
        <v>0.1336149331</v>
      </c>
      <c r="I110" s="35">
        <f t="shared" si="70"/>
        <v>0.1897016494</v>
      </c>
      <c r="J110" s="35">
        <f t="shared" si="70"/>
        <v>0.08603504082</v>
      </c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ht="15.75" customHeight="1">
      <c r="A111" s="5"/>
    </row>
    <row r="112" ht="15.75" customHeight="1">
      <c r="A112" s="17" t="s">
        <v>76</v>
      </c>
    </row>
    <row r="113" ht="15.75" customHeight="1">
      <c r="A113" s="5" t="s">
        <v>77</v>
      </c>
      <c r="B113" s="22">
        <v>2789208.0</v>
      </c>
      <c r="C113" s="22">
        <v>3047582.0</v>
      </c>
      <c r="D113" s="22">
        <v>3288581.0</v>
      </c>
      <c r="E113" s="22">
        <v>3377389.0</v>
      </c>
      <c r="F113" s="22">
        <v>2773519.0</v>
      </c>
      <c r="G113" s="22">
        <v>2711457.0</v>
      </c>
      <c r="H113" s="22">
        <v>3069523.0</v>
      </c>
      <c r="I113" s="22">
        <v>3890114.0</v>
      </c>
      <c r="J113" s="22">
        <v>4218746.0</v>
      </c>
      <c r="K113" s="19">
        <f t="shared" ref="K113:P113" si="71">J113*(1+K116)</f>
        <v>4514058.22</v>
      </c>
      <c r="L113" s="19">
        <f t="shared" si="71"/>
        <v>4830042.295</v>
      </c>
      <c r="M113" s="19">
        <f t="shared" si="71"/>
        <v>5168145.256</v>
      </c>
      <c r="N113" s="19">
        <f t="shared" si="71"/>
        <v>5529915.424</v>
      </c>
      <c r="O113" s="19">
        <f t="shared" si="71"/>
        <v>5917009.504</v>
      </c>
      <c r="P113" s="19">
        <f t="shared" si="71"/>
        <v>6331200.169</v>
      </c>
    </row>
    <row r="114" ht="15.75" customHeight="1">
      <c r="A114" s="5" t="s">
        <v>71</v>
      </c>
      <c r="B114" s="22">
        <v>653053.0</v>
      </c>
      <c r="C114" s="22">
        <v>758727.0</v>
      </c>
      <c r="D114" s="22">
        <v>748366.0</v>
      </c>
      <c r="E114" s="22">
        <v>676192.0</v>
      </c>
      <c r="F114" s="22">
        <v>662118.0</v>
      </c>
      <c r="G114" s="22">
        <v>404397.0</v>
      </c>
      <c r="H114" s="22">
        <v>577875.0</v>
      </c>
      <c r="I114" s="22">
        <v>662891.0</v>
      </c>
      <c r="J114" s="22">
        <v>672105.0</v>
      </c>
      <c r="K114" s="19">
        <f t="shared" ref="K114:P114" si="72">J114*(1+K117)</f>
        <v>678826.05</v>
      </c>
      <c r="L114" s="19">
        <f t="shared" si="72"/>
        <v>685614.3105</v>
      </c>
      <c r="M114" s="19">
        <f t="shared" si="72"/>
        <v>692470.4536</v>
      </c>
      <c r="N114" s="19">
        <f t="shared" si="72"/>
        <v>699395.1581</v>
      </c>
      <c r="O114" s="19">
        <f t="shared" si="72"/>
        <v>706389.1097</v>
      </c>
      <c r="P114" s="19">
        <f t="shared" si="72"/>
        <v>713453.0008</v>
      </c>
    </row>
    <row r="115" ht="15.75" customHeight="1">
      <c r="A115" s="17" t="s">
        <v>49</v>
      </c>
      <c r="B115" s="27">
        <f t="shared" ref="B115:P115" si="73">SUM(B113:B114)</f>
        <v>3442261</v>
      </c>
      <c r="C115" s="27">
        <f t="shared" si="73"/>
        <v>3806309</v>
      </c>
      <c r="D115" s="27">
        <f t="shared" si="73"/>
        <v>4036947</v>
      </c>
      <c r="E115" s="27">
        <f t="shared" si="73"/>
        <v>4053581</v>
      </c>
      <c r="F115" s="27">
        <f t="shared" si="73"/>
        <v>3435637</v>
      </c>
      <c r="G115" s="27">
        <f t="shared" si="73"/>
        <v>3115854</v>
      </c>
      <c r="H115" s="27">
        <f t="shared" si="73"/>
        <v>3647398</v>
      </c>
      <c r="I115" s="27">
        <f t="shared" si="73"/>
        <v>4553005</v>
      </c>
      <c r="J115" s="27">
        <f t="shared" si="73"/>
        <v>4890851</v>
      </c>
      <c r="K115" s="27">
        <f t="shared" si="73"/>
        <v>5192884.27</v>
      </c>
      <c r="L115" s="27">
        <f t="shared" si="73"/>
        <v>5515656.606</v>
      </c>
      <c r="M115" s="27">
        <f t="shared" si="73"/>
        <v>5860615.71</v>
      </c>
      <c r="N115" s="27">
        <f t="shared" si="73"/>
        <v>6229310.582</v>
      </c>
      <c r="O115" s="27">
        <f t="shared" si="73"/>
        <v>6623398.613</v>
      </c>
      <c r="P115" s="27">
        <f t="shared" si="73"/>
        <v>7044653.17</v>
      </c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ht="15.75" customHeight="1">
      <c r="A116" s="5" t="s">
        <v>78</v>
      </c>
      <c r="C116" s="35">
        <f t="shared" ref="C116:J116" si="74">C113/B113-1</f>
        <v>0.09263346441</v>
      </c>
      <c r="D116" s="35">
        <f t="shared" si="74"/>
        <v>0.07907875818</v>
      </c>
      <c r="E116" s="35">
        <f t="shared" si="74"/>
        <v>0.0270049605</v>
      </c>
      <c r="F116" s="35">
        <f t="shared" si="74"/>
        <v>-0.178797882</v>
      </c>
      <c r="G116" s="35">
        <f t="shared" si="74"/>
        <v>-0.02237662695</v>
      </c>
      <c r="H116" s="35">
        <f t="shared" si="74"/>
        <v>0.1320566765</v>
      </c>
      <c r="I116" s="35">
        <f t="shared" si="74"/>
        <v>0.2673350224</v>
      </c>
      <c r="J116" s="35">
        <f t="shared" si="74"/>
        <v>0.08447875821</v>
      </c>
      <c r="K116" s="37">
        <v>0.07</v>
      </c>
      <c r="L116" s="38">
        <f t="shared" ref="L116:P116" si="75">K116</f>
        <v>0.07</v>
      </c>
      <c r="M116" s="38">
        <f t="shared" si="75"/>
        <v>0.07</v>
      </c>
      <c r="N116" s="38">
        <f t="shared" si="75"/>
        <v>0.07</v>
      </c>
      <c r="O116" s="38">
        <f t="shared" si="75"/>
        <v>0.07</v>
      </c>
      <c r="P116" s="38">
        <f t="shared" si="75"/>
        <v>0.07</v>
      </c>
    </row>
    <row r="117" ht="15.75" customHeight="1">
      <c r="A117" s="5" t="s">
        <v>79</v>
      </c>
      <c r="C117" s="35">
        <f t="shared" ref="C117:J117" si="76">C114/B114-1</f>
        <v>0.1618153504</v>
      </c>
      <c r="D117" s="35">
        <f t="shared" si="76"/>
        <v>-0.01365576815</v>
      </c>
      <c r="E117" s="35">
        <f t="shared" si="76"/>
        <v>-0.09644211522</v>
      </c>
      <c r="F117" s="35">
        <f t="shared" si="76"/>
        <v>-0.02081361507</v>
      </c>
      <c r="G117" s="35">
        <f t="shared" si="76"/>
        <v>-0.3892372659</v>
      </c>
      <c r="H117" s="35">
        <f t="shared" si="76"/>
        <v>0.4289794435</v>
      </c>
      <c r="I117" s="35">
        <f t="shared" si="76"/>
        <v>0.1471183214</v>
      </c>
      <c r="J117" s="35">
        <f t="shared" si="76"/>
        <v>0.01389972107</v>
      </c>
      <c r="K117" s="37">
        <v>0.01</v>
      </c>
      <c r="L117" s="38">
        <f t="shared" ref="L117:P117" si="77">K117</f>
        <v>0.01</v>
      </c>
      <c r="M117" s="38">
        <f t="shared" si="77"/>
        <v>0.01</v>
      </c>
      <c r="N117" s="38">
        <f t="shared" si="77"/>
        <v>0.01</v>
      </c>
      <c r="O117" s="38">
        <f t="shared" si="77"/>
        <v>0.01</v>
      </c>
      <c r="P117" s="38">
        <f t="shared" si="77"/>
        <v>0.01</v>
      </c>
    </row>
    <row r="118" ht="15.75" customHeight="1">
      <c r="A118" s="5"/>
    </row>
    <row r="119" ht="15.75" customHeight="1">
      <c r="A119" s="17" t="s">
        <v>80</v>
      </c>
    </row>
    <row r="120" ht="15.75" customHeight="1">
      <c r="A120" s="5" t="s">
        <v>70</v>
      </c>
      <c r="B120" s="35">
        <f t="shared" ref="B120:J120" si="78">B102/B113</f>
        <v>0.4680005937</v>
      </c>
      <c r="C120" s="35">
        <f t="shared" si="78"/>
        <v>0.4739957776</v>
      </c>
      <c r="D120" s="35">
        <f t="shared" si="78"/>
        <v>0.502800448</v>
      </c>
      <c r="E120" s="35">
        <f t="shared" si="78"/>
        <v>0.5192472647</v>
      </c>
      <c r="F120" s="35">
        <f t="shared" si="78"/>
        <v>0.5268130487</v>
      </c>
      <c r="G120" s="35">
        <f t="shared" si="78"/>
        <v>0.5022104352</v>
      </c>
      <c r="H120" s="35">
        <f t="shared" si="78"/>
        <v>0.4607481358</v>
      </c>
      <c r="I120" s="35">
        <f t="shared" si="78"/>
        <v>0.4387611777</v>
      </c>
      <c r="J120" s="35">
        <f t="shared" si="78"/>
        <v>0.4390536904</v>
      </c>
    </row>
    <row r="121" ht="15.75" customHeight="1">
      <c r="A121" s="5" t="s">
        <v>71</v>
      </c>
      <c r="B121" s="35">
        <f t="shared" ref="B121:J121" si="79">B103/B114</f>
        <v>0.1897196705</v>
      </c>
      <c r="C121" s="35">
        <f t="shared" si="79"/>
        <v>0.1635133586</v>
      </c>
      <c r="D121" s="35">
        <f t="shared" si="79"/>
        <v>0.1684656973</v>
      </c>
      <c r="E121" s="35">
        <f t="shared" si="79"/>
        <v>0.1608256235</v>
      </c>
      <c r="F121" s="35">
        <f t="shared" si="79"/>
        <v>0.1543093527</v>
      </c>
      <c r="G121" s="35">
        <f t="shared" si="79"/>
        <v>0.2377342067</v>
      </c>
      <c r="H121" s="35">
        <f t="shared" si="79"/>
        <v>0.4125044343</v>
      </c>
      <c r="I121" s="35">
        <f t="shared" si="79"/>
        <v>0.391215147</v>
      </c>
      <c r="J121" s="35">
        <f t="shared" si="79"/>
        <v>0.4211648478</v>
      </c>
    </row>
    <row r="122" ht="15.75" customHeight="1">
      <c r="A122" s="5" t="s">
        <v>81</v>
      </c>
      <c r="B122" s="36">
        <f t="shared" ref="B122:J122" si="80">B104/B115</f>
        <v>0.4152061683</v>
      </c>
      <c r="C122" s="36">
        <f t="shared" si="80"/>
        <v>0.4121060587</v>
      </c>
      <c r="D122" s="36">
        <f t="shared" si="80"/>
        <v>0.4408217398</v>
      </c>
      <c r="E122" s="36">
        <f t="shared" si="80"/>
        <v>0.4594576993</v>
      </c>
      <c r="F122" s="36">
        <f t="shared" si="80"/>
        <v>0.4550239155</v>
      </c>
      <c r="G122" s="36">
        <f t="shared" si="80"/>
        <v>0.4678848881</v>
      </c>
      <c r="H122" s="36">
        <f t="shared" si="80"/>
        <v>0.4531046516</v>
      </c>
      <c r="I122" s="36">
        <f t="shared" si="80"/>
        <v>0.4318387526</v>
      </c>
      <c r="J122" s="36">
        <f t="shared" si="80"/>
        <v>0.43659539</v>
      </c>
      <c r="K122" s="118">
        <v>0.46</v>
      </c>
      <c r="L122" s="119">
        <f t="shared" ref="L122:P122" si="81">K122</f>
        <v>0.46</v>
      </c>
      <c r="M122" s="119">
        <f t="shared" si="81"/>
        <v>0.46</v>
      </c>
      <c r="N122" s="119">
        <f t="shared" si="81"/>
        <v>0.46</v>
      </c>
      <c r="O122" s="119">
        <f t="shared" si="81"/>
        <v>0.46</v>
      </c>
      <c r="P122" s="119">
        <f t="shared" si="81"/>
        <v>0.46</v>
      </c>
    </row>
    <row r="123" ht="15.75" customHeight="1">
      <c r="A123" s="5"/>
    </row>
    <row r="124" ht="15.75" customHeight="1">
      <c r="A124" s="5" t="s">
        <v>82</v>
      </c>
      <c r="B124" s="19">
        <f t="shared" ref="B124:J124" si="82">(B3/B104)*10^6</f>
        <v>399241.4193</v>
      </c>
      <c r="C124" s="19">
        <f t="shared" si="82"/>
        <v>434048.6407</v>
      </c>
      <c r="D124" s="19">
        <f t="shared" si="82"/>
        <v>448474.7473</v>
      </c>
      <c r="E124" s="19">
        <f t="shared" si="82"/>
        <v>462125.4059</v>
      </c>
      <c r="F124" s="19">
        <f t="shared" si="82"/>
        <v>483977.1329</v>
      </c>
      <c r="G124" s="19">
        <f t="shared" si="82"/>
        <v>482707.1991</v>
      </c>
      <c r="H124" s="19">
        <f t="shared" si="82"/>
        <v>534472.7538</v>
      </c>
      <c r="I124" s="19">
        <f t="shared" si="82"/>
        <v>602238.1653</v>
      </c>
      <c r="J124" s="19">
        <f t="shared" si="82"/>
        <v>664340.711</v>
      </c>
      <c r="K124" s="19">
        <f t="shared" ref="K124:P124" si="83">J124*(1+K125)</f>
        <v>730774.7821</v>
      </c>
      <c r="L124" s="19">
        <f t="shared" si="83"/>
        <v>803852.2603</v>
      </c>
      <c r="M124" s="19">
        <f t="shared" si="83"/>
        <v>884237.4863</v>
      </c>
      <c r="N124" s="19">
        <f t="shared" si="83"/>
        <v>972661.235</v>
      </c>
      <c r="O124" s="19">
        <f t="shared" si="83"/>
        <v>1069927.358</v>
      </c>
      <c r="P124" s="19">
        <f t="shared" si="83"/>
        <v>1176920.094</v>
      </c>
    </row>
    <row r="125" ht="15.75" customHeight="1">
      <c r="A125" s="5" t="s">
        <v>83</v>
      </c>
      <c r="C125" s="35">
        <f t="shared" ref="C125:J125" si="84">C124/B124-1</f>
        <v>0.08718339278</v>
      </c>
      <c r="D125" s="35">
        <f t="shared" si="84"/>
        <v>0.03323615199</v>
      </c>
      <c r="E125" s="35">
        <f t="shared" si="84"/>
        <v>0.03043796469</v>
      </c>
      <c r="F125" s="35">
        <f t="shared" si="84"/>
        <v>0.04728527542</v>
      </c>
      <c r="G125" s="35">
        <f t="shared" si="84"/>
        <v>-0.002623954209</v>
      </c>
      <c r="H125" s="35">
        <f t="shared" si="84"/>
        <v>0.1072400718</v>
      </c>
      <c r="I125" s="35">
        <f t="shared" si="84"/>
        <v>0.1267892722</v>
      </c>
      <c r="J125" s="35">
        <f t="shared" si="84"/>
        <v>0.1031195784</v>
      </c>
      <c r="K125" s="118">
        <v>0.1</v>
      </c>
      <c r="L125" s="119">
        <f t="shared" ref="L125:P125" si="85">K125</f>
        <v>0.1</v>
      </c>
      <c r="M125" s="119">
        <f t="shared" si="85"/>
        <v>0.1</v>
      </c>
      <c r="N125" s="119">
        <f t="shared" si="85"/>
        <v>0.1</v>
      </c>
      <c r="O125" s="119">
        <f t="shared" si="85"/>
        <v>0.1</v>
      </c>
      <c r="P125" s="119">
        <f t="shared" si="85"/>
        <v>0.1</v>
      </c>
    </row>
    <row r="126" ht="15.75" customHeight="1">
      <c r="A126" s="5"/>
    </row>
    <row r="127" ht="15.75" customHeight="1">
      <c r="A127" s="17" t="s">
        <v>84</v>
      </c>
    </row>
    <row r="128" ht="15.75" customHeight="1">
      <c r="A128" s="5"/>
    </row>
    <row r="129" ht="15.75" customHeight="1">
      <c r="A129" s="1" t="s">
        <v>5</v>
      </c>
      <c r="B129" s="35">
        <f t="shared" ref="B129:J129" si="86">B9/B$3</f>
        <v>0.6344154991</v>
      </c>
      <c r="C129" s="35">
        <f t="shared" si="86"/>
        <v>0.6260982595</v>
      </c>
      <c r="D129" s="35">
        <f t="shared" si="86"/>
        <v>0.5631316612</v>
      </c>
      <c r="E129" s="35">
        <f t="shared" si="86"/>
        <v>0.5231379657</v>
      </c>
      <c r="F129" s="35">
        <f t="shared" si="86"/>
        <v>0.4577689664</v>
      </c>
      <c r="G129" s="35">
        <f t="shared" si="86"/>
        <v>0.4731484113</v>
      </c>
      <c r="H129" s="35">
        <f t="shared" si="86"/>
        <v>0.4499002602</v>
      </c>
      <c r="I129" s="35">
        <f t="shared" si="86"/>
        <v>0.6194769187</v>
      </c>
      <c r="J129" s="35">
        <f t="shared" si="86"/>
        <v>0.5562970628</v>
      </c>
      <c r="K129" s="37">
        <v>0.6</v>
      </c>
      <c r="L129" s="38">
        <f t="shared" ref="L129:P129" si="87">K129</f>
        <v>0.6</v>
      </c>
      <c r="M129" s="38">
        <f t="shared" si="87"/>
        <v>0.6</v>
      </c>
      <c r="N129" s="38">
        <f t="shared" si="87"/>
        <v>0.6</v>
      </c>
      <c r="O129" s="38">
        <f t="shared" si="87"/>
        <v>0.6</v>
      </c>
      <c r="P129" s="38">
        <f t="shared" si="87"/>
        <v>0.6</v>
      </c>
    </row>
    <row r="130" ht="15.75" customHeight="1">
      <c r="A130" s="1" t="s">
        <v>6</v>
      </c>
      <c r="B130" s="35">
        <f t="shared" ref="B130:J130" si="88">B10/B$3</f>
        <v>0.05558038257</v>
      </c>
      <c r="C130" s="35">
        <f t="shared" si="88"/>
        <v>0.06599985312</v>
      </c>
      <c r="D130" s="35">
        <f t="shared" si="88"/>
        <v>0.1253248364</v>
      </c>
      <c r="E130" s="35">
        <f t="shared" si="88"/>
        <v>0.1663895618</v>
      </c>
      <c r="F130" s="35">
        <f t="shared" si="88"/>
        <v>0.2480465239</v>
      </c>
      <c r="G130" s="35">
        <f t="shared" si="88"/>
        <v>0.2451841642</v>
      </c>
      <c r="H130" s="35">
        <f t="shared" si="88"/>
        <v>0.2988515767</v>
      </c>
      <c r="I130" s="35">
        <f t="shared" si="88"/>
        <v>0.1073786905</v>
      </c>
      <c r="J130" s="35">
        <f t="shared" si="88"/>
        <v>0.1494746162</v>
      </c>
      <c r="K130" s="37">
        <v>0.08</v>
      </c>
      <c r="L130" s="38">
        <f t="shared" ref="L130:P130" si="89">K130</f>
        <v>0.08</v>
      </c>
      <c r="M130" s="38">
        <f t="shared" si="89"/>
        <v>0.08</v>
      </c>
      <c r="N130" s="38">
        <f t="shared" si="89"/>
        <v>0.08</v>
      </c>
      <c r="O130" s="38">
        <f t="shared" si="89"/>
        <v>0.08</v>
      </c>
      <c r="P130" s="38">
        <f t="shared" si="89"/>
        <v>0.08</v>
      </c>
    </row>
    <row r="131" ht="15.75" customHeight="1">
      <c r="A131" s="1" t="s">
        <v>8</v>
      </c>
      <c r="B131" s="35">
        <f t="shared" ref="B131:J131" si="90">B11/B$3</f>
        <v>0.0001104071922</v>
      </c>
      <c r="C131" s="35">
        <f t="shared" si="90"/>
        <v>-0.005570977455</v>
      </c>
      <c r="D131" s="35">
        <f t="shared" si="90"/>
        <v>0.0005112179768</v>
      </c>
      <c r="E131" s="35">
        <f t="shared" si="90"/>
        <v>0.002458506887</v>
      </c>
      <c r="F131" s="35">
        <f t="shared" si="90"/>
        <v>-0.003154903516</v>
      </c>
      <c r="G131" s="35">
        <f t="shared" si="90"/>
        <v>0.003887909964</v>
      </c>
      <c r="H131" s="35">
        <f t="shared" si="90"/>
        <v>-0.001054004424</v>
      </c>
      <c r="I131" s="35">
        <f t="shared" si="90"/>
        <v>-0.004902461703</v>
      </c>
      <c r="J131" s="35">
        <f t="shared" si="90"/>
        <v>-0.002668862286</v>
      </c>
      <c r="K131" s="38">
        <f t="shared" ref="K131:P131" si="91">J131</f>
        <v>-0.002668862286</v>
      </c>
      <c r="L131" s="38">
        <f t="shared" si="91"/>
        <v>-0.002668862286</v>
      </c>
      <c r="M131" s="38">
        <f t="shared" si="91"/>
        <v>-0.002668862286</v>
      </c>
      <c r="N131" s="38">
        <f t="shared" si="91"/>
        <v>-0.002668862286</v>
      </c>
      <c r="O131" s="38">
        <f t="shared" si="91"/>
        <v>-0.002668862286</v>
      </c>
      <c r="P131" s="38">
        <f t="shared" si="91"/>
        <v>-0.002668862286</v>
      </c>
    </row>
    <row r="132" ht="15.75" customHeight="1">
      <c r="A132" s="1" t="s">
        <v>10</v>
      </c>
      <c r="B132" s="35">
        <f t="shared" ref="B132:J132" si="92">B12/B$3</f>
        <v>0.03610490436</v>
      </c>
      <c r="C132" s="35">
        <f t="shared" si="92"/>
        <v>0.03466696042</v>
      </c>
      <c r="D132" s="35">
        <f t="shared" si="92"/>
        <v>0.03587797929</v>
      </c>
      <c r="E132" s="35">
        <f t="shared" si="92"/>
        <v>0.03816727374</v>
      </c>
      <c r="F132" s="35">
        <f t="shared" si="92"/>
        <v>0.04515199577</v>
      </c>
      <c r="G132" s="35">
        <f t="shared" si="92"/>
        <v>0.04876371284</v>
      </c>
      <c r="H132" s="35">
        <f t="shared" si="92"/>
        <v>0.04586674033</v>
      </c>
      <c r="I132" s="35">
        <f t="shared" si="92"/>
        <v>0.04483155547</v>
      </c>
      <c r="J132" s="35">
        <f t="shared" si="92"/>
        <v>0.04442182405</v>
      </c>
      <c r="K132" s="37">
        <v>0.04</v>
      </c>
      <c r="L132" s="38">
        <f t="shared" ref="L132:P132" si="93">K132</f>
        <v>0.04</v>
      </c>
      <c r="M132" s="38">
        <f t="shared" si="93"/>
        <v>0.04</v>
      </c>
      <c r="N132" s="38">
        <f t="shared" si="93"/>
        <v>0.04</v>
      </c>
      <c r="O132" s="38">
        <f t="shared" si="93"/>
        <v>0.04</v>
      </c>
      <c r="P132" s="38">
        <f t="shared" si="93"/>
        <v>0.04</v>
      </c>
    </row>
    <row r="133" ht="15.75" customHeight="1">
      <c r="A133" s="1" t="s">
        <v>12</v>
      </c>
      <c r="B133" s="35">
        <f t="shared" ref="B133:J133" si="94">B13/B$3</f>
        <v>0.1422097211</v>
      </c>
      <c r="C133" s="35">
        <f t="shared" si="94"/>
        <v>0.1281927003</v>
      </c>
      <c r="D133" s="35">
        <f t="shared" si="94"/>
        <v>0.1252433924</v>
      </c>
      <c r="E133" s="35">
        <f t="shared" si="94"/>
        <v>0.1434229712</v>
      </c>
      <c r="F133" s="35">
        <f t="shared" si="94"/>
        <v>0.1571451229</v>
      </c>
      <c r="G133" s="35">
        <f t="shared" si="94"/>
        <v>0.1540030126</v>
      </c>
      <c r="H133" s="35">
        <f t="shared" si="94"/>
        <v>0.1434702671</v>
      </c>
      <c r="I133" s="35">
        <f t="shared" si="94"/>
        <v>0.123951629</v>
      </c>
      <c r="J133" s="35">
        <f t="shared" si="94"/>
        <v>0.1237157951</v>
      </c>
      <c r="K133" s="38">
        <f t="shared" ref="K133:P133" si="95">J133</f>
        <v>0.1237157951</v>
      </c>
      <c r="L133" s="38">
        <f t="shared" si="95"/>
        <v>0.1237157951</v>
      </c>
      <c r="M133" s="38">
        <f t="shared" si="95"/>
        <v>0.1237157951</v>
      </c>
      <c r="N133" s="38">
        <f t="shared" si="95"/>
        <v>0.1237157951</v>
      </c>
      <c r="O133" s="38">
        <f t="shared" si="95"/>
        <v>0.1237157951</v>
      </c>
      <c r="P133" s="38">
        <f t="shared" si="95"/>
        <v>0.1237157951</v>
      </c>
    </row>
    <row r="134" ht="15.75" customHeight="1">
      <c r="A134" s="1" t="s">
        <v>85</v>
      </c>
      <c r="B134" s="35">
        <f t="shared" ref="B134:J134" si="96">B14/B$3</f>
        <v>-0.001055002059</v>
      </c>
      <c r="C134" s="35">
        <f t="shared" si="96"/>
        <v>-0.001521627378</v>
      </c>
      <c r="D134" s="35">
        <f t="shared" si="96"/>
        <v>-0.00124170837</v>
      </c>
      <c r="E134" s="35">
        <f t="shared" si="96"/>
        <v>-0.001418637481</v>
      </c>
      <c r="F134" s="35">
        <f t="shared" si="96"/>
        <v>-0.001608511763</v>
      </c>
      <c r="G134" s="35">
        <f t="shared" si="96"/>
        <v>-0.001034502359</v>
      </c>
      <c r="H134" s="35">
        <f t="shared" si="96"/>
        <v>-0.001635914493</v>
      </c>
      <c r="I134" s="35">
        <f t="shared" si="96"/>
        <v>-0.001321680028</v>
      </c>
      <c r="J134" s="35">
        <f t="shared" si="96"/>
        <v>-0.001837750655</v>
      </c>
      <c r="K134" s="38">
        <f t="shared" ref="K134:P134" si="97">J134</f>
        <v>-0.001837750655</v>
      </c>
      <c r="L134" s="38">
        <f t="shared" si="97"/>
        <v>-0.001837750655</v>
      </c>
      <c r="M134" s="38">
        <f t="shared" si="97"/>
        <v>-0.001837750655</v>
      </c>
      <c r="N134" s="38">
        <f t="shared" si="97"/>
        <v>-0.001837750655</v>
      </c>
      <c r="O134" s="38">
        <f t="shared" si="97"/>
        <v>-0.001837750655</v>
      </c>
      <c r="P134" s="38">
        <f t="shared" si="97"/>
        <v>-0.001837750655</v>
      </c>
    </row>
    <row r="135" ht="15.75" customHeight="1">
      <c r="A135" s="5"/>
    </row>
    <row r="136" ht="15.75" customHeight="1">
      <c r="A136" s="5"/>
    </row>
    <row r="137" ht="15.75" hidden="1" customHeight="1">
      <c r="A137" s="18" t="s">
        <v>86</v>
      </c>
    </row>
    <row r="138" ht="15.75" hidden="1" customHeight="1">
      <c r="A138" s="5"/>
    </row>
    <row r="139" ht="15.75" hidden="1" customHeight="1">
      <c r="A139" s="1" t="s">
        <v>5</v>
      </c>
    </row>
    <row r="140" ht="15.75" hidden="1" customHeight="1">
      <c r="A140" s="1" t="s">
        <v>6</v>
      </c>
    </row>
    <row r="141" ht="15.75" hidden="1" customHeight="1">
      <c r="A141" s="1" t="s">
        <v>8</v>
      </c>
    </row>
    <row r="142" ht="15.75" hidden="1" customHeight="1">
      <c r="A142" s="1" t="s">
        <v>10</v>
      </c>
    </row>
    <row r="143" ht="15.75" hidden="1" customHeight="1">
      <c r="A143" s="1" t="s">
        <v>12</v>
      </c>
    </row>
    <row r="144" ht="15.75" hidden="1" customHeight="1">
      <c r="A144" s="1" t="s">
        <v>85</v>
      </c>
    </row>
    <row r="145" ht="15.75" hidden="1" customHeight="1">
      <c r="A145" s="5"/>
    </row>
    <row r="146" ht="15.75" hidden="1" customHeight="1">
      <c r="A146" s="1" t="s">
        <v>83</v>
      </c>
    </row>
    <row r="147" ht="15.75" hidden="1" customHeight="1">
      <c r="A147" s="1" t="s">
        <v>5</v>
      </c>
    </row>
    <row r="148" ht="15.75" hidden="1" customHeight="1">
      <c r="A148" s="1" t="s">
        <v>6</v>
      </c>
    </row>
    <row r="149" ht="15.75" hidden="1" customHeight="1">
      <c r="A149" s="1" t="s">
        <v>8</v>
      </c>
    </row>
    <row r="150" ht="15.75" hidden="1" customHeight="1">
      <c r="A150" s="1" t="s">
        <v>10</v>
      </c>
    </row>
    <row r="151" ht="15.75" hidden="1" customHeight="1">
      <c r="A151" s="1" t="s">
        <v>12</v>
      </c>
    </row>
    <row r="152" ht="15.75" hidden="1" customHeight="1">
      <c r="A152" s="1" t="s">
        <v>85</v>
      </c>
    </row>
    <row r="153" ht="15.75" hidden="1" customHeight="1">
      <c r="A153" s="5"/>
    </row>
    <row r="154" ht="15.75" hidden="1" customHeight="1">
      <c r="A154" s="5"/>
    </row>
    <row r="155" ht="15.75" hidden="1" customHeight="1">
      <c r="A155" s="5"/>
    </row>
    <row r="156" ht="15.75" customHeight="1">
      <c r="A156" s="18" t="s">
        <v>87</v>
      </c>
    </row>
    <row r="157" ht="15.75" customHeight="1">
      <c r="A157" s="5"/>
    </row>
    <row r="158" ht="15.75" customHeight="1">
      <c r="A158" s="17" t="s">
        <v>60</v>
      </c>
      <c r="B158" s="27">
        <f t="shared" ref="B158:P158" si="98">SUM(B159:B164)</f>
        <v>73275</v>
      </c>
      <c r="C158" s="27">
        <f t="shared" si="98"/>
        <v>87745</v>
      </c>
      <c r="D158" s="27">
        <f t="shared" si="98"/>
        <v>78560</v>
      </c>
      <c r="E158" s="27">
        <f t="shared" si="98"/>
        <v>121849</v>
      </c>
      <c r="F158" s="27">
        <f t="shared" si="98"/>
        <v>84116</v>
      </c>
      <c r="G158" s="27">
        <f t="shared" si="98"/>
        <v>150499</v>
      </c>
      <c r="H158" s="27">
        <f t="shared" si="98"/>
        <v>137512</v>
      </c>
      <c r="I158" s="27">
        <f t="shared" si="98"/>
        <v>129207</v>
      </c>
      <c r="J158" s="27">
        <f t="shared" si="98"/>
        <v>198064</v>
      </c>
      <c r="K158" s="27">
        <f t="shared" si="98"/>
        <v>209876.9401</v>
      </c>
      <c r="L158" s="27">
        <f t="shared" si="98"/>
        <v>245214.4084</v>
      </c>
      <c r="M158" s="27">
        <f t="shared" si="98"/>
        <v>286605.6154</v>
      </c>
      <c r="N158" s="27">
        <f t="shared" si="98"/>
        <v>335099.7624</v>
      </c>
      <c r="O158" s="27">
        <f t="shared" si="98"/>
        <v>391929.2833</v>
      </c>
      <c r="P158" s="27">
        <f t="shared" si="98"/>
        <v>458542.0012</v>
      </c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ht="15.75" customHeight="1">
      <c r="A159" s="16" t="s">
        <v>61</v>
      </c>
      <c r="B159" s="154">
        <f t="shared" ref="B159:J159" si="99">B85</f>
        <v>31998</v>
      </c>
      <c r="C159" s="154">
        <f t="shared" si="99"/>
        <v>32637</v>
      </c>
      <c r="D159" s="154">
        <f t="shared" si="99"/>
        <v>31602</v>
      </c>
      <c r="E159" s="154">
        <f t="shared" si="99"/>
        <v>33226</v>
      </c>
      <c r="F159" s="154">
        <f t="shared" si="99"/>
        <v>32139</v>
      </c>
      <c r="G159" s="154">
        <f t="shared" si="99"/>
        <v>30490</v>
      </c>
      <c r="H159" s="154">
        <f t="shared" si="99"/>
        <v>35323</v>
      </c>
      <c r="I159" s="154">
        <f t="shared" si="99"/>
        <v>54435</v>
      </c>
      <c r="J159" s="154">
        <f t="shared" si="99"/>
        <v>53181</v>
      </c>
      <c r="K159" s="19">
        <f t="shared" ref="K159:P159" si="100">K$174*K178</f>
        <v>69824.85122</v>
      </c>
      <c r="L159" s="19">
        <f t="shared" si="100"/>
        <v>81581.42375</v>
      </c>
      <c r="M159" s="19">
        <f t="shared" si="100"/>
        <v>95352.0403</v>
      </c>
      <c r="N159" s="19">
        <f t="shared" si="100"/>
        <v>111485.7642</v>
      </c>
      <c r="O159" s="19">
        <f t="shared" si="100"/>
        <v>130392.619</v>
      </c>
      <c r="P159" s="19">
        <f t="shared" si="100"/>
        <v>152554.2873</v>
      </c>
    </row>
    <row r="160" ht="15.75" customHeight="1">
      <c r="A160" s="16" t="s">
        <v>62</v>
      </c>
      <c r="B160" s="154">
        <f t="shared" ref="B160:J160" si="101">B86</f>
        <v>13873</v>
      </c>
      <c r="C160" s="154">
        <f t="shared" si="101"/>
        <v>12026</v>
      </c>
      <c r="D160" s="154">
        <f t="shared" si="101"/>
        <v>14654</v>
      </c>
      <c r="E160" s="154">
        <f t="shared" si="101"/>
        <v>23128</v>
      </c>
      <c r="F160" s="154">
        <f t="shared" si="101"/>
        <v>21298</v>
      </c>
      <c r="G160" s="154">
        <f t="shared" si="101"/>
        <v>12799</v>
      </c>
      <c r="H160" s="154">
        <f t="shared" si="101"/>
        <v>20345</v>
      </c>
      <c r="I160" s="154">
        <f t="shared" si="101"/>
        <v>32848</v>
      </c>
      <c r="J160" s="154">
        <f t="shared" si="101"/>
        <v>45968</v>
      </c>
      <c r="K160" s="19">
        <f t="shared" ref="K160:P160" si="102">K$174*K179</f>
        <v>52368.63842</v>
      </c>
      <c r="L160" s="19">
        <f t="shared" si="102"/>
        <v>61186.06781</v>
      </c>
      <c r="M160" s="19">
        <f t="shared" si="102"/>
        <v>71514.03023</v>
      </c>
      <c r="N160" s="19">
        <f t="shared" si="102"/>
        <v>83614.32315</v>
      </c>
      <c r="O160" s="19">
        <f t="shared" si="102"/>
        <v>97794.46428</v>
      </c>
      <c r="P160" s="19">
        <f t="shared" si="102"/>
        <v>114415.7154</v>
      </c>
    </row>
    <row r="161" ht="15.75" customHeight="1">
      <c r="A161" s="16" t="s">
        <v>64</v>
      </c>
      <c r="B161" s="200">
        <f t="shared" ref="B161:J161" si="103">B88</f>
        <v>15957</v>
      </c>
      <c r="C161" s="201">
        <f t="shared" si="103"/>
        <v>25</v>
      </c>
      <c r="D161" s="201">
        <f t="shared" si="103"/>
        <v>30</v>
      </c>
      <c r="E161" s="201">
        <f t="shared" si="103"/>
        <v>161</v>
      </c>
      <c r="F161" s="201">
        <f t="shared" si="103"/>
        <v>170</v>
      </c>
      <c r="G161" s="201">
        <f t="shared" si="103"/>
        <v>230</v>
      </c>
      <c r="H161" s="201">
        <f t="shared" si="103"/>
        <v>305</v>
      </c>
      <c r="I161" s="201">
        <f t="shared" si="103"/>
        <v>297</v>
      </c>
      <c r="J161" s="201">
        <f t="shared" si="103"/>
        <v>327</v>
      </c>
      <c r="K161" s="19">
        <f t="shared" ref="K161:P161" si="104">K$174*K180</f>
        <v>402.3864385</v>
      </c>
      <c r="L161" s="19">
        <f t="shared" si="104"/>
        <v>470.1371786</v>
      </c>
      <c r="M161" s="19">
        <f t="shared" si="104"/>
        <v>549.4944455</v>
      </c>
      <c r="N161" s="19">
        <f t="shared" si="104"/>
        <v>642.4698201</v>
      </c>
      <c r="O161" s="19">
        <f t="shared" si="104"/>
        <v>751.4261852</v>
      </c>
      <c r="P161" s="19">
        <f t="shared" si="104"/>
        <v>879.1393789</v>
      </c>
    </row>
    <row r="162" ht="15.75" customHeight="1">
      <c r="A162" s="16" t="s">
        <v>65</v>
      </c>
      <c r="B162" s="200">
        <f t="shared" ref="B162:J162" si="105">B89</f>
        <v>2699</v>
      </c>
      <c r="C162" s="200">
        <f t="shared" si="105"/>
        <v>15408</v>
      </c>
      <c r="D162" s="200">
        <f t="shared" si="105"/>
        <v>13140</v>
      </c>
      <c r="E162" s="200">
        <f t="shared" si="105"/>
        <v>5638</v>
      </c>
      <c r="F162" s="200">
        <f t="shared" si="105"/>
        <v>7974</v>
      </c>
      <c r="G162" s="200">
        <f t="shared" si="105"/>
        <v>9581</v>
      </c>
      <c r="H162" s="200">
        <f t="shared" si="105"/>
        <v>14608</v>
      </c>
      <c r="I162" s="200">
        <f t="shared" si="105"/>
        <v>15602</v>
      </c>
      <c r="J162" s="200">
        <f t="shared" si="105"/>
        <v>25077</v>
      </c>
      <c r="K162" s="19">
        <f t="shared" ref="K162:P162" si="106">K$174*K181</f>
        <v>34912.42561</v>
      </c>
      <c r="L162" s="19">
        <f t="shared" si="106"/>
        <v>40790.71187</v>
      </c>
      <c r="M162" s="19">
        <f t="shared" si="106"/>
        <v>47676.02015</v>
      </c>
      <c r="N162" s="19">
        <f t="shared" si="106"/>
        <v>55742.8821</v>
      </c>
      <c r="O162" s="19">
        <f t="shared" si="106"/>
        <v>65196.30952</v>
      </c>
      <c r="P162" s="19">
        <f t="shared" si="106"/>
        <v>76277.14363</v>
      </c>
    </row>
    <row r="163" ht="15.75" customHeight="1">
      <c r="A163" s="16" t="s">
        <v>66</v>
      </c>
      <c r="B163" s="201">
        <f t="shared" ref="B163:J163" si="107">B90</f>
        <v>0</v>
      </c>
      <c r="C163" s="200">
        <f t="shared" si="107"/>
        <v>4910</v>
      </c>
      <c r="D163" s="200">
        <f t="shared" si="107"/>
        <v>4115</v>
      </c>
      <c r="E163" s="200">
        <f t="shared" si="107"/>
        <v>4277</v>
      </c>
      <c r="F163" s="200">
        <f t="shared" si="107"/>
        <v>5272</v>
      </c>
      <c r="G163" s="201">
        <f t="shared" si="107"/>
        <v>0</v>
      </c>
      <c r="H163" s="201">
        <f t="shared" si="107"/>
        <v>0</v>
      </c>
      <c r="I163" s="201">
        <f t="shared" si="107"/>
        <v>0</v>
      </c>
      <c r="J163" s="201">
        <f t="shared" si="107"/>
        <v>0</v>
      </c>
      <c r="K163" s="19">
        <f t="shared" ref="K163:P163" si="108">K$174*K182</f>
        <v>0</v>
      </c>
      <c r="L163" s="19">
        <f t="shared" si="108"/>
        <v>0</v>
      </c>
      <c r="M163" s="19">
        <f t="shared" si="108"/>
        <v>0</v>
      </c>
      <c r="N163" s="19">
        <f t="shared" si="108"/>
        <v>0</v>
      </c>
      <c r="O163" s="19">
        <f t="shared" si="108"/>
        <v>0</v>
      </c>
      <c r="P163" s="19">
        <f t="shared" si="108"/>
        <v>0</v>
      </c>
    </row>
    <row r="164" ht="15.75" customHeight="1">
      <c r="A164" s="1" t="s">
        <v>57</v>
      </c>
      <c r="B164" s="200">
        <f t="shared" ref="B164:J164" si="109">B91+B92+B93</f>
        <v>8748</v>
      </c>
      <c r="C164" s="200">
        <f t="shared" si="109"/>
        <v>22739</v>
      </c>
      <c r="D164" s="200">
        <f t="shared" si="109"/>
        <v>15019</v>
      </c>
      <c r="E164" s="200">
        <f t="shared" si="109"/>
        <v>55419</v>
      </c>
      <c r="F164" s="200">
        <f t="shared" si="109"/>
        <v>17263</v>
      </c>
      <c r="G164" s="200">
        <f t="shared" si="109"/>
        <v>97399</v>
      </c>
      <c r="H164" s="200">
        <f t="shared" si="109"/>
        <v>66931</v>
      </c>
      <c r="I164" s="200">
        <f t="shared" si="109"/>
        <v>26025</v>
      </c>
      <c r="J164" s="200">
        <f t="shared" si="109"/>
        <v>73511</v>
      </c>
      <c r="K164" s="19">
        <f t="shared" ref="K164:P164" si="110">K$174*K183</f>
        <v>52368.63842</v>
      </c>
      <c r="L164" s="19">
        <f t="shared" si="110"/>
        <v>61186.06781</v>
      </c>
      <c r="M164" s="19">
        <f t="shared" si="110"/>
        <v>71514.03023</v>
      </c>
      <c r="N164" s="19">
        <f t="shared" si="110"/>
        <v>83614.32315</v>
      </c>
      <c r="O164" s="19">
        <f t="shared" si="110"/>
        <v>97794.46428</v>
      </c>
      <c r="P164" s="19">
        <f t="shared" si="110"/>
        <v>114415.7154</v>
      </c>
    </row>
    <row r="165" ht="15.75" customHeight="1">
      <c r="A165" s="5"/>
      <c r="B165" s="65"/>
    </row>
    <row r="166" ht="15.75" customHeight="1">
      <c r="A166" s="17" t="s">
        <v>42</v>
      </c>
      <c r="B166" s="202">
        <f t="shared" ref="B166:P166" si="111">SUM(B167:B172)</f>
        <v>114601</v>
      </c>
      <c r="C166" s="202">
        <f t="shared" si="111"/>
        <v>132368</v>
      </c>
      <c r="D166" s="202">
        <f t="shared" si="111"/>
        <v>154485</v>
      </c>
      <c r="E166" s="202">
        <f t="shared" si="111"/>
        <v>141605</v>
      </c>
      <c r="F166" s="202">
        <f t="shared" si="111"/>
        <v>113054</v>
      </c>
      <c r="G166" s="202">
        <f t="shared" si="111"/>
        <v>162139</v>
      </c>
      <c r="H166" s="202">
        <f t="shared" si="111"/>
        <v>170235</v>
      </c>
      <c r="I166" s="202">
        <f t="shared" si="111"/>
        <v>227667</v>
      </c>
      <c r="J166" s="202">
        <f t="shared" si="111"/>
        <v>259518</v>
      </c>
      <c r="K166" s="202">
        <f t="shared" si="111"/>
        <v>333413.6646</v>
      </c>
      <c r="L166" s="202">
        <f t="shared" si="111"/>
        <v>389551.2984</v>
      </c>
      <c r="M166" s="202">
        <f t="shared" si="111"/>
        <v>455305.9924</v>
      </c>
      <c r="N166" s="202">
        <f t="shared" si="111"/>
        <v>532344.524</v>
      </c>
      <c r="O166" s="202">
        <f t="shared" si="111"/>
        <v>622624.7559</v>
      </c>
      <c r="P166" s="202">
        <f t="shared" si="111"/>
        <v>728446.7217</v>
      </c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ht="15.75" customHeight="1">
      <c r="A167" s="1" t="s">
        <v>43</v>
      </c>
      <c r="B167" s="203">
        <f t="shared" ref="B167:J167" si="112">B58+B59</f>
        <v>0</v>
      </c>
      <c r="C167" s="203">
        <f t="shared" si="112"/>
        <v>8036</v>
      </c>
      <c r="D167" s="203">
        <f t="shared" si="112"/>
        <v>8541</v>
      </c>
      <c r="E167" s="203">
        <f t="shared" si="112"/>
        <v>6729</v>
      </c>
      <c r="F167" s="203">
        <f t="shared" si="112"/>
        <v>7065</v>
      </c>
      <c r="G167" s="203">
        <f t="shared" si="112"/>
        <v>8621</v>
      </c>
      <c r="H167" s="203">
        <f t="shared" si="112"/>
        <v>11193</v>
      </c>
      <c r="I167" s="203">
        <f t="shared" si="112"/>
        <v>11652</v>
      </c>
      <c r="J167" s="203">
        <f t="shared" si="112"/>
        <v>12208</v>
      </c>
      <c r="K167" s="19">
        <f t="shared" ref="K167:P167" si="113">K$174*K186</f>
        <v>17456.21281</v>
      </c>
      <c r="L167" s="19">
        <f t="shared" si="113"/>
        <v>20395.35594</v>
      </c>
      <c r="M167" s="19">
        <f t="shared" si="113"/>
        <v>23838.01008</v>
      </c>
      <c r="N167" s="19">
        <f t="shared" si="113"/>
        <v>27871.44105</v>
      </c>
      <c r="O167" s="19">
        <f t="shared" si="113"/>
        <v>32598.15476</v>
      </c>
      <c r="P167" s="19">
        <f t="shared" si="113"/>
        <v>38138.57181</v>
      </c>
    </row>
    <row r="168" ht="15.75" customHeight="1">
      <c r="A168" s="1" t="s">
        <v>44</v>
      </c>
      <c r="B168" s="203">
        <f t="shared" ref="B168:J168" si="114">B60</f>
        <v>907</v>
      </c>
      <c r="C168" s="203">
        <f t="shared" si="114"/>
        <v>4836</v>
      </c>
      <c r="D168" s="203">
        <f t="shared" si="114"/>
        <v>1108</v>
      </c>
      <c r="E168" s="203">
        <f t="shared" si="114"/>
        <v>1496</v>
      </c>
      <c r="F168" s="203">
        <f t="shared" si="114"/>
        <v>1063</v>
      </c>
      <c r="G168" s="203">
        <f t="shared" si="114"/>
        <v>4888</v>
      </c>
      <c r="H168" s="203">
        <f t="shared" si="114"/>
        <v>3819</v>
      </c>
      <c r="I168" s="203">
        <f t="shared" si="114"/>
        <v>12158</v>
      </c>
      <c r="J168" s="203">
        <f t="shared" si="114"/>
        <v>331</v>
      </c>
      <c r="K168" s="19">
        <f t="shared" ref="K168:P168" si="115">K$174*K187</f>
        <v>1745.621281</v>
      </c>
      <c r="L168" s="19">
        <f t="shared" si="115"/>
        <v>2039.535594</v>
      </c>
      <c r="M168" s="19">
        <f t="shared" si="115"/>
        <v>2383.801008</v>
      </c>
      <c r="N168" s="19">
        <f t="shared" si="115"/>
        <v>2787.144105</v>
      </c>
      <c r="O168" s="19">
        <f t="shared" si="115"/>
        <v>3259.815476</v>
      </c>
      <c r="P168" s="19">
        <f t="shared" si="115"/>
        <v>3813.857181</v>
      </c>
    </row>
    <row r="169" ht="15.75" customHeight="1">
      <c r="A169" s="1" t="s">
        <v>45</v>
      </c>
      <c r="B169" s="120">
        <f t="shared" ref="B169:J169" si="116">B61</f>
        <v>71271</v>
      </c>
      <c r="C169" s="120">
        <f t="shared" si="116"/>
        <v>83692</v>
      </c>
      <c r="D169" s="120">
        <f t="shared" si="116"/>
        <v>104993</v>
      </c>
      <c r="E169" s="120">
        <f t="shared" si="116"/>
        <v>96377</v>
      </c>
      <c r="F169" s="120">
        <f t="shared" si="116"/>
        <v>74988</v>
      </c>
      <c r="G169" s="120">
        <f t="shared" si="116"/>
        <v>101681</v>
      </c>
      <c r="H169" s="120">
        <f t="shared" si="116"/>
        <v>97652</v>
      </c>
      <c r="I169" s="120">
        <f t="shared" si="116"/>
        <v>136755</v>
      </c>
      <c r="J169" s="120">
        <f t="shared" si="116"/>
        <v>169884</v>
      </c>
      <c r="K169" s="19">
        <f t="shared" ref="K169:P169" si="117">K$174*K188</f>
        <v>209474.5537</v>
      </c>
      <c r="L169" s="19">
        <f t="shared" si="117"/>
        <v>244744.2712</v>
      </c>
      <c r="M169" s="19">
        <f t="shared" si="117"/>
        <v>286056.1209</v>
      </c>
      <c r="N169" s="19">
        <f t="shared" si="117"/>
        <v>334457.2926</v>
      </c>
      <c r="O169" s="19">
        <f t="shared" si="117"/>
        <v>391177.8571</v>
      </c>
      <c r="P169" s="19">
        <f t="shared" si="117"/>
        <v>457662.8618</v>
      </c>
    </row>
    <row r="170" ht="15.75" customHeight="1">
      <c r="A170" s="1" t="s">
        <v>46</v>
      </c>
      <c r="B170" s="203">
        <f t="shared" ref="B170:J170" si="118">B62</f>
        <v>24078</v>
      </c>
      <c r="C170" s="203">
        <f t="shared" si="118"/>
        <v>18278</v>
      </c>
      <c r="D170" s="203">
        <f t="shared" si="118"/>
        <v>20896</v>
      </c>
      <c r="E170" s="203">
        <f t="shared" si="118"/>
        <v>16329</v>
      </c>
      <c r="F170" s="203">
        <f t="shared" si="118"/>
        <v>14091</v>
      </c>
      <c r="G170" s="203">
        <f t="shared" si="118"/>
        <v>26801</v>
      </c>
      <c r="H170" s="203">
        <f t="shared" si="118"/>
        <v>28686</v>
      </c>
      <c r="I170" s="203">
        <f t="shared" si="118"/>
        <v>33372</v>
      </c>
      <c r="J170" s="203">
        <f t="shared" si="118"/>
        <v>41739</v>
      </c>
      <c r="K170" s="19">
        <f t="shared" ref="K170:P170" si="119">K$174*K189</f>
        <v>52368.63842</v>
      </c>
      <c r="L170" s="19">
        <f t="shared" si="119"/>
        <v>61186.06781</v>
      </c>
      <c r="M170" s="19">
        <f t="shared" si="119"/>
        <v>71514.03023</v>
      </c>
      <c r="N170" s="19">
        <f t="shared" si="119"/>
        <v>83614.32315</v>
      </c>
      <c r="O170" s="19">
        <f t="shared" si="119"/>
        <v>97794.46428</v>
      </c>
      <c r="P170" s="19">
        <f t="shared" si="119"/>
        <v>114415.7154</v>
      </c>
    </row>
    <row r="171" ht="15.75" customHeight="1">
      <c r="A171" s="1" t="s">
        <v>47</v>
      </c>
      <c r="B171" s="120">
        <f t="shared" ref="B171:J171" si="120">B63</f>
        <v>18345</v>
      </c>
      <c r="C171" s="120">
        <f t="shared" si="120"/>
        <v>4498</v>
      </c>
      <c r="D171" s="120">
        <f t="shared" si="120"/>
        <v>5609</v>
      </c>
      <c r="E171" s="120">
        <f t="shared" si="120"/>
        <v>6254</v>
      </c>
      <c r="F171" s="120">
        <f t="shared" si="120"/>
        <v>6807</v>
      </c>
      <c r="G171" s="120">
        <f t="shared" si="120"/>
        <v>7428</v>
      </c>
      <c r="H171" s="120">
        <f t="shared" si="120"/>
        <v>8613</v>
      </c>
      <c r="I171" s="120">
        <f t="shared" si="120"/>
        <v>10830</v>
      </c>
      <c r="J171" s="120">
        <f t="shared" si="120"/>
        <v>13119</v>
      </c>
      <c r="K171" s="19">
        <f t="shared" ref="K171:P171" si="121">K$174*K190</f>
        <v>17456.21281</v>
      </c>
      <c r="L171" s="19">
        <f t="shared" si="121"/>
        <v>20395.35594</v>
      </c>
      <c r="M171" s="19">
        <f t="shared" si="121"/>
        <v>23838.01008</v>
      </c>
      <c r="N171" s="19">
        <f t="shared" si="121"/>
        <v>27871.44105</v>
      </c>
      <c r="O171" s="19">
        <f t="shared" si="121"/>
        <v>32598.15476</v>
      </c>
      <c r="P171" s="19">
        <f t="shared" si="121"/>
        <v>38138.57181</v>
      </c>
    </row>
    <row r="172" ht="15.75" customHeight="1">
      <c r="A172" s="1" t="s">
        <v>48</v>
      </c>
      <c r="B172" s="120" t="str">
        <f t="shared" ref="B172:J172" si="122">B64</f>
        <v/>
      </c>
      <c r="C172" s="120">
        <f t="shared" si="122"/>
        <v>13028</v>
      </c>
      <c r="D172" s="120">
        <f t="shared" si="122"/>
        <v>13338</v>
      </c>
      <c r="E172" s="120">
        <f t="shared" si="122"/>
        <v>14420</v>
      </c>
      <c r="F172" s="120">
        <f t="shared" si="122"/>
        <v>9040</v>
      </c>
      <c r="G172" s="120">
        <f t="shared" si="122"/>
        <v>12720</v>
      </c>
      <c r="H172" s="120">
        <f t="shared" si="122"/>
        <v>20272</v>
      </c>
      <c r="I172" s="120">
        <f t="shared" si="122"/>
        <v>22900</v>
      </c>
      <c r="J172" s="120">
        <f t="shared" si="122"/>
        <v>22237</v>
      </c>
      <c r="K172" s="19">
        <f t="shared" ref="K172:P172" si="123">K$174*K191</f>
        <v>34912.42561</v>
      </c>
      <c r="L172" s="19">
        <f t="shared" si="123"/>
        <v>40790.71187</v>
      </c>
      <c r="M172" s="19">
        <f t="shared" si="123"/>
        <v>47676.02015</v>
      </c>
      <c r="N172" s="19">
        <f t="shared" si="123"/>
        <v>55742.8821</v>
      </c>
      <c r="O172" s="19">
        <f t="shared" si="123"/>
        <v>65196.30952</v>
      </c>
      <c r="P172" s="19">
        <f t="shared" si="123"/>
        <v>76277.14363</v>
      </c>
    </row>
    <row r="173" ht="15.75" customHeight="1">
      <c r="A173" s="5"/>
      <c r="B173" s="1"/>
    </row>
    <row r="174" ht="15.75" customHeight="1">
      <c r="A174" s="18" t="s">
        <v>88</v>
      </c>
      <c r="B174" s="27">
        <f t="shared" ref="B174:P174" si="124">B3</f>
        <v>570615</v>
      </c>
      <c r="C174" s="27">
        <f t="shared" si="124"/>
        <v>680850</v>
      </c>
      <c r="D174" s="27">
        <f t="shared" si="124"/>
        <v>798094</v>
      </c>
      <c r="E174" s="27">
        <f t="shared" si="124"/>
        <v>860685</v>
      </c>
      <c r="F174" s="27">
        <f t="shared" si="124"/>
        <v>756600</v>
      </c>
      <c r="G174" s="27">
        <f t="shared" si="124"/>
        <v>703720</v>
      </c>
      <c r="H174" s="27">
        <f t="shared" si="124"/>
        <v>883298</v>
      </c>
      <c r="I174" s="27">
        <f t="shared" si="124"/>
        <v>1184099</v>
      </c>
      <c r="J174" s="27">
        <f t="shared" si="124"/>
        <v>1418582</v>
      </c>
      <c r="K174" s="27">
        <f t="shared" si="124"/>
        <v>1745621.281</v>
      </c>
      <c r="L174" s="27">
        <f t="shared" si="124"/>
        <v>2039535.594</v>
      </c>
      <c r="M174" s="27">
        <f t="shared" si="124"/>
        <v>2383801.008</v>
      </c>
      <c r="N174" s="27">
        <f t="shared" si="124"/>
        <v>2787144.105</v>
      </c>
      <c r="O174" s="27">
        <f t="shared" si="124"/>
        <v>3259815.476</v>
      </c>
      <c r="P174" s="27">
        <f t="shared" si="124"/>
        <v>3813857.181</v>
      </c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ht="15.75" customHeight="1">
      <c r="A175" s="5"/>
    </row>
    <row r="176" ht="15.75" customHeight="1">
      <c r="A176" s="18" t="s">
        <v>89</v>
      </c>
    </row>
    <row r="177" ht="15.75" customHeight="1">
      <c r="A177" s="5" t="s">
        <v>60</v>
      </c>
    </row>
    <row r="178" ht="15.75" customHeight="1">
      <c r="A178" s="16" t="s">
        <v>61</v>
      </c>
      <c r="B178" s="35">
        <f t="shared" ref="B178:J178" si="125">B159/B$174</f>
        <v>0.05607633869</v>
      </c>
      <c r="C178" s="35">
        <f t="shared" si="125"/>
        <v>0.04793566865</v>
      </c>
      <c r="D178" s="35">
        <f t="shared" si="125"/>
        <v>0.03959683947</v>
      </c>
      <c r="E178" s="35">
        <f t="shared" si="125"/>
        <v>0.03860413508</v>
      </c>
      <c r="F178" s="35">
        <f t="shared" si="125"/>
        <v>0.04247819191</v>
      </c>
      <c r="G178" s="35">
        <f t="shared" si="125"/>
        <v>0.04332689138</v>
      </c>
      <c r="H178" s="35">
        <f t="shared" si="125"/>
        <v>0.03998990148</v>
      </c>
      <c r="I178" s="35">
        <f t="shared" si="125"/>
        <v>0.04597166284</v>
      </c>
      <c r="J178" s="35">
        <f t="shared" si="125"/>
        <v>0.03748884449</v>
      </c>
      <c r="K178" s="37">
        <v>0.04</v>
      </c>
      <c r="L178" s="38">
        <f t="shared" ref="L178:P178" si="126">K178</f>
        <v>0.04</v>
      </c>
      <c r="M178" s="38">
        <f t="shared" si="126"/>
        <v>0.04</v>
      </c>
      <c r="N178" s="38">
        <f t="shared" si="126"/>
        <v>0.04</v>
      </c>
      <c r="O178" s="38">
        <f t="shared" si="126"/>
        <v>0.04</v>
      </c>
      <c r="P178" s="38">
        <f t="shared" si="126"/>
        <v>0.04</v>
      </c>
    </row>
    <row r="179" ht="15.75" customHeight="1">
      <c r="A179" s="16" t="s">
        <v>62</v>
      </c>
      <c r="B179" s="35">
        <f t="shared" ref="B179:J179" si="127">B160/B$174</f>
        <v>0.02431236473</v>
      </c>
      <c r="C179" s="35">
        <f t="shared" si="127"/>
        <v>0.0176632151</v>
      </c>
      <c r="D179" s="35">
        <f t="shared" si="127"/>
        <v>0.01836124567</v>
      </c>
      <c r="E179" s="35">
        <f t="shared" si="127"/>
        <v>0.0268716197</v>
      </c>
      <c r="F179" s="35">
        <f t="shared" si="127"/>
        <v>0.02814961671</v>
      </c>
      <c r="G179" s="35">
        <f t="shared" si="127"/>
        <v>0.01818763144</v>
      </c>
      <c r="H179" s="35">
        <f t="shared" si="127"/>
        <v>0.02303299679</v>
      </c>
      <c r="I179" s="35">
        <f t="shared" si="127"/>
        <v>0.02774092369</v>
      </c>
      <c r="J179" s="35">
        <f t="shared" si="127"/>
        <v>0.03240418954</v>
      </c>
      <c r="K179" s="37">
        <v>0.03</v>
      </c>
      <c r="L179" s="38">
        <f t="shared" ref="L179:P179" si="128">K179</f>
        <v>0.03</v>
      </c>
      <c r="M179" s="38">
        <f t="shared" si="128"/>
        <v>0.03</v>
      </c>
      <c r="N179" s="38">
        <f t="shared" si="128"/>
        <v>0.03</v>
      </c>
      <c r="O179" s="38">
        <f t="shared" si="128"/>
        <v>0.03</v>
      </c>
      <c r="P179" s="38">
        <f t="shared" si="128"/>
        <v>0.03</v>
      </c>
    </row>
    <row r="180" ht="15.75" customHeight="1">
      <c r="A180" s="16" t="s">
        <v>64</v>
      </c>
      <c r="B180" s="35">
        <f t="shared" ref="B180:J180" si="129">B161/B$174</f>
        <v>0.02796456455</v>
      </c>
      <c r="C180" s="35">
        <f t="shared" si="129"/>
        <v>0.00003671880737</v>
      </c>
      <c r="D180" s="35">
        <f t="shared" si="129"/>
        <v>0.00003758955712</v>
      </c>
      <c r="E180" s="35">
        <f t="shared" si="129"/>
        <v>0.0001870603066</v>
      </c>
      <c r="F180" s="35">
        <f t="shared" si="129"/>
        <v>0.0002246893999</v>
      </c>
      <c r="G180" s="35">
        <f t="shared" si="129"/>
        <v>0.0003268345365</v>
      </c>
      <c r="H180" s="35">
        <f t="shared" si="129"/>
        <v>0.0003452968307</v>
      </c>
      <c r="I180" s="35">
        <f t="shared" si="129"/>
        <v>0.000250823622</v>
      </c>
      <c r="J180" s="35">
        <f t="shared" si="129"/>
        <v>0.0002305118774</v>
      </c>
      <c r="K180" s="38">
        <f t="shared" ref="K180:P180" si="130">J180</f>
        <v>0.0002305118774</v>
      </c>
      <c r="L180" s="38">
        <f t="shared" si="130"/>
        <v>0.0002305118774</v>
      </c>
      <c r="M180" s="38">
        <f t="shared" si="130"/>
        <v>0.0002305118774</v>
      </c>
      <c r="N180" s="38">
        <f t="shared" si="130"/>
        <v>0.0002305118774</v>
      </c>
      <c r="O180" s="38">
        <f t="shared" si="130"/>
        <v>0.0002305118774</v>
      </c>
      <c r="P180" s="38">
        <f t="shared" si="130"/>
        <v>0.0002305118774</v>
      </c>
    </row>
    <row r="181" ht="15.75" customHeight="1">
      <c r="A181" s="16" t="s">
        <v>65</v>
      </c>
      <c r="B181" s="35">
        <f t="shared" ref="B181:J181" si="131">B162/B$174</f>
        <v>0.004729984315</v>
      </c>
      <c r="C181" s="35">
        <f t="shared" si="131"/>
        <v>0.02263053536</v>
      </c>
      <c r="D181" s="35">
        <f t="shared" si="131"/>
        <v>0.01646422602</v>
      </c>
      <c r="E181" s="35">
        <f t="shared" si="131"/>
        <v>0.006550596327</v>
      </c>
      <c r="F181" s="35">
        <f t="shared" si="131"/>
        <v>0.01053925456</v>
      </c>
      <c r="G181" s="35">
        <f t="shared" si="131"/>
        <v>0.01361478997</v>
      </c>
      <c r="H181" s="35">
        <f t="shared" si="131"/>
        <v>0.01653802001</v>
      </c>
      <c r="I181" s="35">
        <f t="shared" si="131"/>
        <v>0.01317626313</v>
      </c>
      <c r="J181" s="35">
        <f t="shared" si="131"/>
        <v>0.01767751177</v>
      </c>
      <c r="K181" s="37">
        <v>0.02</v>
      </c>
      <c r="L181" s="38">
        <f t="shared" ref="L181:P181" si="132">K181</f>
        <v>0.02</v>
      </c>
      <c r="M181" s="38">
        <f t="shared" si="132"/>
        <v>0.02</v>
      </c>
      <c r="N181" s="38">
        <f t="shared" si="132"/>
        <v>0.02</v>
      </c>
      <c r="O181" s="38">
        <f t="shared" si="132"/>
        <v>0.02</v>
      </c>
      <c r="P181" s="38">
        <f t="shared" si="132"/>
        <v>0.02</v>
      </c>
    </row>
    <row r="182" ht="15.75" customHeight="1">
      <c r="A182" s="16" t="s">
        <v>66</v>
      </c>
      <c r="B182" s="35">
        <f t="shared" ref="B182:J182" si="133">B163/B$174</f>
        <v>0</v>
      </c>
      <c r="C182" s="35">
        <f t="shared" si="133"/>
        <v>0.007211573768</v>
      </c>
      <c r="D182" s="35">
        <f t="shared" si="133"/>
        <v>0.005156034252</v>
      </c>
      <c r="E182" s="35">
        <f t="shared" si="133"/>
        <v>0.004969297711</v>
      </c>
      <c r="F182" s="35">
        <f t="shared" si="133"/>
        <v>0.006968014803</v>
      </c>
      <c r="G182" s="35">
        <f t="shared" si="133"/>
        <v>0</v>
      </c>
      <c r="H182" s="35">
        <f t="shared" si="133"/>
        <v>0</v>
      </c>
      <c r="I182" s="35">
        <f t="shared" si="133"/>
        <v>0</v>
      </c>
      <c r="J182" s="35">
        <f t="shared" si="133"/>
        <v>0</v>
      </c>
      <c r="K182" s="38">
        <f t="shared" ref="K182:P182" si="134">J182</f>
        <v>0</v>
      </c>
      <c r="L182" s="38">
        <f t="shared" si="134"/>
        <v>0</v>
      </c>
      <c r="M182" s="38">
        <f t="shared" si="134"/>
        <v>0</v>
      </c>
      <c r="N182" s="38">
        <f t="shared" si="134"/>
        <v>0</v>
      </c>
      <c r="O182" s="38">
        <f t="shared" si="134"/>
        <v>0</v>
      </c>
      <c r="P182" s="38">
        <f t="shared" si="134"/>
        <v>0</v>
      </c>
    </row>
    <row r="183" ht="15.75" customHeight="1">
      <c r="A183" s="1" t="s">
        <v>57</v>
      </c>
      <c r="B183" s="35">
        <f t="shared" ref="B183:J183" si="135">B164/B$174</f>
        <v>0.01533082727</v>
      </c>
      <c r="C183" s="35">
        <f t="shared" si="135"/>
        <v>0.03339795843</v>
      </c>
      <c r="D183" s="35">
        <f t="shared" si="135"/>
        <v>0.01881858528</v>
      </c>
      <c r="E183" s="35">
        <f t="shared" si="135"/>
        <v>0.06438941076</v>
      </c>
      <c r="F183" s="35">
        <f t="shared" si="135"/>
        <v>0.02281654771</v>
      </c>
      <c r="G183" s="35">
        <f t="shared" si="135"/>
        <v>0.1384059001</v>
      </c>
      <c r="H183" s="35">
        <f t="shared" si="135"/>
        <v>0.07577397436</v>
      </c>
      <c r="I183" s="35">
        <f t="shared" si="135"/>
        <v>0.02197873658</v>
      </c>
      <c r="J183" s="35">
        <f t="shared" si="135"/>
        <v>0.05182005693</v>
      </c>
      <c r="K183" s="37">
        <v>0.03</v>
      </c>
      <c r="L183" s="38">
        <f t="shared" ref="L183:P183" si="136">K183</f>
        <v>0.03</v>
      </c>
      <c r="M183" s="38">
        <f t="shared" si="136"/>
        <v>0.03</v>
      </c>
      <c r="N183" s="38">
        <f t="shared" si="136"/>
        <v>0.03</v>
      </c>
      <c r="O183" s="38">
        <f t="shared" si="136"/>
        <v>0.03</v>
      </c>
      <c r="P183" s="38">
        <f t="shared" si="136"/>
        <v>0.03</v>
      </c>
    </row>
    <row r="184" ht="15.75" customHeight="1">
      <c r="A184" s="5"/>
    </row>
    <row r="185" ht="15.75" customHeight="1">
      <c r="A185" s="5" t="s">
        <v>42</v>
      </c>
    </row>
    <row r="186" ht="15.75" customHeight="1">
      <c r="A186" s="1" t="s">
        <v>43</v>
      </c>
      <c r="B186" s="35">
        <f t="shared" ref="B186:J186" si="137">B167/B$174</f>
        <v>0</v>
      </c>
      <c r="C186" s="35">
        <f t="shared" si="137"/>
        <v>0.01180289344</v>
      </c>
      <c r="D186" s="35">
        <f t="shared" si="137"/>
        <v>0.01070174691</v>
      </c>
      <c r="E186" s="35">
        <f t="shared" si="137"/>
        <v>0.007818191324</v>
      </c>
      <c r="F186" s="35">
        <f t="shared" si="137"/>
        <v>0.009337827121</v>
      </c>
      <c r="G186" s="35">
        <f t="shared" si="137"/>
        <v>0.01225061104</v>
      </c>
      <c r="H186" s="35">
        <f t="shared" si="137"/>
        <v>0.01267182763</v>
      </c>
      <c r="I186" s="35">
        <f t="shared" si="137"/>
        <v>0.009840393413</v>
      </c>
      <c r="J186" s="35">
        <f t="shared" si="137"/>
        <v>0.008605776755</v>
      </c>
      <c r="K186" s="37">
        <v>0.01</v>
      </c>
      <c r="L186" s="38">
        <f t="shared" ref="L186:P186" si="138">K186</f>
        <v>0.01</v>
      </c>
      <c r="M186" s="38">
        <f t="shared" si="138"/>
        <v>0.01</v>
      </c>
      <c r="N186" s="38">
        <f t="shared" si="138"/>
        <v>0.01</v>
      </c>
      <c r="O186" s="38">
        <f t="shared" si="138"/>
        <v>0.01</v>
      </c>
      <c r="P186" s="38">
        <f t="shared" si="138"/>
        <v>0.01</v>
      </c>
    </row>
    <row r="187" ht="15.75" customHeight="1">
      <c r="A187" s="1" t="s">
        <v>44</v>
      </c>
      <c r="B187" s="35">
        <f t="shared" ref="B187:J187" si="139">B168/B$174</f>
        <v>0.001589513069</v>
      </c>
      <c r="C187" s="35">
        <f t="shared" si="139"/>
        <v>0.007102886098</v>
      </c>
      <c r="D187" s="35">
        <f t="shared" si="139"/>
        <v>0.001388307643</v>
      </c>
      <c r="E187" s="35">
        <f t="shared" si="139"/>
        <v>0.001738150427</v>
      </c>
      <c r="F187" s="35">
        <f t="shared" si="139"/>
        <v>0.001404969601</v>
      </c>
      <c r="G187" s="35">
        <f t="shared" si="139"/>
        <v>0.00694594441</v>
      </c>
      <c r="H187" s="35">
        <f t="shared" si="139"/>
        <v>0.004323569169</v>
      </c>
      <c r="I187" s="35">
        <f t="shared" si="139"/>
        <v>0.01026772255</v>
      </c>
      <c r="J187" s="35">
        <f t="shared" si="139"/>
        <v>0.0002333315945</v>
      </c>
      <c r="K187" s="37">
        <v>0.001</v>
      </c>
      <c r="L187" s="38">
        <f t="shared" ref="L187:P187" si="140">K187</f>
        <v>0.001</v>
      </c>
      <c r="M187" s="38">
        <f t="shared" si="140"/>
        <v>0.001</v>
      </c>
      <c r="N187" s="38">
        <f t="shared" si="140"/>
        <v>0.001</v>
      </c>
      <c r="O187" s="38">
        <f t="shared" si="140"/>
        <v>0.001</v>
      </c>
      <c r="P187" s="38">
        <f t="shared" si="140"/>
        <v>0.001</v>
      </c>
    </row>
    <row r="188" ht="15.75" customHeight="1">
      <c r="A188" s="1" t="s">
        <v>45</v>
      </c>
      <c r="B188" s="35">
        <f t="shared" ref="B188:J188" si="141">B169/B$174</f>
        <v>0.1249020793</v>
      </c>
      <c r="C188" s="35">
        <f t="shared" si="141"/>
        <v>0.1229228171</v>
      </c>
      <c r="D188" s="35">
        <f t="shared" si="141"/>
        <v>0.131554679</v>
      </c>
      <c r="E188" s="35">
        <f t="shared" si="141"/>
        <v>0.111977088</v>
      </c>
      <c r="F188" s="35">
        <f t="shared" si="141"/>
        <v>0.09911181602</v>
      </c>
      <c r="G188" s="35">
        <f t="shared" si="141"/>
        <v>0.1444907065</v>
      </c>
      <c r="H188" s="35">
        <f t="shared" si="141"/>
        <v>0.1105538561</v>
      </c>
      <c r="I188" s="35">
        <f t="shared" si="141"/>
        <v>0.1154928769</v>
      </c>
      <c r="J188" s="35">
        <f t="shared" si="141"/>
        <v>0.1197562073</v>
      </c>
      <c r="K188" s="37">
        <v>0.12</v>
      </c>
      <c r="L188" s="38">
        <f t="shared" ref="L188:P188" si="142">K188</f>
        <v>0.12</v>
      </c>
      <c r="M188" s="38">
        <f t="shared" si="142"/>
        <v>0.12</v>
      </c>
      <c r="N188" s="38">
        <f t="shared" si="142"/>
        <v>0.12</v>
      </c>
      <c r="O188" s="38">
        <f t="shared" si="142"/>
        <v>0.12</v>
      </c>
      <c r="P188" s="38">
        <f t="shared" si="142"/>
        <v>0.12</v>
      </c>
    </row>
    <row r="189" ht="15.75" customHeight="1">
      <c r="A189" s="1" t="s">
        <v>46</v>
      </c>
      <c r="B189" s="35">
        <f t="shared" ref="B189:J189" si="143">B170/B$174</f>
        <v>0.04219657738</v>
      </c>
      <c r="C189" s="35">
        <f t="shared" si="143"/>
        <v>0.02684585445</v>
      </c>
      <c r="D189" s="35">
        <f t="shared" si="143"/>
        <v>0.02618237952</v>
      </c>
      <c r="E189" s="35">
        <f t="shared" si="143"/>
        <v>0.01897209781</v>
      </c>
      <c r="F189" s="35">
        <f t="shared" si="143"/>
        <v>0.01862410785</v>
      </c>
      <c r="G189" s="35">
        <f t="shared" si="143"/>
        <v>0.03808474962</v>
      </c>
      <c r="H189" s="35">
        <f t="shared" si="143"/>
        <v>0.03247601602</v>
      </c>
      <c r="I189" s="35">
        <f t="shared" si="143"/>
        <v>0.02818345426</v>
      </c>
      <c r="J189" s="35">
        <f t="shared" si="143"/>
        <v>0.02942304357</v>
      </c>
      <c r="K189" s="37">
        <v>0.03</v>
      </c>
      <c r="L189" s="38">
        <f t="shared" ref="L189:P189" si="144">K189</f>
        <v>0.03</v>
      </c>
      <c r="M189" s="38">
        <f t="shared" si="144"/>
        <v>0.03</v>
      </c>
      <c r="N189" s="38">
        <f t="shared" si="144"/>
        <v>0.03</v>
      </c>
      <c r="O189" s="38">
        <f t="shared" si="144"/>
        <v>0.03</v>
      </c>
      <c r="P189" s="38">
        <f t="shared" si="144"/>
        <v>0.03</v>
      </c>
    </row>
    <row r="190" ht="15.75" customHeight="1">
      <c r="A190" s="1" t="s">
        <v>47</v>
      </c>
      <c r="B190" s="35">
        <f t="shared" ref="B190:J190" si="145">B171/B$174</f>
        <v>0.03214952288</v>
      </c>
      <c r="C190" s="35">
        <f t="shared" si="145"/>
        <v>0.006606447823</v>
      </c>
      <c r="D190" s="35">
        <f t="shared" si="145"/>
        <v>0.007027994196</v>
      </c>
      <c r="E190" s="35">
        <f t="shared" si="145"/>
        <v>0.007266305327</v>
      </c>
      <c r="F190" s="35">
        <f t="shared" si="145"/>
        <v>0.008996827914</v>
      </c>
      <c r="G190" s="35">
        <f t="shared" si="145"/>
        <v>0.01055533451</v>
      </c>
      <c r="H190" s="35">
        <f t="shared" si="145"/>
        <v>0.009750956076</v>
      </c>
      <c r="I190" s="35">
        <f t="shared" si="145"/>
        <v>0.009146194702</v>
      </c>
      <c r="J190" s="35">
        <f t="shared" si="145"/>
        <v>0.009247967336</v>
      </c>
      <c r="K190" s="37">
        <v>0.01</v>
      </c>
      <c r="L190" s="38">
        <f t="shared" ref="L190:P190" si="146">K190</f>
        <v>0.01</v>
      </c>
      <c r="M190" s="38">
        <f t="shared" si="146"/>
        <v>0.01</v>
      </c>
      <c r="N190" s="38">
        <f t="shared" si="146"/>
        <v>0.01</v>
      </c>
      <c r="O190" s="38">
        <f t="shared" si="146"/>
        <v>0.01</v>
      </c>
      <c r="P190" s="38">
        <f t="shared" si="146"/>
        <v>0.01</v>
      </c>
    </row>
    <row r="191" ht="15.75" customHeight="1">
      <c r="A191" s="1" t="s">
        <v>48</v>
      </c>
      <c r="B191" s="35">
        <f t="shared" ref="B191:J191" si="147">B172/B$174</f>
        <v>0</v>
      </c>
      <c r="C191" s="35">
        <f t="shared" si="147"/>
        <v>0.0191349049</v>
      </c>
      <c r="D191" s="35">
        <f t="shared" si="147"/>
        <v>0.0167123171</v>
      </c>
      <c r="E191" s="35">
        <f t="shared" si="147"/>
        <v>0.01675409703</v>
      </c>
      <c r="F191" s="35">
        <f t="shared" si="147"/>
        <v>0.01194818927</v>
      </c>
      <c r="G191" s="35">
        <f t="shared" si="147"/>
        <v>0.01807537089</v>
      </c>
      <c r="H191" s="35">
        <f t="shared" si="147"/>
        <v>0.02295035198</v>
      </c>
      <c r="I191" s="35">
        <f t="shared" si="147"/>
        <v>0.01933959914</v>
      </c>
      <c r="J191" s="35">
        <f t="shared" si="147"/>
        <v>0.01567551259</v>
      </c>
      <c r="K191" s="37">
        <v>0.02</v>
      </c>
      <c r="L191" s="38">
        <f t="shared" ref="L191:P191" si="148">K191</f>
        <v>0.02</v>
      </c>
      <c r="M191" s="38">
        <f t="shared" si="148"/>
        <v>0.02</v>
      </c>
      <c r="N191" s="38">
        <f t="shared" si="148"/>
        <v>0.02</v>
      </c>
      <c r="O191" s="38">
        <f t="shared" si="148"/>
        <v>0.02</v>
      </c>
      <c r="P191" s="38">
        <f t="shared" si="148"/>
        <v>0.02</v>
      </c>
    </row>
    <row r="192" ht="15.75" customHeight="1">
      <c r="A192" s="5"/>
    </row>
    <row r="193" ht="15.75" customHeight="1">
      <c r="A193" s="1" t="s">
        <v>90</v>
      </c>
      <c r="B193" s="19">
        <f t="shared" ref="B193:P193" si="149">B158-B166</f>
        <v>-41326</v>
      </c>
      <c r="C193" s="19">
        <f t="shared" si="149"/>
        <v>-44623</v>
      </c>
      <c r="D193" s="19">
        <f t="shared" si="149"/>
        <v>-75925</v>
      </c>
      <c r="E193" s="19">
        <f t="shared" si="149"/>
        <v>-19756</v>
      </c>
      <c r="F193" s="19">
        <f t="shared" si="149"/>
        <v>-28938</v>
      </c>
      <c r="G193" s="19">
        <f t="shared" si="149"/>
        <v>-11640</v>
      </c>
      <c r="H193" s="19">
        <f t="shared" si="149"/>
        <v>-32723</v>
      </c>
      <c r="I193" s="19">
        <f t="shared" si="149"/>
        <v>-98460</v>
      </c>
      <c r="J193" s="19">
        <f t="shared" si="149"/>
        <v>-61454</v>
      </c>
      <c r="K193" s="19">
        <f t="shared" si="149"/>
        <v>-123536.7245</v>
      </c>
      <c r="L193" s="19">
        <f t="shared" si="149"/>
        <v>-144336.89</v>
      </c>
      <c r="M193" s="19">
        <f t="shared" si="149"/>
        <v>-168700.3771</v>
      </c>
      <c r="N193" s="19">
        <f t="shared" si="149"/>
        <v>-197244.7616</v>
      </c>
      <c r="O193" s="19">
        <f t="shared" si="149"/>
        <v>-230695.4726</v>
      </c>
      <c r="P193" s="19">
        <f t="shared" si="149"/>
        <v>-269904.7205</v>
      </c>
    </row>
    <row r="194" ht="15.75" customHeight="1">
      <c r="A194" s="1" t="s">
        <v>91</v>
      </c>
      <c r="C194" s="19">
        <f t="shared" ref="C194:P194" si="150">C193-B193</f>
        <v>-3297</v>
      </c>
      <c r="D194" s="19">
        <f t="shared" si="150"/>
        <v>-31302</v>
      </c>
      <c r="E194" s="19">
        <f t="shared" si="150"/>
        <v>56169</v>
      </c>
      <c r="F194" s="19">
        <f t="shared" si="150"/>
        <v>-9182</v>
      </c>
      <c r="G194" s="19">
        <f t="shared" si="150"/>
        <v>17298</v>
      </c>
      <c r="H194" s="19">
        <f t="shared" si="150"/>
        <v>-21083</v>
      </c>
      <c r="I194" s="19">
        <f t="shared" si="150"/>
        <v>-65737</v>
      </c>
      <c r="J194" s="19">
        <f t="shared" si="150"/>
        <v>37006</v>
      </c>
      <c r="K194" s="19">
        <f t="shared" si="150"/>
        <v>-62082.72448</v>
      </c>
      <c r="L194" s="19">
        <f t="shared" si="150"/>
        <v>-20800.16549</v>
      </c>
      <c r="M194" s="19">
        <f t="shared" si="150"/>
        <v>-24363.48712</v>
      </c>
      <c r="N194" s="19">
        <f t="shared" si="150"/>
        <v>-28544.38454</v>
      </c>
      <c r="O194" s="19">
        <f t="shared" si="150"/>
        <v>-33450.71097</v>
      </c>
      <c r="P194" s="19">
        <f t="shared" si="150"/>
        <v>-39209.2479</v>
      </c>
    </row>
    <row r="195" ht="15.75" customHeight="1">
      <c r="A195" s="5"/>
    </row>
    <row r="196" ht="15.75" customHeight="1">
      <c r="A196" s="18" t="s">
        <v>92</v>
      </c>
    </row>
    <row r="197" ht="15.75" customHeight="1">
      <c r="A197" s="5" t="s">
        <v>93</v>
      </c>
      <c r="B197" s="19">
        <f t="shared" ref="B197:J197" si="151">SUM(B71,B73,B75)</f>
        <v>136385</v>
      </c>
      <c r="C197" s="19">
        <f t="shared" si="151"/>
        <v>141900</v>
      </c>
      <c r="D197" s="19">
        <f t="shared" si="151"/>
        <v>152092</v>
      </c>
      <c r="E197" s="19">
        <f t="shared" si="151"/>
        <v>165931</v>
      </c>
      <c r="F197" s="19">
        <f t="shared" si="151"/>
        <v>167529</v>
      </c>
      <c r="G197" s="19">
        <f t="shared" si="151"/>
        <v>159638</v>
      </c>
      <c r="H197" s="19">
        <f t="shared" si="151"/>
        <v>160435</v>
      </c>
      <c r="I197" s="19">
        <f t="shared" si="151"/>
        <v>314476</v>
      </c>
      <c r="J197" s="19">
        <f t="shared" si="151"/>
        <v>349154</v>
      </c>
    </row>
    <row r="198" ht="15.75" customHeight="1">
      <c r="A198" s="5" t="s">
        <v>94</v>
      </c>
      <c r="B198" s="19">
        <f t="shared" ref="B198:J198" si="152">SUM(B72,B74)</f>
        <v>3508</v>
      </c>
      <c r="C198" s="19">
        <f t="shared" si="152"/>
        <v>3730</v>
      </c>
      <c r="D198" s="19">
        <f t="shared" si="152"/>
        <v>3117</v>
      </c>
      <c r="E198" s="19">
        <f t="shared" si="152"/>
        <v>4511</v>
      </c>
      <c r="F198" s="19">
        <f t="shared" si="152"/>
        <v>4067</v>
      </c>
      <c r="G198" s="19">
        <f t="shared" si="152"/>
        <v>5217</v>
      </c>
      <c r="H198" s="19">
        <f t="shared" si="152"/>
        <v>6402</v>
      </c>
      <c r="I198" s="19">
        <f t="shared" si="152"/>
        <v>6368</v>
      </c>
      <c r="J198" s="19">
        <f t="shared" si="152"/>
        <v>6842</v>
      </c>
    </row>
    <row r="199" ht="15.75" customHeight="1">
      <c r="A199" s="17" t="s">
        <v>49</v>
      </c>
      <c r="B199" s="27">
        <f t="shared" ref="B199:J199" si="153">SUM(B197:B198)</f>
        <v>139893</v>
      </c>
      <c r="C199" s="27">
        <f t="shared" si="153"/>
        <v>145630</v>
      </c>
      <c r="D199" s="27">
        <f t="shared" si="153"/>
        <v>155209</v>
      </c>
      <c r="E199" s="27">
        <f t="shared" si="153"/>
        <v>170442</v>
      </c>
      <c r="F199" s="27">
        <f t="shared" si="153"/>
        <v>171596</v>
      </c>
      <c r="G199" s="27">
        <f t="shared" si="153"/>
        <v>164855</v>
      </c>
      <c r="H199" s="27">
        <f t="shared" si="153"/>
        <v>166837</v>
      </c>
      <c r="I199" s="27">
        <f t="shared" si="153"/>
        <v>320844</v>
      </c>
      <c r="J199" s="27">
        <f t="shared" si="153"/>
        <v>355996</v>
      </c>
      <c r="K199" s="27">
        <f t="shared" ref="K199:P199" si="154">(K99*K201)/10^6</f>
        <v>408000</v>
      </c>
      <c r="L199" s="27">
        <f t="shared" si="154"/>
        <v>456000</v>
      </c>
      <c r="M199" s="27">
        <f t="shared" si="154"/>
        <v>504000</v>
      </c>
      <c r="N199" s="27">
        <f t="shared" si="154"/>
        <v>552000</v>
      </c>
      <c r="O199" s="27">
        <f t="shared" si="154"/>
        <v>600000</v>
      </c>
      <c r="P199" s="27">
        <f t="shared" si="154"/>
        <v>648000</v>
      </c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ht="15.75" customHeight="1">
      <c r="A200" s="5"/>
    </row>
    <row r="201" ht="15.75" customHeight="1">
      <c r="A201" s="17" t="s">
        <v>95</v>
      </c>
      <c r="B201" s="27">
        <f t="shared" ref="B201:J201" si="155">(B199/B99)*10^6</f>
        <v>93262</v>
      </c>
      <c r="C201" s="27">
        <f t="shared" si="155"/>
        <v>93954.83871</v>
      </c>
      <c r="D201" s="27">
        <f t="shared" si="155"/>
        <v>99492.94872</v>
      </c>
      <c r="E201" s="27">
        <f t="shared" si="155"/>
        <v>107874.6835</v>
      </c>
      <c r="F201" s="27">
        <f t="shared" si="155"/>
        <v>85798</v>
      </c>
      <c r="G201" s="27">
        <f t="shared" si="155"/>
        <v>73268.88889</v>
      </c>
      <c r="H201" s="27">
        <f t="shared" si="155"/>
        <v>74149.77778</v>
      </c>
      <c r="I201" s="27">
        <f t="shared" si="155"/>
        <v>142597.3333</v>
      </c>
      <c r="J201" s="27">
        <f t="shared" si="155"/>
        <v>158220.4444</v>
      </c>
      <c r="K201" s="20">
        <v>160000.0</v>
      </c>
      <c r="L201" s="116">
        <f t="shared" ref="L201:P201" si="156">K201</f>
        <v>160000</v>
      </c>
      <c r="M201" s="116">
        <f t="shared" si="156"/>
        <v>160000</v>
      </c>
      <c r="N201" s="116">
        <f t="shared" si="156"/>
        <v>160000</v>
      </c>
      <c r="O201" s="116">
        <f t="shared" si="156"/>
        <v>160000</v>
      </c>
      <c r="P201" s="116">
        <f t="shared" si="156"/>
        <v>160000</v>
      </c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ht="15.75" customHeight="1">
      <c r="A202" s="5"/>
    </row>
    <row r="203" ht="15.75" customHeight="1">
      <c r="A203" s="5" t="s">
        <v>96</v>
      </c>
      <c r="K203" s="44">
        <f t="shared" ref="K203:P203" si="157">(K201*K100)/10^6</f>
        <v>48000</v>
      </c>
      <c r="L203" s="44">
        <f t="shared" si="157"/>
        <v>48000</v>
      </c>
      <c r="M203" s="44">
        <f t="shared" si="157"/>
        <v>48000</v>
      </c>
      <c r="N203" s="44">
        <f t="shared" si="157"/>
        <v>48000</v>
      </c>
      <c r="O203" s="44">
        <f t="shared" si="157"/>
        <v>48000</v>
      </c>
      <c r="P203" s="44">
        <f t="shared" si="157"/>
        <v>48000</v>
      </c>
    </row>
    <row r="204" ht="15.75" customHeight="1">
      <c r="A204" s="5" t="s">
        <v>97</v>
      </c>
      <c r="K204" s="19">
        <f t="shared" ref="K204:P204" si="158">J207</f>
        <v>52558</v>
      </c>
      <c r="L204" s="44">
        <f t="shared" si="158"/>
        <v>61200</v>
      </c>
      <c r="M204" s="44">
        <f t="shared" si="158"/>
        <v>68400</v>
      </c>
      <c r="N204" s="44">
        <f t="shared" si="158"/>
        <v>75600</v>
      </c>
      <c r="O204" s="44">
        <f t="shared" si="158"/>
        <v>82800</v>
      </c>
      <c r="P204" s="44">
        <f t="shared" si="158"/>
        <v>90000</v>
      </c>
    </row>
    <row r="205" ht="15.75" customHeight="1">
      <c r="A205" s="17" t="s">
        <v>98</v>
      </c>
      <c r="B205" s="34"/>
      <c r="C205" s="34"/>
      <c r="D205" s="34"/>
      <c r="E205" s="34"/>
      <c r="F205" s="34"/>
      <c r="G205" s="34"/>
      <c r="H205" s="34"/>
      <c r="I205" s="34"/>
      <c r="J205" s="34"/>
      <c r="K205" s="34">
        <f t="shared" ref="K205:P205" si="159">SUM(K203:K204)</f>
        <v>100558</v>
      </c>
      <c r="L205" s="34">
        <f t="shared" si="159"/>
        <v>109200</v>
      </c>
      <c r="M205" s="34">
        <f t="shared" si="159"/>
        <v>116400</v>
      </c>
      <c r="N205" s="34">
        <f t="shared" si="159"/>
        <v>123600</v>
      </c>
      <c r="O205" s="34">
        <f t="shared" si="159"/>
        <v>130800</v>
      </c>
      <c r="P205" s="34">
        <f t="shared" si="159"/>
        <v>138000</v>
      </c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ht="15.75" customHeight="1">
      <c r="A206" s="5"/>
    </row>
    <row r="207" ht="15.75" customHeight="1">
      <c r="A207" s="5" t="s">
        <v>99</v>
      </c>
      <c r="B207" s="19">
        <f t="shared" ref="B207:J207" si="160">B20</f>
        <v>28670</v>
      </c>
      <c r="C207" s="19">
        <f t="shared" si="160"/>
        <v>26039</v>
      </c>
      <c r="D207" s="19">
        <f t="shared" si="160"/>
        <v>27598</v>
      </c>
      <c r="E207" s="19">
        <f t="shared" si="160"/>
        <v>30208</v>
      </c>
      <c r="F207" s="19">
        <f t="shared" si="160"/>
        <v>35284</v>
      </c>
      <c r="G207" s="19">
        <f t="shared" si="160"/>
        <v>30341</v>
      </c>
      <c r="H207" s="19">
        <f t="shared" si="160"/>
        <v>27890</v>
      </c>
      <c r="I207" s="19">
        <f t="shared" si="160"/>
        <v>48460</v>
      </c>
      <c r="J207" s="19">
        <f t="shared" si="160"/>
        <v>52558</v>
      </c>
      <c r="K207" s="44">
        <f t="shared" ref="K207:P207" si="161">K199*K208</f>
        <v>61200</v>
      </c>
      <c r="L207" s="44">
        <f t="shared" si="161"/>
        <v>68400</v>
      </c>
      <c r="M207" s="44">
        <f t="shared" si="161"/>
        <v>75600</v>
      </c>
      <c r="N207" s="44">
        <f t="shared" si="161"/>
        <v>82800</v>
      </c>
      <c r="O207" s="44">
        <f t="shared" si="161"/>
        <v>90000</v>
      </c>
      <c r="P207" s="44">
        <f t="shared" si="161"/>
        <v>97200</v>
      </c>
    </row>
    <row r="208" ht="15.75" customHeight="1">
      <c r="A208" s="5" t="s">
        <v>100</v>
      </c>
      <c r="B208" s="35">
        <f t="shared" ref="B208:J208" si="162">B207/B199</f>
        <v>0.2049423488</v>
      </c>
      <c r="C208" s="35">
        <f t="shared" si="162"/>
        <v>0.1788024446</v>
      </c>
      <c r="D208" s="35">
        <f t="shared" si="162"/>
        <v>0.1778118537</v>
      </c>
      <c r="E208" s="35">
        <f t="shared" si="162"/>
        <v>0.177233311</v>
      </c>
      <c r="F208" s="35">
        <f t="shared" si="162"/>
        <v>0.2056225087</v>
      </c>
      <c r="G208" s="35">
        <f t="shared" si="162"/>
        <v>0.1840465864</v>
      </c>
      <c r="H208" s="35">
        <f t="shared" si="162"/>
        <v>0.1671691531</v>
      </c>
      <c r="I208" s="35">
        <f t="shared" si="162"/>
        <v>0.1510391343</v>
      </c>
      <c r="J208" s="35">
        <f t="shared" si="162"/>
        <v>0.1476364903</v>
      </c>
      <c r="K208" s="37">
        <v>0.15</v>
      </c>
      <c r="L208" s="38">
        <f t="shared" ref="L208:P208" si="163">K208</f>
        <v>0.15</v>
      </c>
      <c r="M208" s="38">
        <f t="shared" si="163"/>
        <v>0.15</v>
      </c>
      <c r="N208" s="38">
        <f t="shared" si="163"/>
        <v>0.15</v>
      </c>
      <c r="O208" s="38">
        <f t="shared" si="163"/>
        <v>0.15</v>
      </c>
      <c r="P208" s="38">
        <f t="shared" si="163"/>
        <v>0.15</v>
      </c>
    </row>
    <row r="209" ht="15.75" customHeight="1">
      <c r="A209" s="1"/>
    </row>
    <row r="210" ht="15.75" customHeight="1">
      <c r="A210" s="121" t="s">
        <v>115</v>
      </c>
    </row>
    <row r="211" ht="15.75" customHeight="1">
      <c r="A211" s="29" t="s">
        <v>116</v>
      </c>
      <c r="B211" s="19">
        <f t="shared" ref="B211:P211" si="164">B36</f>
        <v>46988</v>
      </c>
      <c r="C211" s="19">
        <f t="shared" si="164"/>
        <v>77326</v>
      </c>
      <c r="D211" s="19">
        <f t="shared" si="164"/>
        <v>82118</v>
      </c>
      <c r="E211" s="19">
        <f t="shared" si="164"/>
        <v>74103</v>
      </c>
      <c r="F211" s="19">
        <f t="shared" si="164"/>
        <v>52359</v>
      </c>
      <c r="G211" s="19">
        <f t="shared" si="164"/>
        <v>49027</v>
      </c>
      <c r="H211" s="19">
        <f t="shared" si="164"/>
        <v>41924</v>
      </c>
      <c r="I211" s="19">
        <f t="shared" si="164"/>
        <v>83223</v>
      </c>
      <c r="J211" s="19">
        <f t="shared" si="164"/>
        <v>137551</v>
      </c>
      <c r="K211" s="19">
        <f t="shared" si="164"/>
        <v>170690.0114</v>
      </c>
      <c r="L211" s="19">
        <f t="shared" si="164"/>
        <v>198731.1173</v>
      </c>
      <c r="M211" s="19">
        <f t="shared" si="164"/>
        <v>232439.4196</v>
      </c>
      <c r="N211" s="19">
        <f t="shared" si="164"/>
        <v>272797.1261</v>
      </c>
      <c r="O211" s="19">
        <f t="shared" si="164"/>
        <v>320957.9775</v>
      </c>
      <c r="P211" s="19">
        <f t="shared" si="164"/>
        <v>378277.3508</v>
      </c>
    </row>
    <row r="212" ht="15.75" customHeight="1">
      <c r="A212" s="29" t="s">
        <v>117</v>
      </c>
      <c r="B212" s="19">
        <f t="shared" ref="B212:P212" si="165">B20</f>
        <v>28670</v>
      </c>
      <c r="C212" s="19">
        <f t="shared" si="165"/>
        <v>26039</v>
      </c>
      <c r="D212" s="19">
        <f t="shared" si="165"/>
        <v>27598</v>
      </c>
      <c r="E212" s="19">
        <f t="shared" si="165"/>
        <v>30208</v>
      </c>
      <c r="F212" s="19">
        <f t="shared" si="165"/>
        <v>35284</v>
      </c>
      <c r="G212" s="19">
        <f t="shared" si="165"/>
        <v>30341</v>
      </c>
      <c r="H212" s="19">
        <f t="shared" si="165"/>
        <v>27890</v>
      </c>
      <c r="I212" s="19">
        <f t="shared" si="165"/>
        <v>48460</v>
      </c>
      <c r="J212" s="19">
        <f t="shared" si="165"/>
        <v>52558</v>
      </c>
      <c r="K212" s="19">
        <f t="shared" si="165"/>
        <v>61200</v>
      </c>
      <c r="L212" s="19">
        <f t="shared" si="165"/>
        <v>68400</v>
      </c>
      <c r="M212" s="19">
        <f t="shared" si="165"/>
        <v>75600</v>
      </c>
      <c r="N212" s="19">
        <f t="shared" si="165"/>
        <v>82800</v>
      </c>
      <c r="O212" s="19">
        <f t="shared" si="165"/>
        <v>90000</v>
      </c>
      <c r="P212" s="19">
        <f t="shared" si="165"/>
        <v>97200</v>
      </c>
    </row>
    <row r="213" ht="15.75" customHeight="1">
      <c r="A213" s="29" t="s">
        <v>118</v>
      </c>
      <c r="B213" s="15">
        <v>0.0</v>
      </c>
      <c r="C213" s="15">
        <v>0.0</v>
      </c>
      <c r="D213" s="15">
        <v>0.0</v>
      </c>
      <c r="E213" s="15">
        <v>0.0</v>
      </c>
      <c r="F213" s="15">
        <v>0.0</v>
      </c>
      <c r="G213" s="15">
        <v>0.0</v>
      </c>
      <c r="H213" s="15">
        <v>0.0</v>
      </c>
      <c r="I213" s="15">
        <v>0.0</v>
      </c>
      <c r="J213" s="15">
        <v>0.0</v>
      </c>
      <c r="K213" s="19">
        <f t="shared" ref="K213:P213" si="166">K52-J52</f>
        <v>0</v>
      </c>
      <c r="L213" s="19">
        <f t="shared" si="166"/>
        <v>0</v>
      </c>
      <c r="M213" s="19">
        <f t="shared" si="166"/>
        <v>0</v>
      </c>
      <c r="N213" s="19">
        <f t="shared" si="166"/>
        <v>0</v>
      </c>
      <c r="O213" s="19">
        <f t="shared" si="166"/>
        <v>0</v>
      </c>
      <c r="P213" s="19">
        <f t="shared" si="166"/>
        <v>0</v>
      </c>
    </row>
    <row r="214" ht="15.75" customHeight="1">
      <c r="A214" s="29" t="s">
        <v>119</v>
      </c>
      <c r="B214" s="44" t="str">
        <f t="shared" ref="B214:P214" si="167">B194</f>
        <v/>
      </c>
      <c r="C214" s="19">
        <f t="shared" si="167"/>
        <v>-3297</v>
      </c>
      <c r="D214" s="19">
        <f t="shared" si="167"/>
        <v>-31302</v>
      </c>
      <c r="E214" s="19">
        <f t="shared" si="167"/>
        <v>56169</v>
      </c>
      <c r="F214" s="19">
        <f t="shared" si="167"/>
        <v>-9182</v>
      </c>
      <c r="G214" s="19">
        <f t="shared" si="167"/>
        <v>17298</v>
      </c>
      <c r="H214" s="19">
        <f t="shared" si="167"/>
        <v>-21083</v>
      </c>
      <c r="I214" s="19">
        <f t="shared" si="167"/>
        <v>-65737</v>
      </c>
      <c r="J214" s="19">
        <f t="shared" si="167"/>
        <v>37006</v>
      </c>
      <c r="K214" s="19">
        <f t="shared" si="167"/>
        <v>-62082.72448</v>
      </c>
      <c r="L214" s="19">
        <f t="shared" si="167"/>
        <v>-20800.16549</v>
      </c>
      <c r="M214" s="19">
        <f t="shared" si="167"/>
        <v>-24363.48712</v>
      </c>
      <c r="N214" s="19">
        <f t="shared" si="167"/>
        <v>-28544.38454</v>
      </c>
      <c r="O214" s="19">
        <f t="shared" si="167"/>
        <v>-33450.71097</v>
      </c>
      <c r="P214" s="19">
        <f t="shared" si="167"/>
        <v>-39209.2479</v>
      </c>
    </row>
    <row r="215" ht="15.75" customHeight="1">
      <c r="A215" s="29" t="s">
        <v>120</v>
      </c>
      <c r="B215" s="44" t="str">
        <f t="shared" ref="B215:P215" si="168">B205</f>
        <v/>
      </c>
      <c r="C215" s="44" t="str">
        <f t="shared" si="168"/>
        <v/>
      </c>
      <c r="D215" s="44" t="str">
        <f t="shared" si="168"/>
        <v/>
      </c>
      <c r="E215" s="44" t="str">
        <f t="shared" si="168"/>
        <v/>
      </c>
      <c r="F215" s="44" t="str">
        <f t="shared" si="168"/>
        <v/>
      </c>
      <c r="G215" s="44" t="str">
        <f t="shared" si="168"/>
        <v/>
      </c>
      <c r="H215" s="44" t="str">
        <f t="shared" si="168"/>
        <v/>
      </c>
      <c r="I215" s="44" t="str">
        <f t="shared" si="168"/>
        <v/>
      </c>
      <c r="J215" s="44" t="str">
        <f t="shared" si="168"/>
        <v/>
      </c>
      <c r="K215" s="44">
        <f t="shared" si="168"/>
        <v>100558</v>
      </c>
      <c r="L215" s="44">
        <f t="shared" si="168"/>
        <v>109200</v>
      </c>
      <c r="M215" s="44">
        <f t="shared" si="168"/>
        <v>116400</v>
      </c>
      <c r="N215" s="44">
        <f t="shared" si="168"/>
        <v>123600</v>
      </c>
      <c r="O215" s="44">
        <f t="shared" si="168"/>
        <v>130800</v>
      </c>
      <c r="P215" s="44">
        <f t="shared" si="168"/>
        <v>138000</v>
      </c>
    </row>
    <row r="216" ht="15.75" customHeight="1">
      <c r="A216" s="1"/>
    </row>
    <row r="217" ht="15.75" customHeight="1">
      <c r="A217" s="29" t="s">
        <v>121</v>
      </c>
      <c r="B217" s="196"/>
      <c r="C217" s="196"/>
      <c r="D217" s="196"/>
      <c r="E217" s="196"/>
      <c r="F217" s="196"/>
      <c r="G217" s="196"/>
      <c r="H217" s="196"/>
      <c r="I217" s="196"/>
      <c r="J217" s="196"/>
      <c r="K217" s="19">
        <f t="shared" ref="K217:P217" si="169">J219</f>
        <v>28274</v>
      </c>
      <c r="L217" s="19">
        <f t="shared" si="169"/>
        <v>221688.7359</v>
      </c>
      <c r="M217" s="19">
        <f t="shared" si="169"/>
        <v>400420.0187</v>
      </c>
      <c r="N217" s="19">
        <f t="shared" si="169"/>
        <v>616422.9254</v>
      </c>
      <c r="O217" s="19">
        <f t="shared" si="169"/>
        <v>876964.436</v>
      </c>
      <c r="P217" s="19">
        <f t="shared" si="169"/>
        <v>1190573.125</v>
      </c>
    </row>
    <row r="218" ht="15.75" customHeight="1">
      <c r="A218" s="29" t="s">
        <v>122</v>
      </c>
      <c r="B218" s="196"/>
      <c r="C218" s="196"/>
      <c r="D218" s="196"/>
      <c r="E218" s="196"/>
      <c r="F218" s="196"/>
      <c r="G218" s="196"/>
      <c r="H218" s="196"/>
      <c r="I218" s="196"/>
      <c r="J218" s="196"/>
      <c r="K218" s="19">
        <f t="shared" ref="K218:P218" si="170">K211+K212+K213-K214-K215</f>
        <v>193414.7359</v>
      </c>
      <c r="L218" s="19">
        <f t="shared" si="170"/>
        <v>178731.2828</v>
      </c>
      <c r="M218" s="19">
        <f t="shared" si="170"/>
        <v>216002.9067</v>
      </c>
      <c r="N218" s="19">
        <f t="shared" si="170"/>
        <v>260541.5106</v>
      </c>
      <c r="O218" s="19">
        <f t="shared" si="170"/>
        <v>313608.6885</v>
      </c>
      <c r="P218" s="19">
        <f t="shared" si="170"/>
        <v>376686.5987</v>
      </c>
      <c r="Q218" s="19">
        <f t="shared" ref="Q218:V218" si="171">P218*(1+Q220)</f>
        <v>443034.565</v>
      </c>
      <c r="R218" s="19">
        <f t="shared" si="171"/>
        <v>509992.9142</v>
      </c>
      <c r="S218" s="19">
        <f t="shared" si="171"/>
        <v>574321.239</v>
      </c>
      <c r="T218" s="19">
        <f t="shared" si="171"/>
        <v>632405.6326</v>
      </c>
      <c r="U218" s="19">
        <f t="shared" si="171"/>
        <v>680554.2925</v>
      </c>
      <c r="V218" s="19">
        <f t="shared" si="171"/>
        <v>715354.9281</v>
      </c>
      <c r="W218" s="19">
        <f>V218*(1+W220)/(B225-W220)</f>
        <v>14593240.53</v>
      </c>
    </row>
    <row r="219" ht="15.75" customHeight="1">
      <c r="A219" s="121" t="s">
        <v>123</v>
      </c>
      <c r="B219" s="204"/>
      <c r="C219" s="204"/>
      <c r="D219" s="204"/>
      <c r="E219" s="204"/>
      <c r="F219" s="204"/>
      <c r="G219" s="204"/>
      <c r="H219" s="204"/>
      <c r="I219" s="204"/>
      <c r="J219" s="197">
        <f>J87</f>
        <v>28274</v>
      </c>
      <c r="K219" s="27">
        <f t="shared" ref="K219:P219" si="172">SUM(K217:K218)</f>
        <v>221688.7359</v>
      </c>
      <c r="L219" s="27">
        <f t="shared" si="172"/>
        <v>400420.0187</v>
      </c>
      <c r="M219" s="27">
        <f t="shared" si="172"/>
        <v>616422.9254</v>
      </c>
      <c r="N219" s="27">
        <f t="shared" si="172"/>
        <v>876964.436</v>
      </c>
      <c r="O219" s="27">
        <f t="shared" si="172"/>
        <v>1190573.125</v>
      </c>
      <c r="P219" s="27">
        <f t="shared" si="172"/>
        <v>1567259.723</v>
      </c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ht="15.75" customHeight="1">
      <c r="A220" s="29" t="s">
        <v>124</v>
      </c>
      <c r="B220" s="196"/>
      <c r="C220" s="196"/>
      <c r="D220" s="196"/>
      <c r="E220" s="196"/>
      <c r="F220" s="196"/>
      <c r="G220" s="196"/>
      <c r="H220" s="196"/>
      <c r="I220" s="196"/>
      <c r="J220" s="196"/>
      <c r="L220" s="35">
        <f t="shared" ref="L220:P220" si="173">L218/K218-1</f>
        <v>-0.07591693042</v>
      </c>
      <c r="M220" s="35">
        <f t="shared" si="173"/>
        <v>0.208534417</v>
      </c>
      <c r="N220" s="35">
        <f t="shared" si="173"/>
        <v>0.2061944659</v>
      </c>
      <c r="O220" s="35">
        <f t="shared" si="173"/>
        <v>0.2036803185</v>
      </c>
      <c r="P220" s="35">
        <f t="shared" si="173"/>
        <v>0.2011357227</v>
      </c>
      <c r="Q220" s="35">
        <f t="shared" ref="Q220:V220" si="174">P220-$B$224</f>
        <v>0.1761357227</v>
      </c>
      <c r="R220" s="35">
        <f t="shared" si="174"/>
        <v>0.1511357227</v>
      </c>
      <c r="S220" s="35">
        <f t="shared" si="174"/>
        <v>0.1261357227</v>
      </c>
      <c r="T220" s="35">
        <f t="shared" si="174"/>
        <v>0.1011357227</v>
      </c>
      <c r="U220" s="35">
        <f t="shared" si="174"/>
        <v>0.07613572271</v>
      </c>
      <c r="V220" s="35">
        <f t="shared" si="174"/>
        <v>0.05113572271</v>
      </c>
      <c r="W220" s="35">
        <f>B223</f>
        <v>0.02</v>
      </c>
    </row>
    <row r="221" ht="15.75" customHeight="1">
      <c r="A221" s="1"/>
    </row>
    <row r="222" ht="15.75" customHeight="1">
      <c r="A222" s="1"/>
    </row>
    <row r="223" ht="15.75" customHeight="1">
      <c r="A223" s="29" t="s">
        <v>125</v>
      </c>
      <c r="B223" s="37">
        <v>0.02</v>
      </c>
    </row>
    <row r="224" ht="15.75" customHeight="1">
      <c r="A224" s="29" t="s">
        <v>126</v>
      </c>
      <c r="B224" s="37">
        <v>0.025</v>
      </c>
    </row>
    <row r="225" ht="15.75" customHeight="1">
      <c r="A225" s="29" t="s">
        <v>127</v>
      </c>
      <c r="B225" s="35">
        <f>SUM(B226:B227)</f>
        <v>0.07</v>
      </c>
    </row>
    <row r="226" ht="15.75" customHeight="1">
      <c r="A226" s="29" t="s">
        <v>128</v>
      </c>
      <c r="B226" s="37">
        <v>0.07</v>
      </c>
    </row>
    <row r="227" ht="15.75" customHeight="1">
      <c r="A227" s="29" t="s">
        <v>129</v>
      </c>
      <c r="B227" s="35">
        <f>(12%-7%)*B228</f>
        <v>0</v>
      </c>
    </row>
    <row r="228" ht="15.75" customHeight="1">
      <c r="A228" s="29" t="s">
        <v>130</v>
      </c>
      <c r="B228" s="124">
        <v>0.0</v>
      </c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>
      <c r="A403" s="1"/>
    </row>
    <row r="404" ht="15.75" customHeight="1">
      <c r="A404" s="1"/>
    </row>
    <row r="405" ht="15.75" customHeight="1">
      <c r="A405" s="1"/>
    </row>
    <row r="406" ht="15.75" customHeight="1">
      <c r="A406" s="1"/>
    </row>
    <row r="407" ht="15.75" customHeight="1">
      <c r="A407" s="1"/>
    </row>
    <row r="408" ht="15.75" customHeight="1">
      <c r="A408" s="1"/>
    </row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 outlineLevelRow="2"/>
  <cols>
    <col customWidth="1" min="1" max="1" width="2.5"/>
    <col customWidth="1" min="2" max="2" width="37.63"/>
    <col customWidth="1" min="3" max="7" width="12.63"/>
  </cols>
  <sheetData>
    <row r="1" ht="15.75" customHeight="1">
      <c r="A1" s="1"/>
      <c r="B1" s="1"/>
      <c r="C1" s="2">
        <v>2016.0</v>
      </c>
      <c r="D1" s="2">
        <f t="shared" ref="D1:Q1" si="1">C1+1</f>
        <v>2017</v>
      </c>
      <c r="E1" s="2">
        <f t="shared" si="1"/>
        <v>2018</v>
      </c>
      <c r="F1" s="2">
        <f t="shared" si="1"/>
        <v>2019</v>
      </c>
      <c r="G1" s="2">
        <f t="shared" si="1"/>
        <v>2020</v>
      </c>
      <c r="H1" s="2">
        <f t="shared" si="1"/>
        <v>2021</v>
      </c>
      <c r="I1" s="2">
        <f t="shared" si="1"/>
        <v>2022</v>
      </c>
      <c r="J1" s="2">
        <f t="shared" si="1"/>
        <v>2023</v>
      </c>
      <c r="K1" s="2">
        <f t="shared" si="1"/>
        <v>2024</v>
      </c>
      <c r="L1" s="205">
        <f t="shared" si="1"/>
        <v>2025</v>
      </c>
      <c r="M1" s="3">
        <f t="shared" si="1"/>
        <v>2026</v>
      </c>
      <c r="N1" s="3">
        <f t="shared" si="1"/>
        <v>2027</v>
      </c>
      <c r="O1" s="3">
        <f t="shared" si="1"/>
        <v>2028</v>
      </c>
      <c r="P1" s="3">
        <f t="shared" si="1"/>
        <v>2029</v>
      </c>
      <c r="Q1" s="3">
        <f t="shared" si="1"/>
        <v>2030</v>
      </c>
    </row>
    <row r="2" ht="15.75" customHeight="1" collapsed="1">
      <c r="A2" s="121" t="s">
        <v>207</v>
      </c>
      <c r="B2" s="4" t="s">
        <v>0</v>
      </c>
      <c r="C2" s="5"/>
      <c r="D2" s="5"/>
      <c r="E2" s="5"/>
      <c r="F2" s="5"/>
      <c r="G2" s="5"/>
      <c r="H2" s="5"/>
      <c r="I2" s="5"/>
      <c r="J2" s="5"/>
    </row>
    <row r="3" ht="15.75" hidden="1" customHeight="1" outlineLevel="1">
      <c r="A3" s="1"/>
      <c r="B3" s="1" t="s">
        <v>1</v>
      </c>
      <c r="C3" s="6">
        <f>646759-76144</f>
        <v>570615</v>
      </c>
      <c r="D3" s="6">
        <f>773164-92314</f>
        <v>680850</v>
      </c>
      <c r="E3" s="6">
        <f>820411-22317</f>
        <v>798094</v>
      </c>
      <c r="F3" s="6">
        <v>860685.0</v>
      </c>
      <c r="G3" s="6">
        <v>756600.0</v>
      </c>
      <c r="H3" s="6">
        <v>703720.0</v>
      </c>
      <c r="I3" s="6">
        <v>883298.0</v>
      </c>
      <c r="J3" s="6">
        <v>1184099.0</v>
      </c>
      <c r="K3" s="6">
        <v>1418582.0</v>
      </c>
      <c r="L3" s="19">
        <f t="shared" ref="L3:Q3" si="2">(L99*L120)/(10^6)</f>
        <v>1745621.281</v>
      </c>
      <c r="M3" s="19">
        <f t="shared" si="2"/>
        <v>2039535.594</v>
      </c>
      <c r="N3" s="19">
        <f t="shared" si="2"/>
        <v>2383801.008</v>
      </c>
      <c r="O3" s="19">
        <f t="shared" si="2"/>
        <v>2787144.105</v>
      </c>
      <c r="P3" s="19">
        <f t="shared" si="2"/>
        <v>3259815.476</v>
      </c>
      <c r="Q3" s="19">
        <f t="shared" si="2"/>
        <v>3813857.181</v>
      </c>
    </row>
    <row r="4" ht="15.75" hidden="1" customHeight="1" outlineLevel="1">
      <c r="A4" s="1"/>
      <c r="B4" s="1" t="s">
        <v>2</v>
      </c>
      <c r="C4" s="6">
        <v>15505.0</v>
      </c>
      <c r="D4" s="6">
        <v>22896.0</v>
      </c>
      <c r="E4" s="6">
        <v>20458.0</v>
      </c>
      <c r="F4" s="6">
        <v>25616.0</v>
      </c>
      <c r="G4" s="6">
        <v>33344.0</v>
      </c>
      <c r="H4" s="6">
        <v>29363.0</v>
      </c>
      <c r="I4" s="6">
        <v>17447.0</v>
      </c>
      <c r="J4" s="6">
        <v>22647.0</v>
      </c>
      <c r="K4" s="6">
        <v>40935.0</v>
      </c>
      <c r="L4" s="206">
        <v>20000.0</v>
      </c>
      <c r="M4" s="207">
        <f t="shared" ref="M4:Q4" si="3">L4</f>
        <v>20000</v>
      </c>
      <c r="N4" s="207">
        <f t="shared" si="3"/>
        <v>20000</v>
      </c>
      <c r="O4" s="207">
        <f t="shared" si="3"/>
        <v>20000</v>
      </c>
      <c r="P4" s="207">
        <f t="shared" si="3"/>
        <v>20000</v>
      </c>
      <c r="Q4" s="207">
        <f t="shared" si="3"/>
        <v>20000</v>
      </c>
    </row>
    <row r="5" ht="15.75" hidden="1" customHeight="1" outlineLevel="1">
      <c r="A5" s="1"/>
      <c r="B5" s="7"/>
    </row>
    <row r="6" ht="15.75" hidden="1" customHeight="1" outlineLevel="1">
      <c r="A6" s="121"/>
      <c r="B6" s="8" t="s">
        <v>3</v>
      </c>
      <c r="C6" s="9">
        <f t="shared" ref="C6:Q6" si="4">SUM(C3:C4)</f>
        <v>586120</v>
      </c>
      <c r="D6" s="9">
        <f t="shared" si="4"/>
        <v>703746</v>
      </c>
      <c r="E6" s="9">
        <f t="shared" si="4"/>
        <v>818552</v>
      </c>
      <c r="F6" s="9">
        <f t="shared" si="4"/>
        <v>886301</v>
      </c>
      <c r="G6" s="9">
        <f t="shared" si="4"/>
        <v>789944</v>
      </c>
      <c r="H6" s="9">
        <f t="shared" si="4"/>
        <v>733083</v>
      </c>
      <c r="I6" s="9">
        <f t="shared" si="4"/>
        <v>900745</v>
      </c>
      <c r="J6" s="9">
        <f t="shared" si="4"/>
        <v>1206746</v>
      </c>
      <c r="K6" s="9">
        <f t="shared" si="4"/>
        <v>1459517</v>
      </c>
      <c r="L6" s="9">
        <f t="shared" si="4"/>
        <v>1765621.281</v>
      </c>
      <c r="M6" s="9">
        <f t="shared" si="4"/>
        <v>2059535.594</v>
      </c>
      <c r="N6" s="9">
        <f t="shared" si="4"/>
        <v>2403801.008</v>
      </c>
      <c r="O6" s="9">
        <f t="shared" si="4"/>
        <v>2807144.105</v>
      </c>
      <c r="P6" s="9">
        <f t="shared" si="4"/>
        <v>3279815.476</v>
      </c>
      <c r="Q6" s="9">
        <f t="shared" si="4"/>
        <v>3833857.181</v>
      </c>
    </row>
    <row r="7" ht="15.75" hidden="1" customHeight="1" outlineLevel="1">
      <c r="A7" s="1"/>
      <c r="B7" s="7"/>
    </row>
    <row r="8" ht="15.75" hidden="1" customHeight="1" outlineLevel="1">
      <c r="A8" s="18"/>
      <c r="B8" s="4" t="s">
        <v>4</v>
      </c>
    </row>
    <row r="9" ht="15.75" hidden="1" customHeight="1" outlineLevel="1">
      <c r="A9" s="1"/>
      <c r="B9" s="1" t="s">
        <v>5</v>
      </c>
      <c r="C9" s="6">
        <v>362007.0</v>
      </c>
      <c r="D9" s="6">
        <v>426279.0</v>
      </c>
      <c r="E9" s="6">
        <v>449432.0</v>
      </c>
      <c r="F9" s="6">
        <v>450257.0</v>
      </c>
      <c r="G9" s="6">
        <v>346348.0</v>
      </c>
      <c r="H9" s="6">
        <v>332964.0</v>
      </c>
      <c r="I9" s="6">
        <v>397396.0</v>
      </c>
      <c r="J9" s="6">
        <v>733522.0</v>
      </c>
      <c r="K9" s="6">
        <v>789153.0</v>
      </c>
      <c r="L9" s="19">
        <f t="shared" ref="L9:Q9" si="5">L$3*L125</f>
        <v>1047372.768</v>
      </c>
      <c r="M9" s="19">
        <f t="shared" si="5"/>
        <v>1223721.356</v>
      </c>
      <c r="N9" s="19">
        <f t="shared" si="5"/>
        <v>1430280.605</v>
      </c>
      <c r="O9" s="19">
        <f t="shared" si="5"/>
        <v>1672286.463</v>
      </c>
      <c r="P9" s="19">
        <f t="shared" si="5"/>
        <v>1955889.286</v>
      </c>
      <c r="Q9" s="19">
        <f t="shared" si="5"/>
        <v>2288314.309</v>
      </c>
    </row>
    <row r="10" ht="15.75" hidden="1" customHeight="1" outlineLevel="1">
      <c r="A10" s="1"/>
      <c r="B10" s="1" t="s">
        <v>6</v>
      </c>
      <c r="C10" s="6">
        <v>31715.0</v>
      </c>
      <c r="D10" s="6">
        <v>44936.0</v>
      </c>
      <c r="E10" s="6">
        <v>100021.0</v>
      </c>
      <c r="F10" s="6">
        <v>143209.0</v>
      </c>
      <c r="G10" s="6">
        <v>187672.0</v>
      </c>
      <c r="H10" s="6">
        <v>172541.0</v>
      </c>
      <c r="I10" s="6">
        <v>263975.0</v>
      </c>
      <c r="J10" s="6">
        <v>127147.0</v>
      </c>
      <c r="K10" s="6">
        <v>212042.0</v>
      </c>
      <c r="L10" s="19">
        <f t="shared" ref="L10:Q10" si="6">L$3*L126</f>
        <v>139649.7024</v>
      </c>
      <c r="M10" s="19">
        <f t="shared" si="6"/>
        <v>163162.8475</v>
      </c>
      <c r="N10" s="19">
        <f t="shared" si="6"/>
        <v>190704.0806</v>
      </c>
      <c r="O10" s="19">
        <f t="shared" si="6"/>
        <v>222971.5284</v>
      </c>
      <c r="P10" s="19">
        <f t="shared" si="6"/>
        <v>260785.2381</v>
      </c>
      <c r="Q10" s="19">
        <f t="shared" si="6"/>
        <v>305108.5745</v>
      </c>
    </row>
    <row r="11" ht="15.75" hidden="1" customHeight="1" outlineLevel="1">
      <c r="A11" s="1"/>
      <c r="B11" s="1" t="s">
        <v>8</v>
      </c>
      <c r="C11" s="6">
        <v>63.0</v>
      </c>
      <c r="D11" s="6">
        <v>-3793.0</v>
      </c>
      <c r="E11" s="6">
        <v>408.0</v>
      </c>
      <c r="F11" s="6">
        <v>2116.0</v>
      </c>
      <c r="G11" s="6">
        <v>-2387.0</v>
      </c>
      <c r="H11" s="6">
        <v>2736.0</v>
      </c>
      <c r="I11" s="6">
        <v>-931.0</v>
      </c>
      <c r="J11" s="6">
        <v>-5805.0</v>
      </c>
      <c r="K11" s="6">
        <v>-3786.0</v>
      </c>
      <c r="L11" s="19">
        <f t="shared" ref="L11:Q11" si="7">L$3*L127</f>
        <v>-4658.822802</v>
      </c>
      <c r="M11" s="19">
        <f t="shared" si="7"/>
        <v>-5443.239628</v>
      </c>
      <c r="N11" s="19">
        <f t="shared" si="7"/>
        <v>-6362.036607</v>
      </c>
      <c r="O11" s="19">
        <f t="shared" si="7"/>
        <v>-7438.503788</v>
      </c>
      <c r="P11" s="19">
        <f t="shared" si="7"/>
        <v>-8699.998584</v>
      </c>
      <c r="Q11" s="19">
        <f t="shared" si="7"/>
        <v>-10178.6596</v>
      </c>
    </row>
    <row r="12" ht="15.75" hidden="1" customHeight="1" outlineLevel="1">
      <c r="A12" s="1"/>
      <c r="B12" s="1" t="s">
        <v>10</v>
      </c>
      <c r="C12" s="6">
        <v>20602.0</v>
      </c>
      <c r="D12" s="6">
        <v>23603.0</v>
      </c>
      <c r="E12" s="6">
        <v>28634.0</v>
      </c>
      <c r="F12" s="6">
        <v>32850.0</v>
      </c>
      <c r="G12" s="6">
        <v>34162.0</v>
      </c>
      <c r="H12" s="6">
        <v>34316.0</v>
      </c>
      <c r="I12" s="6">
        <v>40514.0</v>
      </c>
      <c r="J12" s="6">
        <v>53085.0</v>
      </c>
      <c r="K12" s="6">
        <v>63016.0</v>
      </c>
      <c r="L12" s="19">
        <f t="shared" ref="L12:Q12" si="8">L$3*L128</f>
        <v>69824.85122</v>
      </c>
      <c r="M12" s="19">
        <f t="shared" si="8"/>
        <v>81581.42375</v>
      </c>
      <c r="N12" s="19">
        <f t="shared" si="8"/>
        <v>95352.0403</v>
      </c>
      <c r="O12" s="19">
        <f t="shared" si="8"/>
        <v>111485.7642</v>
      </c>
      <c r="P12" s="19">
        <f t="shared" si="8"/>
        <v>130392.619</v>
      </c>
      <c r="Q12" s="19">
        <f t="shared" si="8"/>
        <v>152554.2873</v>
      </c>
    </row>
    <row r="13" ht="15.75" hidden="1" customHeight="1" outlineLevel="1">
      <c r="A13" s="1"/>
      <c r="B13" s="1" t="s">
        <v>12</v>
      </c>
      <c r="C13" s="6">
        <v>81147.0</v>
      </c>
      <c r="D13" s="6">
        <v>87280.0</v>
      </c>
      <c r="E13" s="6">
        <v>99956.0</v>
      </c>
      <c r="F13" s="6">
        <v>123442.0</v>
      </c>
      <c r="G13" s="6">
        <v>118896.0</v>
      </c>
      <c r="H13" s="6">
        <v>108375.0</v>
      </c>
      <c r="I13" s="6">
        <v>126727.0</v>
      </c>
      <c r="J13" s="6">
        <v>146771.0</v>
      </c>
      <c r="K13" s="6">
        <v>175501.0</v>
      </c>
      <c r="L13" s="19">
        <f t="shared" ref="L13:Q13" si="9">L$3*L129</f>
        <v>215960.9246</v>
      </c>
      <c r="M13" s="19">
        <f t="shared" si="9"/>
        <v>252322.7675</v>
      </c>
      <c r="N13" s="19">
        <f t="shared" si="9"/>
        <v>294913.8369</v>
      </c>
      <c r="O13" s="19">
        <f t="shared" si="9"/>
        <v>344813.7489</v>
      </c>
      <c r="P13" s="19">
        <f t="shared" si="9"/>
        <v>403290.6634</v>
      </c>
      <c r="Q13" s="19">
        <f t="shared" si="9"/>
        <v>471834.3735</v>
      </c>
    </row>
    <row r="14" ht="15.75" hidden="1" customHeight="1" outlineLevel="1">
      <c r="A14" s="1"/>
      <c r="B14" s="1" t="s">
        <v>13</v>
      </c>
      <c r="C14" s="6">
        <v>-602.0</v>
      </c>
      <c r="D14" s="6">
        <v>-1036.0</v>
      </c>
      <c r="E14" s="6">
        <v>-991.0</v>
      </c>
      <c r="F14" s="6">
        <v>-1221.0</v>
      </c>
      <c r="G14" s="6">
        <v>-1217.0</v>
      </c>
      <c r="H14" s="6">
        <v>-728.0</v>
      </c>
      <c r="I14" s="6">
        <v>-1445.0</v>
      </c>
      <c r="J14" s="6">
        <v>-1565.0</v>
      </c>
      <c r="K14" s="6">
        <v>-2607.0</v>
      </c>
      <c r="L14" s="19">
        <f t="shared" ref="L14:Q14" si="10">L$3*L130</f>
        <v>-3208.016652</v>
      </c>
      <c r="M14" s="19">
        <f t="shared" si="10"/>
        <v>-3748.157874</v>
      </c>
      <c r="N14" s="19">
        <f t="shared" si="10"/>
        <v>-4380.831864</v>
      </c>
      <c r="O14" s="19">
        <f t="shared" si="10"/>
        <v>-5122.075905</v>
      </c>
      <c r="P14" s="19">
        <f t="shared" si="10"/>
        <v>-5990.728027</v>
      </c>
      <c r="Q14" s="19">
        <f t="shared" si="10"/>
        <v>-7008.918534</v>
      </c>
    </row>
    <row r="15" ht="15.75" hidden="1" customHeight="1" outlineLevel="1">
      <c r="A15" s="1"/>
      <c r="B15" s="7"/>
    </row>
    <row r="16" ht="15.75" hidden="1" customHeight="1" outlineLevel="1">
      <c r="A16" s="121"/>
      <c r="B16" s="45" t="s">
        <v>208</v>
      </c>
      <c r="C16" s="9">
        <f t="shared" ref="C16:Q16" si="11">SUM(C9:C14)</f>
        <v>494932</v>
      </c>
      <c r="D16" s="9">
        <f t="shared" si="11"/>
        <v>577269</v>
      </c>
      <c r="E16" s="9">
        <f t="shared" si="11"/>
        <v>677460</v>
      </c>
      <c r="F16" s="9">
        <f t="shared" si="11"/>
        <v>750653</v>
      </c>
      <c r="G16" s="9">
        <f t="shared" si="11"/>
        <v>683474</v>
      </c>
      <c r="H16" s="9">
        <f t="shared" si="11"/>
        <v>650204</v>
      </c>
      <c r="I16" s="9">
        <f t="shared" si="11"/>
        <v>826236</v>
      </c>
      <c r="J16" s="9">
        <f t="shared" si="11"/>
        <v>1053155</v>
      </c>
      <c r="K16" s="9">
        <f t="shared" si="11"/>
        <v>1233319</v>
      </c>
      <c r="L16" s="9">
        <f t="shared" si="11"/>
        <v>1464941.407</v>
      </c>
      <c r="M16" s="9">
        <f t="shared" si="11"/>
        <v>1711596.997</v>
      </c>
      <c r="N16" s="9">
        <f t="shared" si="11"/>
        <v>2000507.694</v>
      </c>
      <c r="O16" s="9">
        <f t="shared" si="11"/>
        <v>2338996.925</v>
      </c>
      <c r="P16" s="9">
        <f t="shared" si="11"/>
        <v>2735667.079</v>
      </c>
      <c r="Q16" s="9">
        <f t="shared" si="11"/>
        <v>3200623.966</v>
      </c>
      <c r="R16" s="34"/>
      <c r="S16" s="34"/>
      <c r="T16" s="34"/>
      <c r="U16" s="34"/>
      <c r="V16" s="34"/>
      <c r="W16" s="34"/>
      <c r="X16" s="34"/>
      <c r="Y16" s="34"/>
      <c r="Z16" s="34"/>
      <c r="AA16" s="34"/>
    </row>
    <row r="17" ht="15.75" hidden="1" customHeight="1" outlineLevel="1">
      <c r="A17" s="1"/>
      <c r="B17" s="7"/>
    </row>
    <row r="18" ht="15.75" hidden="1" customHeight="1" outlineLevel="1">
      <c r="A18" s="18"/>
      <c r="B18" s="113" t="s">
        <v>209</v>
      </c>
      <c r="C18" s="23">
        <f t="shared" ref="C18:Q18" si="12">C6-C16</f>
        <v>91188</v>
      </c>
      <c r="D18" s="23">
        <f t="shared" si="12"/>
        <v>126477</v>
      </c>
      <c r="E18" s="23">
        <f t="shared" si="12"/>
        <v>141092</v>
      </c>
      <c r="F18" s="23">
        <f t="shared" si="12"/>
        <v>135648</v>
      </c>
      <c r="G18" s="23">
        <f t="shared" si="12"/>
        <v>106470</v>
      </c>
      <c r="H18" s="23">
        <f t="shared" si="12"/>
        <v>82879</v>
      </c>
      <c r="I18" s="23">
        <f t="shared" si="12"/>
        <v>74509</v>
      </c>
      <c r="J18" s="23">
        <f t="shared" si="12"/>
        <v>153591</v>
      </c>
      <c r="K18" s="23">
        <f t="shared" si="12"/>
        <v>226198</v>
      </c>
      <c r="L18" s="23">
        <f t="shared" si="12"/>
        <v>300679.8734</v>
      </c>
      <c r="M18" s="23">
        <f t="shared" si="12"/>
        <v>347938.5962</v>
      </c>
      <c r="N18" s="23">
        <f t="shared" si="12"/>
        <v>403293.3137</v>
      </c>
      <c r="O18" s="23">
        <f t="shared" si="12"/>
        <v>468147.1802</v>
      </c>
      <c r="P18" s="23">
        <f t="shared" si="12"/>
        <v>544148.3965</v>
      </c>
      <c r="Q18" s="23">
        <f t="shared" si="12"/>
        <v>633233.2155</v>
      </c>
      <c r="R18" s="34"/>
      <c r="S18" s="34"/>
      <c r="T18" s="34"/>
      <c r="U18" s="34"/>
      <c r="V18" s="34"/>
      <c r="W18" s="34"/>
      <c r="X18" s="34"/>
      <c r="Y18" s="34"/>
      <c r="Z18" s="34"/>
      <c r="AA18" s="34"/>
    </row>
    <row r="19" ht="15.75" hidden="1" customHeight="1" outlineLevel="1">
      <c r="A19" s="1"/>
      <c r="B19" s="7"/>
    </row>
    <row r="20" ht="15.75" hidden="1" customHeight="1" outlineLevel="1">
      <c r="A20" s="1"/>
      <c r="B20" s="1" t="s">
        <v>16</v>
      </c>
      <c r="C20" s="6">
        <v>28670.0</v>
      </c>
      <c r="D20" s="6">
        <v>26039.0</v>
      </c>
      <c r="E20" s="6">
        <v>27598.0</v>
      </c>
      <c r="F20" s="6">
        <v>30208.0</v>
      </c>
      <c r="G20" s="6">
        <v>35284.0</v>
      </c>
      <c r="H20" s="6">
        <v>30341.0</v>
      </c>
      <c r="I20" s="6">
        <v>27890.0</v>
      </c>
      <c r="J20" s="6">
        <v>48460.0</v>
      </c>
      <c r="K20" s="6">
        <v>52558.0</v>
      </c>
      <c r="L20" s="208"/>
      <c r="M20" s="208"/>
      <c r="N20" s="208"/>
      <c r="O20" s="208"/>
      <c r="P20" s="208"/>
      <c r="Q20" s="208"/>
    </row>
    <row r="21" ht="15.75" hidden="1" customHeight="1" outlineLevel="1">
      <c r="A21" s="1"/>
      <c r="B21" s="7"/>
    </row>
    <row r="22" ht="15.75" hidden="1" customHeight="1" outlineLevel="1">
      <c r="A22" s="18"/>
      <c r="B22" s="4" t="s">
        <v>18</v>
      </c>
      <c r="C22" s="23">
        <f t="shared" ref="C22:Q22" si="13">C18-C20</f>
        <v>62518</v>
      </c>
      <c r="D22" s="23">
        <f t="shared" si="13"/>
        <v>100438</v>
      </c>
      <c r="E22" s="23">
        <f t="shared" si="13"/>
        <v>113494</v>
      </c>
      <c r="F22" s="23">
        <f t="shared" si="13"/>
        <v>105440</v>
      </c>
      <c r="G22" s="23">
        <f t="shared" si="13"/>
        <v>71186</v>
      </c>
      <c r="H22" s="23">
        <f t="shared" si="13"/>
        <v>52538</v>
      </c>
      <c r="I22" s="23">
        <f t="shared" si="13"/>
        <v>46619</v>
      </c>
      <c r="J22" s="23">
        <f t="shared" si="13"/>
        <v>105131</v>
      </c>
      <c r="K22" s="23">
        <f t="shared" si="13"/>
        <v>173640</v>
      </c>
      <c r="L22" s="23">
        <f t="shared" si="13"/>
        <v>300679.8734</v>
      </c>
      <c r="M22" s="23">
        <f t="shared" si="13"/>
        <v>347938.5962</v>
      </c>
      <c r="N22" s="23">
        <f t="shared" si="13"/>
        <v>403293.3137</v>
      </c>
      <c r="O22" s="23">
        <f t="shared" si="13"/>
        <v>468147.1802</v>
      </c>
      <c r="P22" s="23">
        <f t="shared" si="13"/>
        <v>544148.3965</v>
      </c>
      <c r="Q22" s="23">
        <f t="shared" si="13"/>
        <v>633233.2155</v>
      </c>
      <c r="R22" s="34"/>
      <c r="S22" s="34"/>
      <c r="T22" s="34"/>
      <c r="U22" s="34"/>
      <c r="V22" s="34"/>
      <c r="W22" s="34"/>
      <c r="X22" s="34"/>
      <c r="Y22" s="34"/>
      <c r="Z22" s="34"/>
      <c r="AA22" s="34"/>
    </row>
    <row r="23" ht="15.75" hidden="1" customHeight="1" outlineLevel="1">
      <c r="A23" s="1"/>
      <c r="B23" s="7"/>
    </row>
    <row r="24" ht="15.75" hidden="1" customHeight="1" outlineLevel="1">
      <c r="A24" s="1"/>
      <c r="B24" s="1" t="s">
        <v>19</v>
      </c>
      <c r="C24" s="6">
        <v>937.0</v>
      </c>
      <c r="D24" s="6">
        <v>894.0</v>
      </c>
      <c r="E24" s="6">
        <v>3458.0</v>
      </c>
      <c r="F24" s="6">
        <v>759.0</v>
      </c>
      <c r="G24" s="6">
        <v>1342.0</v>
      </c>
      <c r="H24" s="6">
        <v>1018.0</v>
      </c>
      <c r="I24" s="6">
        <v>1266.0</v>
      </c>
      <c r="J24" s="6">
        <v>2523.0</v>
      </c>
      <c r="K24" s="6">
        <v>1936.0</v>
      </c>
      <c r="L24" s="206">
        <v>1936.0</v>
      </c>
      <c r="M24" s="21">
        <f t="shared" ref="M24:Q24" si="14">L24</f>
        <v>1936</v>
      </c>
      <c r="N24" s="21">
        <f t="shared" si="14"/>
        <v>1936</v>
      </c>
      <c r="O24" s="21">
        <f t="shared" si="14"/>
        <v>1936</v>
      </c>
      <c r="P24" s="21">
        <f t="shared" si="14"/>
        <v>1936</v>
      </c>
      <c r="Q24" s="21">
        <f t="shared" si="14"/>
        <v>1936</v>
      </c>
    </row>
    <row r="25" ht="15.75" hidden="1" customHeight="1" outlineLevel="1">
      <c r="A25" s="1"/>
      <c r="B25" s="7"/>
    </row>
    <row r="26" ht="15.75" hidden="1" customHeight="1" outlineLevel="1">
      <c r="A26" s="1"/>
      <c r="B26" s="7" t="s">
        <v>23</v>
      </c>
      <c r="C26" s="6">
        <f t="shared" ref="C26:Q26" si="15">C22-C24</f>
        <v>61581</v>
      </c>
      <c r="D26" s="6">
        <f t="shared" si="15"/>
        <v>99544</v>
      </c>
      <c r="E26" s="6">
        <f t="shared" si="15"/>
        <v>110036</v>
      </c>
      <c r="F26" s="6">
        <f t="shared" si="15"/>
        <v>104681</v>
      </c>
      <c r="G26" s="6">
        <f t="shared" si="15"/>
        <v>69844</v>
      </c>
      <c r="H26" s="6">
        <f t="shared" si="15"/>
        <v>51520</v>
      </c>
      <c r="I26" s="6">
        <f t="shared" si="15"/>
        <v>45353</v>
      </c>
      <c r="J26" s="6">
        <f t="shared" si="15"/>
        <v>102608</v>
      </c>
      <c r="K26" s="6">
        <f t="shared" si="15"/>
        <v>171704</v>
      </c>
      <c r="L26" s="19">
        <f t="shared" si="15"/>
        <v>298743.8734</v>
      </c>
      <c r="M26" s="19">
        <f t="shared" si="15"/>
        <v>346002.5962</v>
      </c>
      <c r="N26" s="19">
        <f t="shared" si="15"/>
        <v>401357.3137</v>
      </c>
      <c r="O26" s="19">
        <f t="shared" si="15"/>
        <v>466211.1802</v>
      </c>
      <c r="P26" s="19">
        <f t="shared" si="15"/>
        <v>542212.3965</v>
      </c>
      <c r="Q26" s="19">
        <f t="shared" si="15"/>
        <v>631297.2155</v>
      </c>
    </row>
    <row r="27" ht="15.75" hidden="1" customHeight="1" outlineLevel="1">
      <c r="A27" s="1"/>
      <c r="B27" s="7" t="s">
        <v>24</v>
      </c>
      <c r="C27" s="6">
        <v>4715.0</v>
      </c>
      <c r="D27" s="6">
        <f>1493+235</f>
        <v>1728</v>
      </c>
      <c r="E27" s="6">
        <f>1366+267</f>
        <v>1633</v>
      </c>
      <c r="F27" s="6">
        <v>-2030.0</v>
      </c>
      <c r="G27" s="6">
        <v>-4417.0</v>
      </c>
      <c r="H27" s="6">
        <v>5136.0</v>
      </c>
      <c r="I27" s="6">
        <v>3129.0</v>
      </c>
      <c r="J27" s="6">
        <v>586.0</v>
      </c>
      <c r="K27" s="6">
        <v>2669.0</v>
      </c>
      <c r="L27" s="206">
        <v>2669.0</v>
      </c>
      <c r="M27" s="21">
        <f t="shared" ref="M27:Q27" si="16">L27</f>
        <v>2669</v>
      </c>
      <c r="N27" s="21">
        <f t="shared" si="16"/>
        <v>2669</v>
      </c>
      <c r="O27" s="21">
        <f t="shared" si="16"/>
        <v>2669</v>
      </c>
      <c r="P27" s="21">
        <f t="shared" si="16"/>
        <v>2669</v>
      </c>
      <c r="Q27" s="21">
        <f t="shared" si="16"/>
        <v>2669</v>
      </c>
    </row>
    <row r="28" ht="15.75" hidden="1" customHeight="1" outlineLevel="1">
      <c r="A28" s="18"/>
      <c r="B28" s="113" t="s">
        <v>184</v>
      </c>
      <c r="C28" s="23">
        <f t="shared" ref="C28:Q28" si="17">SUM(C26:C27)</f>
        <v>66296</v>
      </c>
      <c r="D28" s="23">
        <f t="shared" si="17"/>
        <v>101272</v>
      </c>
      <c r="E28" s="23">
        <f t="shared" si="17"/>
        <v>111669</v>
      </c>
      <c r="F28" s="23">
        <f t="shared" si="17"/>
        <v>102651</v>
      </c>
      <c r="G28" s="23">
        <f t="shared" si="17"/>
        <v>65427</v>
      </c>
      <c r="H28" s="23">
        <f t="shared" si="17"/>
        <v>56656</v>
      </c>
      <c r="I28" s="23">
        <f t="shared" si="17"/>
        <v>48482</v>
      </c>
      <c r="J28" s="23">
        <f t="shared" si="17"/>
        <v>103194</v>
      </c>
      <c r="K28" s="23">
        <f t="shared" si="17"/>
        <v>174373</v>
      </c>
      <c r="L28" s="23">
        <f t="shared" si="17"/>
        <v>301412.8734</v>
      </c>
      <c r="M28" s="23">
        <f t="shared" si="17"/>
        <v>348671.5962</v>
      </c>
      <c r="N28" s="23">
        <f t="shared" si="17"/>
        <v>404026.3137</v>
      </c>
      <c r="O28" s="23">
        <f t="shared" si="17"/>
        <v>468880.1802</v>
      </c>
      <c r="P28" s="23">
        <f t="shared" si="17"/>
        <v>544881.3965</v>
      </c>
      <c r="Q28" s="23">
        <f t="shared" si="17"/>
        <v>633966.2155</v>
      </c>
      <c r="R28" s="34"/>
      <c r="S28" s="34"/>
      <c r="T28" s="34"/>
      <c r="U28" s="34"/>
      <c r="V28" s="34"/>
      <c r="W28" s="34"/>
      <c r="X28" s="34"/>
      <c r="Y28" s="34"/>
      <c r="Z28" s="34"/>
      <c r="AA28" s="34"/>
    </row>
    <row r="29" ht="15.75" hidden="1" customHeight="1" outlineLevel="1">
      <c r="A29" s="1"/>
      <c r="B29" s="7"/>
    </row>
    <row r="30" ht="15.75" hidden="1" customHeight="1" outlineLevel="1">
      <c r="A30" s="1"/>
      <c r="B30" s="1" t="s">
        <v>26</v>
      </c>
      <c r="C30" s="6">
        <f>20788-801</f>
        <v>19987</v>
      </c>
      <c r="D30" s="6">
        <v>26162.0</v>
      </c>
      <c r="E30" s="6">
        <v>32862.0</v>
      </c>
      <c r="F30" s="6">
        <v>29732.0</v>
      </c>
      <c r="G30" s="6">
        <v>14252.0</v>
      </c>
      <c r="H30" s="6">
        <v>9319.0</v>
      </c>
      <c r="I30" s="6">
        <v>8177.0</v>
      </c>
      <c r="J30" s="6">
        <v>21745.0</v>
      </c>
      <c r="K30" s="6">
        <f>36633+2730</f>
        <v>39363</v>
      </c>
      <c r="L30" s="19">
        <f t="shared" ref="L30:Q30" si="18">L28*L31</f>
        <v>90423.86202</v>
      </c>
      <c r="M30" s="19">
        <f t="shared" si="18"/>
        <v>104601.4789</v>
      </c>
      <c r="N30" s="19">
        <f t="shared" si="18"/>
        <v>121207.8941</v>
      </c>
      <c r="O30" s="19">
        <f t="shared" si="18"/>
        <v>140664.054</v>
      </c>
      <c r="P30" s="19">
        <f t="shared" si="18"/>
        <v>163464.4189</v>
      </c>
      <c r="Q30" s="19">
        <f t="shared" si="18"/>
        <v>190189.8646</v>
      </c>
    </row>
    <row r="31" ht="15.75" hidden="1" customHeight="1" outlineLevel="1">
      <c r="A31" s="1"/>
      <c r="B31" s="7"/>
      <c r="L31" s="209">
        <v>0.3</v>
      </c>
      <c r="M31" s="210">
        <v>0.3</v>
      </c>
      <c r="N31" s="210">
        <v>0.3</v>
      </c>
      <c r="O31" s="210">
        <v>0.3</v>
      </c>
      <c r="P31" s="210">
        <v>0.3</v>
      </c>
      <c r="Q31" s="210">
        <v>0.3</v>
      </c>
    </row>
    <row r="32" ht="15.75" hidden="1" customHeight="1" outlineLevel="1">
      <c r="A32" s="1"/>
      <c r="B32" s="7" t="s">
        <v>27</v>
      </c>
      <c r="C32" s="6">
        <f t="shared" ref="C32:Q32" si="19">C28-C30</f>
        <v>46309</v>
      </c>
      <c r="D32" s="6">
        <f t="shared" si="19"/>
        <v>75110</v>
      </c>
      <c r="E32" s="6">
        <f t="shared" si="19"/>
        <v>78807</v>
      </c>
      <c r="F32" s="6">
        <f t="shared" si="19"/>
        <v>72919</v>
      </c>
      <c r="G32" s="6">
        <f t="shared" si="19"/>
        <v>51175</v>
      </c>
      <c r="H32" s="6">
        <f t="shared" si="19"/>
        <v>47337</v>
      </c>
      <c r="I32" s="6">
        <f t="shared" si="19"/>
        <v>40305</v>
      </c>
      <c r="J32" s="6">
        <f t="shared" si="19"/>
        <v>81449</v>
      </c>
      <c r="K32" s="6">
        <f t="shared" si="19"/>
        <v>135010</v>
      </c>
      <c r="L32" s="19">
        <f t="shared" si="19"/>
        <v>210989.0114</v>
      </c>
      <c r="M32" s="19">
        <f t="shared" si="19"/>
        <v>244070.1173</v>
      </c>
      <c r="N32" s="19">
        <f t="shared" si="19"/>
        <v>282818.4196</v>
      </c>
      <c r="O32" s="19">
        <f t="shared" si="19"/>
        <v>328216.1261</v>
      </c>
      <c r="P32" s="19">
        <f t="shared" si="19"/>
        <v>381416.9775</v>
      </c>
      <c r="Q32" s="19">
        <f t="shared" si="19"/>
        <v>443776.3508</v>
      </c>
    </row>
    <row r="33" ht="15.75" hidden="1" customHeight="1" outlineLevel="1">
      <c r="A33" s="1"/>
      <c r="B33" s="1" t="s">
        <v>28</v>
      </c>
      <c r="C33" s="6">
        <f>689-10</f>
        <v>679</v>
      </c>
      <c r="D33" s="6">
        <v>2216.0</v>
      </c>
      <c r="E33" s="6">
        <v>3311.0</v>
      </c>
      <c r="F33" s="6">
        <f>1273+284</f>
        <v>1557</v>
      </c>
      <c r="G33" s="6">
        <f>1175+9</f>
        <v>1184</v>
      </c>
      <c r="H33" s="6">
        <f>1588+102</f>
        <v>1690</v>
      </c>
      <c r="I33" s="6">
        <f>1464+155</f>
        <v>1619</v>
      </c>
      <c r="J33" s="6">
        <f>1558+216</f>
        <v>1774</v>
      </c>
      <c r="K33" s="6">
        <f>2263+278</f>
        <v>2541</v>
      </c>
      <c r="L33" s="206">
        <v>2541.0</v>
      </c>
      <c r="M33" s="211">
        <f t="shared" ref="M33:Q33" si="20">L33</f>
        <v>2541</v>
      </c>
      <c r="N33" s="211">
        <f t="shared" si="20"/>
        <v>2541</v>
      </c>
      <c r="O33" s="211">
        <f t="shared" si="20"/>
        <v>2541</v>
      </c>
      <c r="P33" s="211">
        <f t="shared" si="20"/>
        <v>2541</v>
      </c>
      <c r="Q33" s="211">
        <f t="shared" si="20"/>
        <v>2541</v>
      </c>
    </row>
    <row r="34" ht="15.75" hidden="1" customHeight="1" outlineLevel="1">
      <c r="A34" s="1"/>
      <c r="B34" s="1"/>
    </row>
    <row r="35" ht="15.75" hidden="1" customHeight="1" outlineLevel="1">
      <c r="A35" s="1"/>
      <c r="B35" s="1"/>
    </row>
    <row r="36" ht="15.75" hidden="1" customHeight="1" outlineLevel="1">
      <c r="A36" s="18"/>
      <c r="B36" s="45" t="s">
        <v>210</v>
      </c>
      <c r="C36" s="9">
        <f t="shared" ref="C36:E36" si="21">C32+C33</f>
        <v>46988</v>
      </c>
      <c r="D36" s="9">
        <f t="shared" si="21"/>
        <v>77326</v>
      </c>
      <c r="E36" s="9">
        <f t="shared" si="21"/>
        <v>82118</v>
      </c>
      <c r="F36" s="9">
        <f>F32+G33</f>
        <v>74103</v>
      </c>
      <c r="G36" s="9">
        <f t="shared" ref="G36:Q36" si="22">G32+G33</f>
        <v>52359</v>
      </c>
      <c r="H36" s="9">
        <f t="shared" si="22"/>
        <v>49027</v>
      </c>
      <c r="I36" s="9">
        <f t="shared" si="22"/>
        <v>41924</v>
      </c>
      <c r="J36" s="9">
        <f t="shared" si="22"/>
        <v>83223</v>
      </c>
      <c r="K36" s="9">
        <f t="shared" si="22"/>
        <v>137551</v>
      </c>
      <c r="L36" s="9">
        <f t="shared" si="22"/>
        <v>213530.0114</v>
      </c>
      <c r="M36" s="9">
        <f t="shared" si="22"/>
        <v>246611.1173</v>
      </c>
      <c r="N36" s="9">
        <f t="shared" si="22"/>
        <v>285359.4196</v>
      </c>
      <c r="O36" s="9">
        <f t="shared" si="22"/>
        <v>330757.1261</v>
      </c>
      <c r="P36" s="9">
        <f t="shared" si="22"/>
        <v>383957.9775</v>
      </c>
      <c r="Q36" s="9">
        <f t="shared" si="22"/>
        <v>446317.3508</v>
      </c>
    </row>
    <row r="37" ht="15.75" hidden="1" customHeight="1" outlineLevel="1">
      <c r="A37" s="1"/>
      <c r="B37" s="1"/>
    </row>
    <row r="38" ht="15.75" hidden="1" customHeight="1" outlineLevel="1">
      <c r="A38" s="1"/>
      <c r="B38" s="1"/>
    </row>
    <row r="39" ht="15.75" hidden="1" customHeight="1" outlineLevel="1">
      <c r="A39" s="121" t="s">
        <v>207</v>
      </c>
      <c r="B39" s="4" t="s">
        <v>30</v>
      </c>
    </row>
    <row r="40" ht="15.75" hidden="1" customHeight="1" outlineLevel="2">
      <c r="A40" s="1"/>
      <c r="B40" s="7"/>
    </row>
    <row r="41" ht="15.75" hidden="1" customHeight="1" outlineLevel="2">
      <c r="A41" s="18"/>
      <c r="B41" s="4" t="s">
        <v>31</v>
      </c>
      <c r="C41" s="52">
        <f t="shared" ref="C41:Q41" si="23">SUM(C42:C47)</f>
        <v>306304</v>
      </c>
      <c r="D41" s="52">
        <f t="shared" si="23"/>
        <v>370905</v>
      </c>
      <c r="E41" s="52">
        <f t="shared" si="23"/>
        <v>425755</v>
      </c>
      <c r="F41" s="52">
        <f t="shared" si="23"/>
        <v>471097</v>
      </c>
      <c r="G41" s="52">
        <f t="shared" si="23"/>
        <v>494322</v>
      </c>
      <c r="H41" s="52">
        <f t="shared" si="23"/>
        <v>525006</v>
      </c>
      <c r="I41" s="52">
        <f t="shared" si="23"/>
        <v>553335</v>
      </c>
      <c r="J41" s="52">
        <f t="shared" si="23"/>
        <v>746002</v>
      </c>
      <c r="K41" s="52">
        <f t="shared" si="23"/>
        <v>856360</v>
      </c>
      <c r="L41" s="52">
        <f t="shared" si="23"/>
        <v>1069890.011</v>
      </c>
      <c r="M41" s="52">
        <f t="shared" si="23"/>
        <v>1316501.129</v>
      </c>
      <c r="N41" s="52">
        <f t="shared" si="23"/>
        <v>1601860.548</v>
      </c>
      <c r="O41" s="52">
        <f t="shared" si="23"/>
        <v>1932617.674</v>
      </c>
      <c r="P41" s="52">
        <f t="shared" si="23"/>
        <v>2316575.652</v>
      </c>
      <c r="Q41" s="52">
        <f t="shared" si="23"/>
        <v>2762893.003</v>
      </c>
      <c r="R41" s="34"/>
      <c r="S41" s="34"/>
      <c r="T41" s="34"/>
      <c r="U41" s="34"/>
      <c r="V41" s="34"/>
      <c r="W41" s="34"/>
      <c r="X41" s="34"/>
      <c r="Y41" s="34"/>
      <c r="Z41" s="34"/>
      <c r="AA41" s="34"/>
    </row>
    <row r="42" ht="15.75" hidden="1" customHeight="1" outlineLevel="2">
      <c r="A42" s="1"/>
      <c r="B42" s="1" t="s">
        <v>32</v>
      </c>
      <c r="C42" s="22">
        <v>1510.0</v>
      </c>
      <c r="D42" s="22">
        <v>1510.0</v>
      </c>
      <c r="E42" s="22">
        <v>1510.0</v>
      </c>
      <c r="F42" s="22">
        <v>1510.0</v>
      </c>
      <c r="G42" s="22">
        <v>1510.0</v>
      </c>
      <c r="H42" s="22">
        <v>1510.0</v>
      </c>
      <c r="I42" s="22">
        <v>1510.0</v>
      </c>
      <c r="J42" s="22">
        <v>1572.0</v>
      </c>
      <c r="K42" s="22">
        <v>1572.0</v>
      </c>
      <c r="L42" s="143">
        <f>K42</f>
        <v>1572</v>
      </c>
      <c r="M42" s="143">
        <v>1572.0</v>
      </c>
      <c r="N42" s="143">
        <v>1572.0</v>
      </c>
      <c r="O42" s="143">
        <v>1572.0</v>
      </c>
      <c r="P42" s="143">
        <v>1572.0</v>
      </c>
      <c r="Q42" s="143">
        <v>1572.0</v>
      </c>
    </row>
    <row r="43" ht="15.75" hidden="1" customHeight="1" outlineLevel="2">
      <c r="A43" s="1"/>
      <c r="B43" s="1" t="s">
        <v>33</v>
      </c>
      <c r="C43" s="22">
        <v>304650.0</v>
      </c>
      <c r="D43" s="22">
        <v>369241.0</v>
      </c>
      <c r="E43" s="22">
        <v>424084.0</v>
      </c>
      <c r="F43" s="22">
        <v>469411.0</v>
      </c>
      <c r="G43" s="22">
        <v>492620.0</v>
      </c>
      <c r="H43" s="22">
        <v>523496.0</v>
      </c>
      <c r="I43" s="22">
        <v>551825.0</v>
      </c>
      <c r="J43" s="22">
        <v>744430.0</v>
      </c>
      <c r="K43" s="22">
        <v>854788.0</v>
      </c>
      <c r="L43" s="19">
        <f t="shared" ref="L43:Q43" si="24">SUM(L36,K43)</f>
        <v>1068318.011</v>
      </c>
      <c r="M43" s="19">
        <f t="shared" si="24"/>
        <v>1314929.129</v>
      </c>
      <c r="N43" s="19">
        <f t="shared" si="24"/>
        <v>1600288.548</v>
      </c>
      <c r="O43" s="19">
        <f t="shared" si="24"/>
        <v>1931045.674</v>
      </c>
      <c r="P43" s="19">
        <f t="shared" si="24"/>
        <v>2315003.652</v>
      </c>
      <c r="Q43" s="19">
        <f t="shared" si="24"/>
        <v>2761321.003</v>
      </c>
    </row>
    <row r="44" ht="15.75" hidden="1" customHeight="1" outlineLevel="2">
      <c r="A44" s="1"/>
      <c r="B44" s="1" t="s">
        <v>34</v>
      </c>
      <c r="C44" s="22">
        <v>0.0</v>
      </c>
      <c r="D44" s="22">
        <v>0.0</v>
      </c>
      <c r="E44" s="22">
        <v>0.0</v>
      </c>
      <c r="F44" s="22">
        <v>0.0</v>
      </c>
      <c r="G44" s="22">
        <v>0.0</v>
      </c>
      <c r="H44" s="22">
        <v>0.0</v>
      </c>
      <c r="I44" s="22">
        <v>0.0</v>
      </c>
      <c r="J44" s="22">
        <v>0.0</v>
      </c>
      <c r="K44" s="22">
        <v>0.0</v>
      </c>
      <c r="L44" s="143">
        <f t="shared" ref="L44:Q44" si="25">K44</f>
        <v>0</v>
      </c>
      <c r="M44" s="143">
        <f t="shared" si="25"/>
        <v>0</v>
      </c>
      <c r="N44" s="143">
        <f t="shared" si="25"/>
        <v>0</v>
      </c>
      <c r="O44" s="143">
        <f t="shared" si="25"/>
        <v>0</v>
      </c>
      <c r="P44" s="143">
        <f t="shared" si="25"/>
        <v>0</v>
      </c>
      <c r="Q44" s="143">
        <f t="shared" si="25"/>
        <v>0</v>
      </c>
    </row>
    <row r="45" ht="15.75" hidden="1" customHeight="1" outlineLevel="2">
      <c r="A45" s="1"/>
      <c r="B45" s="7"/>
      <c r="C45" s="19"/>
      <c r="D45" s="19"/>
      <c r="E45" s="19"/>
      <c r="F45" s="19"/>
      <c r="G45" s="19"/>
      <c r="H45" s="19"/>
      <c r="I45" s="19"/>
      <c r="J45" s="19"/>
      <c r="K45" s="19"/>
    </row>
    <row r="46" ht="15.75" hidden="1" customHeight="1" outlineLevel="2">
      <c r="A46" s="1"/>
      <c r="B46" s="7" t="s">
        <v>35</v>
      </c>
      <c r="C46" s="22">
        <v>144.0</v>
      </c>
      <c r="D46" s="22">
        <v>154.0</v>
      </c>
      <c r="E46" s="22">
        <v>161.0</v>
      </c>
      <c r="F46" s="22">
        <v>176.0</v>
      </c>
      <c r="G46" s="22">
        <v>192.0</v>
      </c>
      <c r="H46" s="22">
        <v>0.0</v>
      </c>
      <c r="I46" s="22">
        <v>0.0</v>
      </c>
      <c r="J46" s="22">
        <v>0.0</v>
      </c>
      <c r="K46" s="22">
        <v>0.0</v>
      </c>
      <c r="L46" s="143">
        <f t="shared" ref="L46:Q46" si="26">K46</f>
        <v>0</v>
      </c>
      <c r="M46" s="143">
        <f t="shared" si="26"/>
        <v>0</v>
      </c>
      <c r="N46" s="143">
        <f t="shared" si="26"/>
        <v>0</v>
      </c>
      <c r="O46" s="143">
        <f t="shared" si="26"/>
        <v>0</v>
      </c>
      <c r="P46" s="143">
        <f t="shared" si="26"/>
        <v>0</v>
      </c>
      <c r="Q46" s="143">
        <f t="shared" si="26"/>
        <v>0</v>
      </c>
    </row>
    <row r="47" ht="15.75" hidden="1" customHeight="1" outlineLevel="2">
      <c r="A47" s="1"/>
      <c r="B47" s="7" t="s">
        <v>36</v>
      </c>
      <c r="C47" s="22">
        <v>0.0</v>
      </c>
      <c r="D47" s="22">
        <v>0.0</v>
      </c>
      <c r="E47" s="22">
        <v>0.0</v>
      </c>
      <c r="F47" s="22">
        <v>0.0</v>
      </c>
      <c r="G47" s="22">
        <v>0.0</v>
      </c>
      <c r="H47" s="22">
        <v>0.0</v>
      </c>
      <c r="I47" s="22">
        <v>0.0</v>
      </c>
      <c r="J47" s="22">
        <v>0.0</v>
      </c>
      <c r="K47" s="22">
        <v>0.0</v>
      </c>
      <c r="L47" s="143">
        <f t="shared" ref="L47:Q47" si="27">K47</f>
        <v>0</v>
      </c>
      <c r="M47" s="143">
        <f t="shared" si="27"/>
        <v>0</v>
      </c>
      <c r="N47" s="143">
        <f t="shared" si="27"/>
        <v>0</v>
      </c>
      <c r="O47" s="143">
        <f t="shared" si="27"/>
        <v>0</v>
      </c>
      <c r="P47" s="143">
        <f t="shared" si="27"/>
        <v>0</v>
      </c>
      <c r="Q47" s="143">
        <f t="shared" si="27"/>
        <v>0</v>
      </c>
    </row>
    <row r="48" ht="15.75" hidden="1" customHeight="1" outlineLevel="2">
      <c r="A48" s="1"/>
      <c r="B48" s="7"/>
    </row>
    <row r="49" ht="15.75" hidden="1" customHeight="1" outlineLevel="2">
      <c r="A49" s="18"/>
      <c r="B49" s="4" t="s">
        <v>37</v>
      </c>
      <c r="C49" s="27">
        <f t="shared" ref="C49:Q49" si="28">SUM(C50:C53)</f>
        <v>10510</v>
      </c>
      <c r="D49" s="27">
        <f t="shared" si="28"/>
        <v>16332</v>
      </c>
      <c r="E49" s="27">
        <f t="shared" si="28"/>
        <v>22244</v>
      </c>
      <c r="F49" s="27">
        <f t="shared" si="28"/>
        <v>26985</v>
      </c>
      <c r="G49" s="27">
        <f t="shared" si="28"/>
        <v>28901</v>
      </c>
      <c r="H49" s="27">
        <f t="shared" si="28"/>
        <v>26616</v>
      </c>
      <c r="I49" s="27">
        <f t="shared" si="28"/>
        <v>22985</v>
      </c>
      <c r="J49" s="27">
        <f t="shared" si="28"/>
        <v>30185</v>
      </c>
      <c r="K49" s="27">
        <f t="shared" si="28"/>
        <v>37630</v>
      </c>
      <c r="L49" s="27">
        <f t="shared" si="28"/>
        <v>37630</v>
      </c>
      <c r="M49" s="27">
        <f t="shared" si="28"/>
        <v>37630</v>
      </c>
      <c r="N49" s="27">
        <f t="shared" si="28"/>
        <v>37630</v>
      </c>
      <c r="O49" s="27">
        <f t="shared" si="28"/>
        <v>37630</v>
      </c>
      <c r="P49" s="27">
        <f t="shared" si="28"/>
        <v>37630</v>
      </c>
      <c r="Q49" s="27">
        <f t="shared" si="28"/>
        <v>37630</v>
      </c>
      <c r="R49" s="34"/>
      <c r="S49" s="34"/>
      <c r="T49" s="34"/>
      <c r="U49" s="34"/>
      <c r="V49" s="34"/>
      <c r="W49" s="34"/>
      <c r="X49" s="34"/>
      <c r="Y49" s="34"/>
      <c r="Z49" s="34"/>
      <c r="AA49" s="34"/>
    </row>
    <row r="50" ht="15.75" hidden="1" customHeight="1" outlineLevel="2">
      <c r="A50" s="1"/>
      <c r="B50" s="1" t="s">
        <v>38</v>
      </c>
      <c r="C50" s="22">
        <v>0.0</v>
      </c>
      <c r="D50" s="22">
        <v>0.0</v>
      </c>
      <c r="E50" s="22">
        <v>100.0</v>
      </c>
      <c r="F50" s="22">
        <v>80.0</v>
      </c>
      <c r="G50" s="22">
        <v>652.0</v>
      </c>
      <c r="H50" s="22">
        <v>420.0</v>
      </c>
      <c r="I50" s="22">
        <v>329.0</v>
      </c>
      <c r="J50" s="22">
        <v>250.0</v>
      </c>
      <c r="K50" s="22">
        <v>677.0</v>
      </c>
      <c r="L50" s="143">
        <f t="shared" ref="L50:Q50" si="29">K50</f>
        <v>677</v>
      </c>
      <c r="M50" s="143">
        <f t="shared" si="29"/>
        <v>677</v>
      </c>
      <c r="N50" s="143">
        <f t="shared" si="29"/>
        <v>677</v>
      </c>
      <c r="O50" s="143">
        <f t="shared" si="29"/>
        <v>677</v>
      </c>
      <c r="P50" s="143">
        <f t="shared" si="29"/>
        <v>677</v>
      </c>
      <c r="Q50" s="143">
        <f t="shared" si="29"/>
        <v>677</v>
      </c>
    </row>
    <row r="51" ht="15.75" hidden="1" customHeight="1" outlineLevel="2">
      <c r="A51" s="1"/>
      <c r="B51" s="1" t="s">
        <v>39</v>
      </c>
      <c r="C51" s="22">
        <v>8075.0</v>
      </c>
      <c r="D51" s="22">
        <v>11055.0</v>
      </c>
      <c r="E51" s="22">
        <v>15859.0</v>
      </c>
      <c r="F51" s="22">
        <v>20371.0</v>
      </c>
      <c r="G51" s="22">
        <v>21158.0</v>
      </c>
      <c r="H51" s="22">
        <v>21295.0</v>
      </c>
      <c r="I51" s="22">
        <v>21812.0</v>
      </c>
      <c r="J51" s="22">
        <v>25850.0</v>
      </c>
      <c r="K51" s="22">
        <v>31617.0</v>
      </c>
      <c r="L51" s="143">
        <f t="shared" ref="L51:Q51" si="30">K51</f>
        <v>31617</v>
      </c>
      <c r="M51" s="143">
        <f t="shared" si="30"/>
        <v>31617</v>
      </c>
      <c r="N51" s="143">
        <f t="shared" si="30"/>
        <v>31617</v>
      </c>
      <c r="O51" s="143">
        <f t="shared" si="30"/>
        <v>31617</v>
      </c>
      <c r="P51" s="143">
        <f t="shared" si="30"/>
        <v>31617</v>
      </c>
      <c r="Q51" s="143">
        <f t="shared" si="30"/>
        <v>31617</v>
      </c>
    </row>
    <row r="52" ht="15.75" hidden="1" customHeight="1" outlineLevel="2">
      <c r="A52" s="1"/>
      <c r="B52" s="1" t="s">
        <v>40</v>
      </c>
      <c r="C52" s="22">
        <v>148.0</v>
      </c>
      <c r="D52" s="22">
        <v>219.0</v>
      </c>
      <c r="E52" s="22">
        <v>265.0</v>
      </c>
      <c r="F52" s="22">
        <v>395.0</v>
      </c>
      <c r="G52" s="22">
        <v>516.0</v>
      </c>
      <c r="H52" s="22">
        <v>447.0</v>
      </c>
      <c r="I52" s="22">
        <v>844.0</v>
      </c>
      <c r="J52" s="22">
        <v>875.0</v>
      </c>
      <c r="K52" s="22">
        <v>1448.0</v>
      </c>
      <c r="L52" s="143">
        <f t="shared" ref="L52:Q52" si="31">K52</f>
        <v>1448</v>
      </c>
      <c r="M52" s="143">
        <f t="shared" si="31"/>
        <v>1448</v>
      </c>
      <c r="N52" s="143">
        <f t="shared" si="31"/>
        <v>1448</v>
      </c>
      <c r="O52" s="143">
        <f t="shared" si="31"/>
        <v>1448</v>
      </c>
      <c r="P52" s="143">
        <f t="shared" si="31"/>
        <v>1448</v>
      </c>
      <c r="Q52" s="143">
        <f t="shared" si="31"/>
        <v>1448</v>
      </c>
    </row>
    <row r="53" ht="15.75" hidden="1" customHeight="1" outlineLevel="2">
      <c r="A53" s="1"/>
      <c r="B53" s="1" t="s">
        <v>41</v>
      </c>
      <c r="C53" s="22">
        <v>2287.0</v>
      </c>
      <c r="D53" s="22">
        <v>5058.0</v>
      </c>
      <c r="E53" s="22">
        <v>6020.0</v>
      </c>
      <c r="F53" s="22">
        <v>6139.0</v>
      </c>
      <c r="G53" s="22">
        <v>6575.0</v>
      </c>
      <c r="H53" s="22">
        <v>4454.0</v>
      </c>
      <c r="I53" s="22">
        <v>0.0</v>
      </c>
      <c r="J53" s="22">
        <v>3210.0</v>
      </c>
      <c r="K53" s="22">
        <v>3888.0</v>
      </c>
      <c r="L53" s="143">
        <f t="shared" ref="L53:Q53" si="32">K53</f>
        <v>3888</v>
      </c>
      <c r="M53" s="143">
        <f t="shared" si="32"/>
        <v>3888</v>
      </c>
      <c r="N53" s="143">
        <f t="shared" si="32"/>
        <v>3888</v>
      </c>
      <c r="O53" s="143">
        <f t="shared" si="32"/>
        <v>3888</v>
      </c>
      <c r="P53" s="143">
        <f t="shared" si="32"/>
        <v>3888</v>
      </c>
      <c r="Q53" s="143">
        <f t="shared" si="32"/>
        <v>3888</v>
      </c>
    </row>
    <row r="54" ht="15.75" hidden="1" customHeight="1" outlineLevel="2">
      <c r="A54" s="1"/>
      <c r="B54" s="7"/>
    </row>
    <row r="55" ht="15.75" hidden="1" customHeight="1" outlineLevel="2">
      <c r="A55" s="18"/>
      <c r="B55" s="18" t="s">
        <v>42</v>
      </c>
      <c r="C55" s="27">
        <f t="shared" ref="C55:Q55" si="33">SUM(C56:C62)</f>
        <v>110441</v>
      </c>
      <c r="D55" s="27">
        <f t="shared" si="33"/>
        <v>132368</v>
      </c>
      <c r="E55" s="27">
        <f t="shared" si="33"/>
        <v>154485</v>
      </c>
      <c r="F55" s="27">
        <f t="shared" si="33"/>
        <v>141605</v>
      </c>
      <c r="G55" s="27">
        <f t="shared" si="33"/>
        <v>113054</v>
      </c>
      <c r="H55" s="27">
        <f t="shared" si="33"/>
        <v>162139</v>
      </c>
      <c r="I55" s="27">
        <f t="shared" si="33"/>
        <v>170235</v>
      </c>
      <c r="J55" s="27">
        <f t="shared" si="33"/>
        <v>227667</v>
      </c>
      <c r="K55" s="27">
        <f t="shared" si="33"/>
        <v>259518</v>
      </c>
      <c r="L55" s="34">
        <f t="shared" si="33"/>
        <v>0</v>
      </c>
      <c r="M55" s="34">
        <f t="shared" si="33"/>
        <v>0</v>
      </c>
      <c r="N55" s="34">
        <f t="shared" si="33"/>
        <v>0</v>
      </c>
      <c r="O55" s="34">
        <f t="shared" si="33"/>
        <v>0</v>
      </c>
      <c r="P55" s="34">
        <f t="shared" si="33"/>
        <v>0</v>
      </c>
      <c r="Q55" s="34">
        <f t="shared" si="33"/>
        <v>0</v>
      </c>
      <c r="R55" s="34"/>
      <c r="S55" s="34"/>
      <c r="T55" s="34"/>
      <c r="U55" s="34"/>
      <c r="V55" s="34"/>
      <c r="W55" s="34"/>
      <c r="X55" s="34"/>
      <c r="Y55" s="34"/>
      <c r="Z55" s="34"/>
      <c r="AA55" s="34"/>
    </row>
    <row r="56" ht="15.75" hidden="1" customHeight="1" outlineLevel="2">
      <c r="A56" s="1"/>
      <c r="B56" s="1" t="s">
        <v>43</v>
      </c>
      <c r="C56" s="22">
        <v>7956.0</v>
      </c>
      <c r="D56" s="22">
        <v>8036.0</v>
      </c>
      <c r="E56" s="22">
        <v>8541.0</v>
      </c>
      <c r="F56" s="22">
        <v>6729.0</v>
      </c>
      <c r="G56" s="22">
        <v>6962.0</v>
      </c>
      <c r="H56" s="22">
        <v>8547.0</v>
      </c>
      <c r="I56" s="22">
        <v>11113.0</v>
      </c>
      <c r="J56" s="22">
        <v>11584.0</v>
      </c>
      <c r="K56" s="22">
        <v>12030.0</v>
      </c>
    </row>
    <row r="57" ht="15.75" hidden="1" customHeight="1" outlineLevel="2">
      <c r="A57" s="1"/>
      <c r="B57" s="1" t="s">
        <v>44</v>
      </c>
      <c r="C57" s="22">
        <v>774.0</v>
      </c>
      <c r="D57" s="22">
        <v>4838.0</v>
      </c>
      <c r="E57" s="22">
        <v>1108.0</v>
      </c>
      <c r="F57" s="22">
        <v>1496.0</v>
      </c>
      <c r="G57" s="22">
        <v>1063.0</v>
      </c>
      <c r="H57" s="22">
        <v>4962.0</v>
      </c>
      <c r="I57" s="22">
        <v>3819.0</v>
      </c>
      <c r="J57" s="22">
        <v>12226.0</v>
      </c>
      <c r="K57" s="22">
        <v>509.0</v>
      </c>
    </row>
    <row r="58" ht="15.75" hidden="1" customHeight="1" outlineLevel="2">
      <c r="A58" s="1"/>
      <c r="B58" s="29" t="s">
        <v>110</v>
      </c>
      <c r="C58" s="22">
        <v>74089.0</v>
      </c>
      <c r="D58" s="22">
        <v>83692.0</v>
      </c>
      <c r="E58" s="22">
        <v>104993.0</v>
      </c>
      <c r="F58" s="22">
        <v>96377.0</v>
      </c>
      <c r="G58" s="22">
        <v>75091.0</v>
      </c>
      <c r="H58" s="22">
        <v>101681.0</v>
      </c>
      <c r="I58" s="22">
        <v>97732.0</v>
      </c>
      <c r="J58" s="22">
        <v>1947.0</v>
      </c>
      <c r="K58" s="22">
        <v>2070.0</v>
      </c>
    </row>
    <row r="59" ht="15.75" hidden="1" customHeight="1" outlineLevel="2">
      <c r="A59" s="1"/>
      <c r="B59" s="1" t="s">
        <v>45</v>
      </c>
      <c r="C59" s="22">
        <v>0.0</v>
      </c>
      <c r="D59" s="22">
        <v>0.0</v>
      </c>
      <c r="E59" s="22">
        <v>0.0</v>
      </c>
      <c r="F59" s="22">
        <v>0.0</v>
      </c>
      <c r="G59" s="22">
        <v>0.0</v>
      </c>
      <c r="H59" s="22">
        <v>0.0</v>
      </c>
      <c r="I59" s="22">
        <v>0.0</v>
      </c>
      <c r="J59" s="22">
        <v>134808.0</v>
      </c>
      <c r="K59" s="22">
        <v>167814.0</v>
      </c>
    </row>
    <row r="60" ht="15.75" hidden="1" customHeight="1" outlineLevel="2">
      <c r="A60" s="1"/>
      <c r="B60" s="1" t="s">
        <v>46</v>
      </c>
      <c r="C60" s="22">
        <v>11650.0</v>
      </c>
      <c r="D60" s="22">
        <v>18278.0</v>
      </c>
      <c r="E60" s="22">
        <v>20896.0</v>
      </c>
      <c r="F60" s="22">
        <v>16329.0</v>
      </c>
      <c r="G60" s="22">
        <v>14091.0</v>
      </c>
      <c r="H60" s="22">
        <v>26801.0</v>
      </c>
      <c r="I60" s="22">
        <v>28686.0</v>
      </c>
      <c r="J60" s="22">
        <v>33372.0</v>
      </c>
      <c r="K60" s="22">
        <v>41739.0</v>
      </c>
    </row>
    <row r="61" ht="15.75" hidden="1" customHeight="1" outlineLevel="2">
      <c r="A61" s="1"/>
      <c r="B61" s="1" t="s">
        <v>47</v>
      </c>
      <c r="C61" s="22">
        <v>3994.0</v>
      </c>
      <c r="D61" s="22">
        <v>4496.0</v>
      </c>
      <c r="E61" s="22">
        <v>5609.0</v>
      </c>
      <c r="F61" s="22">
        <v>6254.0</v>
      </c>
      <c r="G61" s="22">
        <v>6807.0</v>
      </c>
      <c r="H61" s="22">
        <v>7428.0</v>
      </c>
      <c r="I61" s="22">
        <v>8613.0</v>
      </c>
      <c r="J61" s="22">
        <v>10830.0</v>
      </c>
      <c r="K61" s="22">
        <v>13119.0</v>
      </c>
    </row>
    <row r="62" ht="15.75" hidden="1" customHeight="1" outlineLevel="2">
      <c r="A62" s="1"/>
      <c r="B62" s="1" t="s">
        <v>48</v>
      </c>
      <c r="C62" s="22">
        <v>11978.0</v>
      </c>
      <c r="D62" s="22">
        <v>13028.0</v>
      </c>
      <c r="E62" s="22">
        <v>13338.0</v>
      </c>
      <c r="F62" s="22">
        <v>14420.0</v>
      </c>
      <c r="G62" s="22">
        <v>9040.0</v>
      </c>
      <c r="H62" s="22">
        <v>12720.0</v>
      </c>
      <c r="I62" s="22">
        <v>20272.0</v>
      </c>
      <c r="J62" s="22">
        <v>22900.0</v>
      </c>
      <c r="K62" s="22">
        <v>22237.0</v>
      </c>
    </row>
    <row r="63" ht="15.75" hidden="1" customHeight="1" outlineLevel="2">
      <c r="A63" s="18"/>
      <c r="B63" s="8" t="s">
        <v>49</v>
      </c>
      <c r="C63" s="52">
        <f t="shared" ref="C63:Q63" si="34">SUM(C55,C49,C41)</f>
        <v>427255</v>
      </c>
      <c r="D63" s="52">
        <f t="shared" si="34"/>
        <v>519605</v>
      </c>
      <c r="E63" s="52">
        <f t="shared" si="34"/>
        <v>602484</v>
      </c>
      <c r="F63" s="52">
        <f t="shared" si="34"/>
        <v>639687</v>
      </c>
      <c r="G63" s="52">
        <f t="shared" si="34"/>
        <v>636277</v>
      </c>
      <c r="H63" s="52">
        <f t="shared" si="34"/>
        <v>713761</v>
      </c>
      <c r="I63" s="52">
        <f t="shared" si="34"/>
        <v>746555</v>
      </c>
      <c r="J63" s="52">
        <f t="shared" si="34"/>
        <v>1003854</v>
      </c>
      <c r="K63" s="52">
        <f t="shared" si="34"/>
        <v>1153508</v>
      </c>
      <c r="L63" s="52">
        <f t="shared" si="34"/>
        <v>1107520.011</v>
      </c>
      <c r="M63" s="52">
        <f t="shared" si="34"/>
        <v>1354131.129</v>
      </c>
      <c r="N63" s="52">
        <f t="shared" si="34"/>
        <v>1639490.548</v>
      </c>
      <c r="O63" s="52">
        <f t="shared" si="34"/>
        <v>1970247.674</v>
      </c>
      <c r="P63" s="52">
        <f t="shared" si="34"/>
        <v>2354205.652</v>
      </c>
      <c r="Q63" s="52">
        <f t="shared" si="34"/>
        <v>2800523.003</v>
      </c>
      <c r="R63" s="34"/>
      <c r="S63" s="34"/>
      <c r="T63" s="34"/>
      <c r="U63" s="34"/>
      <c r="V63" s="34"/>
      <c r="W63" s="34"/>
      <c r="X63" s="34"/>
      <c r="Y63" s="34"/>
      <c r="Z63" s="34"/>
      <c r="AA63" s="34"/>
    </row>
    <row r="64" ht="15.75" hidden="1" customHeight="1" outlineLevel="2">
      <c r="A64" s="1"/>
      <c r="B64" s="7"/>
    </row>
    <row r="65" ht="15.75" hidden="1" customHeight="1" outlineLevel="2">
      <c r="A65" s="1"/>
      <c r="B65" s="7"/>
    </row>
    <row r="66" ht="15.75" customHeight="1" collapsed="1">
      <c r="A66" s="121" t="s">
        <v>207</v>
      </c>
      <c r="B66" s="4" t="s">
        <v>50</v>
      </c>
    </row>
    <row r="67" ht="15.75" hidden="1" customHeight="1" outlineLevel="1">
      <c r="A67" s="1"/>
      <c r="B67" s="7"/>
    </row>
    <row r="68" ht="15.75" hidden="1" customHeight="1" outlineLevel="1">
      <c r="A68" s="18"/>
      <c r="B68" s="18" t="s">
        <v>51</v>
      </c>
      <c r="C68" s="27">
        <f t="shared" ref="C68:I68" si="35">SUM(C69:C80)</f>
        <v>347744</v>
      </c>
      <c r="D68" s="27">
        <f t="shared" si="35"/>
        <v>431625</v>
      </c>
      <c r="E68" s="27">
        <f t="shared" si="35"/>
        <v>523184</v>
      </c>
      <c r="F68" s="27">
        <f t="shared" si="35"/>
        <v>515960</v>
      </c>
      <c r="G68" s="27">
        <f t="shared" si="35"/>
        <v>551871</v>
      </c>
      <c r="H68" s="27">
        <f t="shared" si="35"/>
        <v>532791</v>
      </c>
      <c r="I68" s="27">
        <f t="shared" si="35"/>
        <v>578621</v>
      </c>
      <c r="J68" s="27">
        <f t="shared" ref="J68:Q68" si="36">sum(J69:J79)</f>
        <v>847162</v>
      </c>
      <c r="K68" s="27">
        <f t="shared" si="36"/>
        <v>927170</v>
      </c>
      <c r="L68" s="27">
        <f t="shared" si="36"/>
        <v>571174</v>
      </c>
      <c r="M68" s="27">
        <f t="shared" si="36"/>
        <v>571174</v>
      </c>
      <c r="N68" s="27">
        <f t="shared" si="36"/>
        <v>571174</v>
      </c>
      <c r="O68" s="27">
        <f t="shared" si="36"/>
        <v>571174</v>
      </c>
      <c r="P68" s="27">
        <f t="shared" si="36"/>
        <v>571174</v>
      </c>
      <c r="Q68" s="27">
        <f t="shared" si="36"/>
        <v>571174</v>
      </c>
    </row>
    <row r="69" ht="15.75" hidden="1" customHeight="1" outlineLevel="1">
      <c r="A69" s="28"/>
      <c r="B69" s="28" t="s">
        <v>111</v>
      </c>
      <c r="C69" s="22">
        <v>121827.0</v>
      </c>
      <c r="D69" s="22">
        <v>129377.0</v>
      </c>
      <c r="E69" s="22">
        <v>130771.0</v>
      </c>
      <c r="F69" s="22">
        <v>149862.0</v>
      </c>
      <c r="G69" s="22">
        <v>147905.0</v>
      </c>
      <c r="H69" s="22">
        <v>141785.0</v>
      </c>
      <c r="I69" s="22">
        <v>128261.0</v>
      </c>
      <c r="J69" s="22">
        <v>268028.0</v>
      </c>
      <c r="K69" s="22">
        <v>267982.0</v>
      </c>
    </row>
    <row r="70" ht="15.75" hidden="1" customHeight="1" outlineLevel="1">
      <c r="A70" s="16"/>
      <c r="B70" s="16" t="s">
        <v>53</v>
      </c>
      <c r="C70" s="22">
        <v>3469.0</v>
      </c>
      <c r="D70" s="22">
        <v>3730.0</v>
      </c>
      <c r="E70" s="22">
        <v>3117.0</v>
      </c>
      <c r="F70" s="22">
        <v>4511.0</v>
      </c>
      <c r="G70" s="22">
        <v>4067.0</v>
      </c>
      <c r="H70" s="22">
        <v>2242.0</v>
      </c>
      <c r="I70" s="22">
        <v>3499.0</v>
      </c>
      <c r="J70" s="22">
        <v>5479.0</v>
      </c>
      <c r="K70" s="22">
        <v>4537.0</v>
      </c>
    </row>
    <row r="71" ht="15.75" hidden="1" customHeight="1" outlineLevel="1">
      <c r="A71" s="16"/>
      <c r="B71" s="16" t="s">
        <v>54</v>
      </c>
      <c r="C71" s="22">
        <v>10069.0</v>
      </c>
      <c r="D71" s="22">
        <v>12523.0</v>
      </c>
      <c r="E71" s="22">
        <v>21321.0</v>
      </c>
      <c r="F71" s="22">
        <v>16069.0</v>
      </c>
      <c r="G71" s="22">
        <v>13443.0</v>
      </c>
      <c r="H71" s="22">
        <v>11993.0</v>
      </c>
      <c r="I71" s="22">
        <v>26462.0</v>
      </c>
      <c r="J71" s="22">
        <v>40541.0</v>
      </c>
      <c r="K71" s="22">
        <v>75043.0</v>
      </c>
    </row>
    <row r="72" ht="15.75" hidden="1" customHeight="1" outlineLevel="1">
      <c r="A72" s="16"/>
      <c r="B72" s="16" t="s">
        <v>55</v>
      </c>
      <c r="C72" s="22">
        <v>0.0</v>
      </c>
      <c r="D72" s="22">
        <v>0.0</v>
      </c>
      <c r="E72" s="22">
        <v>0.0</v>
      </c>
      <c r="F72" s="22">
        <v>0.0</v>
      </c>
      <c r="G72" s="22">
        <v>0.0</v>
      </c>
      <c r="H72" s="22">
        <v>2975.0</v>
      </c>
      <c r="I72" s="22">
        <v>2903.0</v>
      </c>
      <c r="J72" s="22">
        <v>889.0</v>
      </c>
      <c r="K72" s="22">
        <v>2305.0</v>
      </c>
    </row>
    <row r="73" ht="15.75" hidden="1" customHeight="1" outlineLevel="1">
      <c r="A73" s="29"/>
      <c r="B73" s="29" t="s">
        <v>211</v>
      </c>
      <c r="C73" s="22">
        <v>0.0</v>
      </c>
      <c r="D73" s="22">
        <v>0.0</v>
      </c>
      <c r="E73" s="22">
        <v>0.0</v>
      </c>
      <c r="F73" s="22">
        <v>0.0</v>
      </c>
      <c r="G73" s="22">
        <v>6181.0</v>
      </c>
      <c r="H73" s="22">
        <v>5860.0</v>
      </c>
      <c r="I73" s="22">
        <v>5712.0</v>
      </c>
      <c r="J73" s="22">
        <v>5907.0</v>
      </c>
      <c r="K73" s="22">
        <v>6129.0</v>
      </c>
    </row>
    <row r="74" ht="15.75" hidden="1" customHeight="1" outlineLevel="1">
      <c r="A74" s="1"/>
      <c r="B74" s="1" t="s">
        <v>56</v>
      </c>
      <c r="C74" s="22">
        <v>195345.0</v>
      </c>
      <c r="D74" s="22">
        <v>269718.0</v>
      </c>
      <c r="E74" s="22">
        <v>349058.0</v>
      </c>
      <c r="F74" s="22">
        <v>324581.0</v>
      </c>
      <c r="G74" s="22">
        <v>362692.0</v>
      </c>
      <c r="H74" s="22">
        <v>345291.0</v>
      </c>
      <c r="I74" s="22">
        <v>379348.0</v>
      </c>
      <c r="J74" s="22">
        <v>491843.0</v>
      </c>
      <c r="K74" s="22">
        <v>533838.0</v>
      </c>
      <c r="L74" s="21">
        <f t="shared" ref="L74:Q74" si="37">K74</f>
        <v>533838</v>
      </c>
      <c r="M74" s="21">
        <f t="shared" si="37"/>
        <v>533838</v>
      </c>
      <c r="N74" s="21">
        <f t="shared" si="37"/>
        <v>533838</v>
      </c>
      <c r="O74" s="21">
        <f t="shared" si="37"/>
        <v>533838</v>
      </c>
      <c r="P74" s="21">
        <f t="shared" si="37"/>
        <v>533838</v>
      </c>
      <c r="Q74" s="21">
        <f t="shared" si="37"/>
        <v>533838</v>
      </c>
    </row>
    <row r="75" ht="15.75" hidden="1" customHeight="1" outlineLevel="1">
      <c r="A75" s="1"/>
      <c r="B75" s="1" t="s">
        <v>57</v>
      </c>
      <c r="C75" s="22">
        <v>234.0</v>
      </c>
      <c r="D75" s="22">
        <v>241.0</v>
      </c>
      <c r="E75" s="22">
        <v>328.0</v>
      </c>
      <c r="F75" s="22">
        <v>344.0</v>
      </c>
      <c r="G75" s="22">
        <v>365.0</v>
      </c>
      <c r="H75" s="22">
        <v>369.0</v>
      </c>
      <c r="I75" s="22">
        <v>375.0</v>
      </c>
      <c r="J75" s="22">
        <v>2398.0</v>
      </c>
      <c r="K75" s="22">
        <v>2981.0</v>
      </c>
      <c r="L75" s="21">
        <f t="shared" ref="L75:Q75" si="38">K75</f>
        <v>2981</v>
      </c>
      <c r="M75" s="21">
        <f t="shared" si="38"/>
        <v>2981</v>
      </c>
      <c r="N75" s="21">
        <f t="shared" si="38"/>
        <v>2981</v>
      </c>
      <c r="O75" s="21">
        <f t="shared" si="38"/>
        <v>2981</v>
      </c>
      <c r="P75" s="21">
        <f t="shared" si="38"/>
        <v>2981</v>
      </c>
      <c r="Q75" s="21">
        <f t="shared" si="38"/>
        <v>2981</v>
      </c>
    </row>
    <row r="76" ht="15.75" hidden="1" customHeight="1" outlineLevel="1">
      <c r="A76" s="1"/>
      <c r="B76" s="1" t="s">
        <v>58</v>
      </c>
      <c r="C76" s="22">
        <v>4.0</v>
      </c>
      <c r="D76" s="22">
        <v>3.0</v>
      </c>
      <c r="E76" s="22">
        <v>2.0</v>
      </c>
      <c r="F76" s="22">
        <v>2.0</v>
      </c>
      <c r="G76" s="22">
        <v>2.0</v>
      </c>
      <c r="H76" s="22">
        <v>2.0</v>
      </c>
      <c r="I76" s="22">
        <v>5446.0</v>
      </c>
      <c r="J76" s="22">
        <v>2.0</v>
      </c>
      <c r="K76" s="22">
        <v>1.0</v>
      </c>
      <c r="L76" s="21">
        <f t="shared" ref="L76:Q76" si="39">K76</f>
        <v>1</v>
      </c>
      <c r="M76" s="21">
        <f t="shared" si="39"/>
        <v>1</v>
      </c>
      <c r="N76" s="21">
        <f t="shared" si="39"/>
        <v>1</v>
      </c>
      <c r="O76" s="21">
        <f t="shared" si="39"/>
        <v>1</v>
      </c>
      <c r="P76" s="21">
        <f t="shared" si="39"/>
        <v>1</v>
      </c>
      <c r="Q76" s="21">
        <f t="shared" si="39"/>
        <v>1</v>
      </c>
    </row>
    <row r="77" ht="15.75" hidden="1" customHeight="1" outlineLevel="1">
      <c r="A77" s="1"/>
      <c r="B77" s="1" t="s">
        <v>59</v>
      </c>
      <c r="C77" s="22">
        <v>16796.0</v>
      </c>
      <c r="D77" s="22">
        <v>16033.0</v>
      </c>
      <c r="E77" s="22">
        <v>18587.0</v>
      </c>
      <c r="F77" s="22">
        <v>20591.0</v>
      </c>
      <c r="G77" s="22">
        <v>17216.0</v>
      </c>
      <c r="H77" s="22">
        <v>16867.0</v>
      </c>
      <c r="I77" s="22">
        <v>1411.0</v>
      </c>
      <c r="J77" s="22">
        <v>23226.0</v>
      </c>
      <c r="K77" s="22">
        <v>28049.0</v>
      </c>
      <c r="L77" s="21">
        <f t="shared" ref="L77:Q77" si="40">K77</f>
        <v>28049</v>
      </c>
      <c r="M77" s="21">
        <f t="shared" si="40"/>
        <v>28049</v>
      </c>
      <c r="N77" s="21">
        <f t="shared" si="40"/>
        <v>28049</v>
      </c>
      <c r="O77" s="21">
        <f t="shared" si="40"/>
        <v>28049</v>
      </c>
      <c r="P77" s="21">
        <f t="shared" si="40"/>
        <v>28049</v>
      </c>
      <c r="Q77" s="21">
        <f t="shared" si="40"/>
        <v>28049</v>
      </c>
    </row>
    <row r="78" ht="15.75" hidden="1" customHeight="1" outlineLevel="1">
      <c r="A78" s="29"/>
      <c r="B78" s="29" t="s">
        <v>212</v>
      </c>
      <c r="C78" s="22">
        <v>0.0</v>
      </c>
      <c r="D78" s="22">
        <v>0.0</v>
      </c>
      <c r="E78" s="22">
        <v>0.0</v>
      </c>
      <c r="F78" s="22">
        <v>0.0</v>
      </c>
      <c r="G78" s="22">
        <v>0.0</v>
      </c>
      <c r="H78" s="22">
        <v>0.0</v>
      </c>
      <c r="I78" s="22">
        <v>0.0</v>
      </c>
      <c r="J78" s="22">
        <v>6055.0</v>
      </c>
      <c r="K78" s="22">
        <v>5838.0</v>
      </c>
      <c r="L78" s="21">
        <f t="shared" ref="L78:Q78" si="41">K78</f>
        <v>5838</v>
      </c>
      <c r="M78" s="21">
        <f t="shared" si="41"/>
        <v>5838</v>
      </c>
      <c r="N78" s="21">
        <f t="shared" si="41"/>
        <v>5838</v>
      </c>
      <c r="O78" s="21">
        <f t="shared" si="41"/>
        <v>5838</v>
      </c>
      <c r="P78" s="21">
        <f t="shared" si="41"/>
        <v>5838</v>
      </c>
      <c r="Q78" s="21">
        <f t="shared" si="41"/>
        <v>5838</v>
      </c>
    </row>
    <row r="79" ht="15.75" hidden="1" customHeight="1" outlineLevel="1">
      <c r="A79" s="29"/>
      <c r="B79" s="29" t="s">
        <v>213</v>
      </c>
      <c r="C79" s="22">
        <v>0.0</v>
      </c>
      <c r="D79" s="22">
        <v>0.0</v>
      </c>
      <c r="E79" s="22">
        <v>0.0</v>
      </c>
      <c r="F79" s="22">
        <v>0.0</v>
      </c>
      <c r="G79" s="22">
        <v>0.0</v>
      </c>
      <c r="H79" s="22">
        <v>5407.0</v>
      </c>
      <c r="I79" s="22">
        <v>25204.0</v>
      </c>
      <c r="J79" s="22">
        <v>2794.0</v>
      </c>
      <c r="K79" s="22">
        <v>467.0</v>
      </c>
      <c r="L79" s="21">
        <f t="shared" ref="L79:Q79" si="42">K79</f>
        <v>467</v>
      </c>
      <c r="M79" s="21">
        <f t="shared" si="42"/>
        <v>467</v>
      </c>
      <c r="N79" s="21">
        <f t="shared" si="42"/>
        <v>467</v>
      </c>
      <c r="O79" s="21">
        <f t="shared" si="42"/>
        <v>467</v>
      </c>
      <c r="P79" s="21">
        <f t="shared" si="42"/>
        <v>467</v>
      </c>
      <c r="Q79" s="21">
        <f t="shared" si="42"/>
        <v>467</v>
      </c>
    </row>
    <row r="80" ht="15.75" hidden="1" customHeight="1" outlineLevel="1">
      <c r="A80" s="1"/>
      <c r="B80" s="1"/>
      <c r="J80" s="19"/>
      <c r="K80" s="19"/>
    </row>
    <row r="81" ht="15.75" hidden="1" customHeight="1" outlineLevel="1">
      <c r="A81" s="18"/>
      <c r="B81" s="18" t="s">
        <v>60</v>
      </c>
      <c r="C81" s="27">
        <f t="shared" ref="C81:I81" si="43">SUM(C82:C91)</f>
        <v>79511</v>
      </c>
      <c r="D81" s="27">
        <f t="shared" si="43"/>
        <v>87980</v>
      </c>
      <c r="E81" s="27">
        <f t="shared" si="43"/>
        <v>79300</v>
      </c>
      <c r="F81" s="27">
        <f t="shared" si="43"/>
        <v>123727</v>
      </c>
      <c r="G81" s="27">
        <f t="shared" si="43"/>
        <v>84406</v>
      </c>
      <c r="H81" s="27">
        <f t="shared" si="43"/>
        <v>180970</v>
      </c>
      <c r="I81" s="27">
        <f t="shared" si="43"/>
        <v>167934</v>
      </c>
      <c r="J81" s="27">
        <f t="shared" ref="J81:Q81" si="44">sum(J82:J91)</f>
        <v>156692</v>
      </c>
      <c r="K81" s="27">
        <f t="shared" si="44"/>
        <v>226338</v>
      </c>
      <c r="L81" s="27">
        <f t="shared" si="44"/>
        <v>209876.9401</v>
      </c>
      <c r="M81" s="27">
        <f t="shared" si="44"/>
        <v>245214.4084</v>
      </c>
      <c r="N81" s="27">
        <f t="shared" si="44"/>
        <v>286605.6154</v>
      </c>
      <c r="O81" s="27">
        <f t="shared" si="44"/>
        <v>335099.7624</v>
      </c>
      <c r="P81" s="27">
        <f t="shared" si="44"/>
        <v>391929.2833</v>
      </c>
      <c r="Q81" s="27">
        <f t="shared" si="44"/>
        <v>458542.0012</v>
      </c>
      <c r="R81" s="34"/>
      <c r="S81" s="34"/>
      <c r="T81" s="34"/>
      <c r="U81" s="34"/>
      <c r="V81" s="34"/>
      <c r="W81" s="34"/>
      <c r="X81" s="34"/>
      <c r="Y81" s="34"/>
      <c r="Z81" s="34"/>
      <c r="AA81" s="34"/>
    </row>
    <row r="82" ht="15.75" hidden="1" customHeight="1" outlineLevel="1">
      <c r="A82" s="1"/>
      <c r="B82" s="1"/>
      <c r="C82" s="19"/>
      <c r="D82" s="19"/>
      <c r="E82" s="19"/>
      <c r="F82" s="19"/>
      <c r="G82" s="19"/>
      <c r="H82" s="19"/>
      <c r="I82" s="19"/>
      <c r="J82" s="19"/>
      <c r="K82" s="19"/>
    </row>
    <row r="83" ht="15.75" hidden="1" customHeight="1" outlineLevel="1">
      <c r="A83" s="16"/>
      <c r="B83" s="16" t="s">
        <v>61</v>
      </c>
      <c r="C83" s="22">
        <v>31326.0</v>
      </c>
      <c r="D83" s="22">
        <v>32637.0</v>
      </c>
      <c r="E83" s="22">
        <v>31602.0</v>
      </c>
      <c r="F83" s="22">
        <v>33226.0</v>
      </c>
      <c r="G83" s="22">
        <v>32139.0</v>
      </c>
      <c r="H83" s="22">
        <v>30490.0</v>
      </c>
      <c r="I83" s="22">
        <v>35323.0</v>
      </c>
      <c r="J83" s="22">
        <v>54435.0</v>
      </c>
      <c r="K83" s="22">
        <v>53181.0</v>
      </c>
      <c r="L83" s="19">
        <f t="shared" ref="L83:Q83" si="45">L155</f>
        <v>69824.85122</v>
      </c>
      <c r="M83" s="19">
        <f t="shared" si="45"/>
        <v>81581.42375</v>
      </c>
      <c r="N83" s="19">
        <f t="shared" si="45"/>
        <v>95352.0403</v>
      </c>
      <c r="O83" s="19">
        <f t="shared" si="45"/>
        <v>111485.7642</v>
      </c>
      <c r="P83" s="19">
        <f t="shared" si="45"/>
        <v>130392.619</v>
      </c>
      <c r="Q83" s="19">
        <f t="shared" si="45"/>
        <v>152554.2873</v>
      </c>
    </row>
    <row r="84" ht="15.75" hidden="1" customHeight="1" outlineLevel="1">
      <c r="A84" s="16"/>
      <c r="B84" s="16" t="s">
        <v>62</v>
      </c>
      <c r="C84" s="22">
        <v>13234.0</v>
      </c>
      <c r="D84" s="22">
        <v>12026.0</v>
      </c>
      <c r="E84" s="22">
        <v>14654.0</v>
      </c>
      <c r="F84" s="22">
        <v>23128.0</v>
      </c>
      <c r="G84" s="22">
        <v>21298.0</v>
      </c>
      <c r="H84" s="22">
        <v>12799.0</v>
      </c>
      <c r="I84" s="22">
        <v>20345.0</v>
      </c>
      <c r="J84" s="22">
        <v>32848.0</v>
      </c>
      <c r="K84" s="22">
        <v>45968.0</v>
      </c>
      <c r="L84" s="19">
        <f t="shared" ref="L84:Q84" si="46">L156</f>
        <v>52368.63842</v>
      </c>
      <c r="M84" s="19">
        <f t="shared" si="46"/>
        <v>61186.06781</v>
      </c>
      <c r="N84" s="19">
        <f t="shared" si="46"/>
        <v>71514.03023</v>
      </c>
      <c r="O84" s="19">
        <f t="shared" si="46"/>
        <v>83614.32315</v>
      </c>
      <c r="P84" s="19">
        <f t="shared" si="46"/>
        <v>97794.46428</v>
      </c>
      <c r="Q84" s="19">
        <f t="shared" si="46"/>
        <v>114415.7154</v>
      </c>
    </row>
    <row r="85" ht="15.75" hidden="1" customHeight="1" outlineLevel="1">
      <c r="A85" s="16"/>
      <c r="B85" s="16" t="s">
        <v>63</v>
      </c>
      <c r="C85" s="22">
        <v>507.0</v>
      </c>
      <c r="D85" s="22">
        <v>235.0</v>
      </c>
      <c r="E85" s="22">
        <v>740.0</v>
      </c>
      <c r="F85" s="22">
        <v>1878.0</v>
      </c>
      <c r="G85" s="22">
        <v>290.0</v>
      </c>
      <c r="H85" s="22">
        <v>30471.0</v>
      </c>
      <c r="I85" s="22">
        <v>30422.0</v>
      </c>
      <c r="J85" s="22">
        <v>27485.0</v>
      </c>
      <c r="K85" s="22">
        <v>28274.0</v>
      </c>
    </row>
    <row r="86" ht="15.75" hidden="1" customHeight="1" outlineLevel="1">
      <c r="A86" s="16"/>
      <c r="B86" s="16" t="s">
        <v>64</v>
      </c>
      <c r="C86" s="22">
        <v>31.0</v>
      </c>
      <c r="D86" s="22">
        <v>25.0</v>
      </c>
      <c r="E86" s="22">
        <v>30.0</v>
      </c>
      <c r="F86" s="22">
        <v>161.0</v>
      </c>
      <c r="G86" s="22">
        <v>170.0</v>
      </c>
      <c r="H86" s="22">
        <v>230.0</v>
      </c>
      <c r="I86" s="22">
        <v>305.0</v>
      </c>
      <c r="J86" s="22">
        <v>297.0</v>
      </c>
      <c r="K86" s="22">
        <v>327.0</v>
      </c>
      <c r="L86" s="19">
        <f t="shared" ref="L86:Q86" si="47">L157</f>
        <v>402.3864385</v>
      </c>
      <c r="M86" s="19">
        <f t="shared" si="47"/>
        <v>470.1371786</v>
      </c>
      <c r="N86" s="19">
        <f t="shared" si="47"/>
        <v>549.4944455</v>
      </c>
      <c r="O86" s="19">
        <f t="shared" si="47"/>
        <v>642.4698201</v>
      </c>
      <c r="P86" s="19">
        <f t="shared" si="47"/>
        <v>751.4261852</v>
      </c>
      <c r="Q86" s="19">
        <f t="shared" si="47"/>
        <v>879.1393789</v>
      </c>
    </row>
    <row r="87" ht="15.75" hidden="1" customHeight="1" outlineLevel="1">
      <c r="A87" s="16"/>
      <c r="B87" s="16" t="s">
        <v>65</v>
      </c>
      <c r="C87" s="22">
        <v>16611.0</v>
      </c>
      <c r="D87" s="22">
        <v>15408.0</v>
      </c>
      <c r="E87" s="22">
        <v>13140.0</v>
      </c>
      <c r="F87" s="22">
        <v>5638.0</v>
      </c>
      <c r="G87" s="22">
        <v>7974.0</v>
      </c>
      <c r="H87" s="22">
        <v>9581.0</v>
      </c>
      <c r="I87" s="22">
        <v>14608.0</v>
      </c>
      <c r="J87" s="22">
        <v>15602.0</v>
      </c>
      <c r="K87" s="22">
        <v>25077.0</v>
      </c>
      <c r="L87" s="19">
        <f t="shared" ref="L87:Q87" si="48">L158</f>
        <v>34912.42561</v>
      </c>
      <c r="M87" s="19">
        <f t="shared" si="48"/>
        <v>40790.71187</v>
      </c>
      <c r="N87" s="19">
        <f t="shared" si="48"/>
        <v>47676.02015</v>
      </c>
      <c r="O87" s="19">
        <f t="shared" si="48"/>
        <v>55742.8821</v>
      </c>
      <c r="P87" s="19">
        <f t="shared" si="48"/>
        <v>65196.30952</v>
      </c>
      <c r="Q87" s="19">
        <f t="shared" si="48"/>
        <v>76277.14363</v>
      </c>
    </row>
    <row r="88" ht="15.75" hidden="1" customHeight="1" outlineLevel="1">
      <c r="A88" s="28"/>
      <c r="B88" s="16" t="s">
        <v>66</v>
      </c>
      <c r="C88" s="22">
        <v>4906.0</v>
      </c>
      <c r="D88" s="22">
        <v>4910.0</v>
      </c>
      <c r="E88" s="22">
        <v>4115.0</v>
      </c>
      <c r="F88" s="22">
        <v>4277.0</v>
      </c>
      <c r="G88" s="22">
        <v>5272.0</v>
      </c>
      <c r="H88" s="22">
        <v>0.0</v>
      </c>
      <c r="I88" s="22">
        <v>0.0</v>
      </c>
      <c r="J88" s="22">
        <v>0.0</v>
      </c>
      <c r="K88" s="22">
        <v>0.0</v>
      </c>
      <c r="L88" s="19">
        <f t="shared" ref="L88:Q88" si="49">L159</f>
        <v>0</v>
      </c>
      <c r="M88" s="19">
        <f t="shared" si="49"/>
        <v>0</v>
      </c>
      <c r="N88" s="19">
        <f t="shared" si="49"/>
        <v>0</v>
      </c>
      <c r="O88" s="19">
        <f t="shared" si="49"/>
        <v>0</v>
      </c>
      <c r="P88" s="19">
        <f t="shared" si="49"/>
        <v>0</v>
      </c>
      <c r="Q88" s="19">
        <f t="shared" si="49"/>
        <v>0</v>
      </c>
    </row>
    <row r="89" ht="15.75" hidden="1" customHeight="1" outlineLevel="1">
      <c r="A89" s="16"/>
      <c r="B89" s="16" t="s">
        <v>67</v>
      </c>
      <c r="C89" s="22">
        <v>11413.0</v>
      </c>
      <c r="D89" s="22">
        <v>21788.0</v>
      </c>
      <c r="E89" s="22">
        <v>12173.0</v>
      </c>
      <c r="F89" s="22">
        <v>50455.0</v>
      </c>
      <c r="G89" s="22">
        <v>12188.0</v>
      </c>
      <c r="H89" s="22">
        <v>84157.0</v>
      </c>
      <c r="I89" s="22">
        <v>41001.0</v>
      </c>
      <c r="J89" s="22">
        <v>0.0</v>
      </c>
      <c r="K89" s="22">
        <v>39122.0</v>
      </c>
      <c r="L89" s="19">
        <f t="shared" ref="L89:Q89" si="50">L160</f>
        <v>52368.63842</v>
      </c>
      <c r="M89" s="19">
        <f t="shared" si="50"/>
        <v>61186.06781</v>
      </c>
      <c r="N89" s="19">
        <f t="shared" si="50"/>
        <v>71514.03023</v>
      </c>
      <c r="O89" s="19">
        <f t="shared" si="50"/>
        <v>83614.32315</v>
      </c>
      <c r="P89" s="19">
        <f t="shared" si="50"/>
        <v>97794.46428</v>
      </c>
      <c r="Q89" s="19">
        <f t="shared" si="50"/>
        <v>114415.7154</v>
      </c>
    </row>
    <row r="90" ht="15.75" hidden="1" customHeight="1" outlineLevel="1">
      <c r="A90" s="16"/>
      <c r="B90" s="1" t="s">
        <v>57</v>
      </c>
      <c r="C90" s="22">
        <v>1483.0</v>
      </c>
      <c r="D90" s="22">
        <v>951.0</v>
      </c>
      <c r="E90" s="22">
        <v>2846.0</v>
      </c>
      <c r="F90" s="22">
        <v>4964.0</v>
      </c>
      <c r="G90" s="22">
        <v>5075.0</v>
      </c>
      <c r="H90" s="22">
        <v>13242.0</v>
      </c>
      <c r="I90" s="22">
        <v>25930.0</v>
      </c>
      <c r="J90" s="22">
        <v>26025.0</v>
      </c>
      <c r="K90" s="22">
        <v>34186.0</v>
      </c>
      <c r="L90" s="196"/>
      <c r="M90" s="196"/>
      <c r="N90" s="196"/>
      <c r="O90" s="196"/>
      <c r="P90" s="196"/>
      <c r="Q90" s="196"/>
    </row>
    <row r="91" ht="15.75" hidden="1" customHeight="1" outlineLevel="1">
      <c r="A91" s="1"/>
      <c r="B91" s="28" t="s">
        <v>214</v>
      </c>
      <c r="C91" s="22">
        <v>0.0</v>
      </c>
      <c r="D91" s="22">
        <v>0.0</v>
      </c>
      <c r="E91" s="22">
        <v>0.0</v>
      </c>
      <c r="F91" s="22">
        <v>0.0</v>
      </c>
      <c r="G91" s="22">
        <v>0.0</v>
      </c>
      <c r="H91" s="22">
        <v>0.0</v>
      </c>
      <c r="I91" s="22">
        <v>0.0</v>
      </c>
      <c r="J91" s="22">
        <v>0.0</v>
      </c>
      <c r="K91" s="22">
        <v>203.0</v>
      </c>
      <c r="L91" s="196"/>
      <c r="M91" s="196"/>
      <c r="N91" s="196"/>
      <c r="O91" s="196"/>
      <c r="P91" s="196"/>
      <c r="Q91" s="196"/>
    </row>
    <row r="92" ht="15.75" hidden="1" customHeight="1" outlineLevel="1">
      <c r="A92" s="18"/>
      <c r="B92" s="8" t="s">
        <v>49</v>
      </c>
      <c r="C92" s="30">
        <f>sum(C81,C68)</f>
        <v>427255</v>
      </c>
      <c r="D92" s="30">
        <f t="shared" ref="D92:I92" si="51">SUM(D68,D81)</f>
        <v>519605</v>
      </c>
      <c r="E92" s="30">
        <f t="shared" si="51"/>
        <v>602484</v>
      </c>
      <c r="F92" s="30">
        <f t="shared" si="51"/>
        <v>639687</v>
      </c>
      <c r="G92" s="30">
        <f t="shared" si="51"/>
        <v>636277</v>
      </c>
      <c r="H92" s="30">
        <f t="shared" si="51"/>
        <v>713761</v>
      </c>
      <c r="I92" s="30">
        <f t="shared" si="51"/>
        <v>746555</v>
      </c>
      <c r="J92" s="27">
        <f t="shared" ref="J92:Q92" si="52">sum(J81,J68)</f>
        <v>1003854</v>
      </c>
      <c r="K92" s="27">
        <f t="shared" si="52"/>
        <v>1153508</v>
      </c>
      <c r="L92" s="27">
        <f t="shared" si="52"/>
        <v>781050.9401</v>
      </c>
      <c r="M92" s="27">
        <f t="shared" si="52"/>
        <v>816388.4084</v>
      </c>
      <c r="N92" s="27">
        <f t="shared" si="52"/>
        <v>857779.6154</v>
      </c>
      <c r="O92" s="27">
        <f t="shared" si="52"/>
        <v>906273.7624</v>
      </c>
      <c r="P92" s="27">
        <f t="shared" si="52"/>
        <v>963103.2833</v>
      </c>
      <c r="Q92" s="27">
        <f t="shared" si="52"/>
        <v>1029716.001</v>
      </c>
    </row>
    <row r="93" ht="15.75" hidden="1" customHeight="1" outlineLevel="1">
      <c r="A93" s="1"/>
      <c r="B93" s="1"/>
    </row>
    <row r="94" ht="15.75" hidden="1" customHeight="1" outlineLevel="1">
      <c r="A94" s="212" t="s">
        <v>207</v>
      </c>
      <c r="B94" s="17" t="s">
        <v>68</v>
      </c>
      <c r="C94" s="156">
        <v>1500000.0</v>
      </c>
      <c r="D94" s="156">
        <v>1550000.0</v>
      </c>
      <c r="E94" s="156">
        <v>1560000.0</v>
      </c>
      <c r="F94" s="156">
        <v>1580000.0</v>
      </c>
      <c r="G94" s="156">
        <v>2000000.0</v>
      </c>
      <c r="H94" s="156">
        <v>2250000.0</v>
      </c>
      <c r="I94" s="156">
        <v>2250000.0</v>
      </c>
      <c r="J94" s="156">
        <v>2250000.0</v>
      </c>
      <c r="K94" s="156">
        <v>2250000.0</v>
      </c>
      <c r="L94" s="34">
        <f t="shared" ref="L94:Q94" si="53">K94+L95</f>
        <v>2550000</v>
      </c>
      <c r="M94" s="34">
        <f t="shared" si="53"/>
        <v>2850000</v>
      </c>
      <c r="N94" s="34">
        <f t="shared" si="53"/>
        <v>3150000</v>
      </c>
      <c r="O94" s="34">
        <f t="shared" si="53"/>
        <v>3450000</v>
      </c>
      <c r="P94" s="34">
        <f t="shared" si="53"/>
        <v>3750000</v>
      </c>
      <c r="Q94" s="34">
        <f t="shared" si="53"/>
        <v>4050000</v>
      </c>
      <c r="R94" s="34"/>
      <c r="S94" s="34"/>
      <c r="T94" s="34"/>
      <c r="U94" s="34"/>
      <c r="V94" s="34"/>
      <c r="W94" s="34"/>
      <c r="X94" s="34"/>
      <c r="Y94" s="34"/>
      <c r="Z94" s="34"/>
      <c r="AA94" s="34"/>
    </row>
    <row r="95" ht="15.75" hidden="1" customHeight="1" outlineLevel="1">
      <c r="A95" s="5"/>
      <c r="B95" s="5" t="s">
        <v>69</v>
      </c>
      <c r="D95" s="44">
        <f t="shared" ref="D95:K95" si="54">D94-C94</f>
        <v>50000</v>
      </c>
      <c r="E95" s="44">
        <f t="shared" si="54"/>
        <v>10000</v>
      </c>
      <c r="F95" s="44">
        <f t="shared" si="54"/>
        <v>20000</v>
      </c>
      <c r="G95" s="44">
        <f t="shared" si="54"/>
        <v>420000</v>
      </c>
      <c r="H95" s="44">
        <f t="shared" si="54"/>
        <v>250000</v>
      </c>
      <c r="I95" s="44">
        <f t="shared" si="54"/>
        <v>0</v>
      </c>
      <c r="J95" s="44">
        <f t="shared" si="54"/>
        <v>0</v>
      </c>
      <c r="K95" s="44">
        <f t="shared" si="54"/>
        <v>0</v>
      </c>
      <c r="L95" s="213">
        <v>300000.0</v>
      </c>
      <c r="M95" s="214">
        <f t="shared" ref="M95:Q95" si="55">L95</f>
        <v>300000</v>
      </c>
      <c r="N95" s="214">
        <f t="shared" si="55"/>
        <v>300000</v>
      </c>
      <c r="O95" s="214">
        <f t="shared" si="55"/>
        <v>300000</v>
      </c>
      <c r="P95" s="214">
        <f t="shared" si="55"/>
        <v>300000</v>
      </c>
      <c r="Q95" s="214">
        <f t="shared" si="55"/>
        <v>300000</v>
      </c>
    </row>
    <row r="96" ht="15.75" hidden="1" customHeight="1" outlineLevel="1">
      <c r="A96" s="5"/>
      <c r="B96" s="5"/>
    </row>
    <row r="97" ht="15.75" hidden="1" customHeight="1" outlineLevel="1">
      <c r="A97" s="5"/>
      <c r="B97" s="5" t="s">
        <v>70</v>
      </c>
      <c r="C97" s="15">
        <v>1305351.0</v>
      </c>
      <c r="D97" s="15">
        <v>1444541.0</v>
      </c>
      <c r="E97" s="15">
        <v>1653500.0</v>
      </c>
      <c r="F97" s="15">
        <v>1753700.0</v>
      </c>
      <c r="G97" s="15">
        <v>1461126.0</v>
      </c>
      <c r="H97" s="15">
        <v>1361722.0</v>
      </c>
      <c r="I97" s="15">
        <v>1414277.0</v>
      </c>
      <c r="J97" s="15">
        <v>1706831.0</v>
      </c>
      <c r="K97" s="15">
        <v>1852256.0</v>
      </c>
      <c r="L97" s="196"/>
      <c r="M97" s="196"/>
      <c r="N97" s="196"/>
      <c r="O97" s="196"/>
      <c r="P97" s="196"/>
      <c r="Q97" s="196"/>
    </row>
    <row r="98" ht="15.75" hidden="1" customHeight="1" outlineLevel="1">
      <c r="A98" s="5"/>
      <c r="B98" s="5" t="s">
        <v>71</v>
      </c>
      <c r="C98" s="15">
        <v>123897.0</v>
      </c>
      <c r="D98" s="15">
        <v>124062.0</v>
      </c>
      <c r="E98" s="15">
        <v>126074.0</v>
      </c>
      <c r="F98" s="15">
        <v>108749.0</v>
      </c>
      <c r="G98" s="15">
        <v>102171.0</v>
      </c>
      <c r="H98" s="15">
        <v>96139.0</v>
      </c>
      <c r="I98" s="15">
        <v>238376.0</v>
      </c>
      <c r="J98" s="15">
        <v>259333.0</v>
      </c>
      <c r="K98" s="15">
        <v>283067.0</v>
      </c>
      <c r="L98" s="196"/>
      <c r="M98" s="196"/>
      <c r="N98" s="196"/>
      <c r="O98" s="196"/>
      <c r="P98" s="196"/>
      <c r="Q98" s="196"/>
    </row>
    <row r="99" ht="15.75" hidden="1" customHeight="1" outlineLevel="1">
      <c r="A99" s="17"/>
      <c r="B99" s="17" t="s">
        <v>49</v>
      </c>
      <c r="C99" s="34">
        <f t="shared" ref="C99:K99" si="56">SUM(C97:C98)</f>
        <v>1429248</v>
      </c>
      <c r="D99" s="34">
        <f t="shared" si="56"/>
        <v>1568603</v>
      </c>
      <c r="E99" s="34">
        <f t="shared" si="56"/>
        <v>1779574</v>
      </c>
      <c r="F99" s="34">
        <f t="shared" si="56"/>
        <v>1862449</v>
      </c>
      <c r="G99" s="34">
        <f t="shared" si="56"/>
        <v>1563297</v>
      </c>
      <c r="H99" s="34">
        <f t="shared" si="56"/>
        <v>1457861</v>
      </c>
      <c r="I99" s="34">
        <f t="shared" si="56"/>
        <v>1652653</v>
      </c>
      <c r="J99" s="34">
        <f t="shared" si="56"/>
        <v>1966164</v>
      </c>
      <c r="K99" s="34">
        <f t="shared" si="56"/>
        <v>2135323</v>
      </c>
      <c r="L99" s="54">
        <f t="shared" ref="L99:Q99" si="57">L110*L117</f>
        <v>2388726.764</v>
      </c>
      <c r="M99" s="54">
        <f t="shared" si="57"/>
        <v>2537202.039</v>
      </c>
      <c r="N99" s="54">
        <f t="shared" si="57"/>
        <v>2695883.226</v>
      </c>
      <c r="O99" s="54">
        <f t="shared" si="57"/>
        <v>2865482.868</v>
      </c>
      <c r="P99" s="54">
        <f t="shared" si="57"/>
        <v>3046763.362</v>
      </c>
      <c r="Q99" s="54">
        <f t="shared" si="57"/>
        <v>3240540.458</v>
      </c>
      <c r="R99" s="34"/>
      <c r="S99" s="34"/>
      <c r="T99" s="34"/>
      <c r="U99" s="34"/>
      <c r="V99" s="34"/>
      <c r="W99" s="34"/>
      <c r="X99" s="34"/>
      <c r="Y99" s="34"/>
      <c r="Z99" s="34"/>
      <c r="AA99" s="34"/>
    </row>
    <row r="100" ht="15.75" hidden="1" customHeight="1" outlineLevel="1">
      <c r="A100" s="5"/>
      <c r="B100" s="5"/>
      <c r="M100" s="39"/>
    </row>
    <row r="101" ht="15.75" hidden="1" customHeight="1" outlineLevel="1">
      <c r="A101" s="5"/>
      <c r="B101" s="5" t="s">
        <v>72</v>
      </c>
      <c r="C101" s="35">
        <f t="shared" ref="C101:Q101" si="58">C99/C94</f>
        <v>0.952832</v>
      </c>
      <c r="D101" s="35">
        <f t="shared" si="58"/>
        <v>1.012001935</v>
      </c>
      <c r="E101" s="35">
        <f t="shared" si="58"/>
        <v>1.140752564</v>
      </c>
      <c r="F101" s="35">
        <f t="shared" si="58"/>
        <v>1.17876519</v>
      </c>
      <c r="G101" s="35">
        <f t="shared" si="58"/>
        <v>0.7816485</v>
      </c>
      <c r="H101" s="35">
        <f t="shared" si="58"/>
        <v>0.6479382222</v>
      </c>
      <c r="I101" s="35">
        <f t="shared" si="58"/>
        <v>0.7345124444</v>
      </c>
      <c r="J101" s="35">
        <f t="shared" si="58"/>
        <v>0.8738506667</v>
      </c>
      <c r="K101" s="35">
        <f t="shared" si="58"/>
        <v>0.9490324444</v>
      </c>
      <c r="L101" s="35">
        <f t="shared" si="58"/>
        <v>0.9367555938</v>
      </c>
      <c r="M101" s="35">
        <f t="shared" si="58"/>
        <v>0.8902463294</v>
      </c>
      <c r="N101" s="35">
        <f t="shared" si="58"/>
        <v>0.8558359449</v>
      </c>
      <c r="O101" s="35">
        <f t="shared" si="58"/>
        <v>0.8305747443</v>
      </c>
      <c r="P101" s="35">
        <f t="shared" si="58"/>
        <v>0.8124702299</v>
      </c>
      <c r="Q101" s="35">
        <f t="shared" si="58"/>
        <v>0.8001334464</v>
      </c>
    </row>
    <row r="102" ht="15.75" hidden="1" customHeight="1" outlineLevel="1">
      <c r="A102" s="5"/>
      <c r="B102" s="5"/>
    </row>
    <row r="103" ht="15.75" hidden="1" customHeight="1" outlineLevel="1">
      <c r="A103" s="5"/>
      <c r="B103" s="5" t="s">
        <v>73</v>
      </c>
      <c r="C103" s="35"/>
      <c r="D103" s="35">
        <f t="shared" ref="D103:K103" si="59">D97/C97-1</f>
        <v>0.106630324</v>
      </c>
      <c r="E103" s="35">
        <f t="shared" si="59"/>
        <v>0.1446542535</v>
      </c>
      <c r="F103" s="35">
        <f t="shared" si="59"/>
        <v>0.06059872997</v>
      </c>
      <c r="G103" s="35">
        <f t="shared" si="59"/>
        <v>-0.1668324115</v>
      </c>
      <c r="H103" s="35">
        <f t="shared" si="59"/>
        <v>-0.06803246263</v>
      </c>
      <c r="I103" s="35">
        <f t="shared" si="59"/>
        <v>0.03859451489</v>
      </c>
      <c r="J103" s="35">
        <f t="shared" si="59"/>
        <v>0.2068576382</v>
      </c>
      <c r="K103" s="35">
        <f t="shared" si="59"/>
        <v>0.08520175694</v>
      </c>
    </row>
    <row r="104" ht="15.75" hidden="1" customHeight="1" outlineLevel="1">
      <c r="A104" s="5"/>
      <c r="B104" s="5" t="s">
        <v>74</v>
      </c>
      <c r="C104" s="35"/>
      <c r="D104" s="35">
        <f t="shared" ref="D104:K104" si="60">D98/C98-1</f>
        <v>0.001331751374</v>
      </c>
      <c r="E104" s="35">
        <f t="shared" si="60"/>
        <v>0.0162176976</v>
      </c>
      <c r="F104" s="35">
        <f t="shared" si="60"/>
        <v>-0.1374192934</v>
      </c>
      <c r="G104" s="35">
        <f t="shared" si="60"/>
        <v>-0.06048791253</v>
      </c>
      <c r="H104" s="35">
        <f t="shared" si="60"/>
        <v>-0.05903827896</v>
      </c>
      <c r="I104" s="35">
        <f t="shared" si="60"/>
        <v>1.479493234</v>
      </c>
      <c r="J104" s="35">
        <f t="shared" si="60"/>
        <v>0.08791572977</v>
      </c>
      <c r="K104" s="35">
        <f t="shared" si="60"/>
        <v>0.09151939784</v>
      </c>
    </row>
    <row r="105" ht="15.75" hidden="1" customHeight="1" outlineLevel="1">
      <c r="A105" s="17"/>
      <c r="B105" s="17" t="s">
        <v>75</v>
      </c>
      <c r="C105" s="35"/>
      <c r="D105" s="35">
        <f t="shared" ref="D105:K105" si="61">D99/C99-1</f>
        <v>0.0975023229</v>
      </c>
      <c r="E105" s="35">
        <f t="shared" si="61"/>
        <v>0.134496109</v>
      </c>
      <c r="F105" s="35">
        <f t="shared" si="61"/>
        <v>0.0465701342</v>
      </c>
      <c r="G105" s="35">
        <f t="shared" si="61"/>
        <v>-0.1606229218</v>
      </c>
      <c r="H105" s="35">
        <f t="shared" si="61"/>
        <v>-0.06744463784</v>
      </c>
      <c r="I105" s="35">
        <f t="shared" si="61"/>
        <v>0.1336149331</v>
      </c>
      <c r="J105" s="35">
        <f t="shared" si="61"/>
        <v>0.1897016494</v>
      </c>
      <c r="K105" s="35">
        <f t="shared" si="61"/>
        <v>0.08603504082</v>
      </c>
    </row>
    <row r="106" ht="15.75" hidden="1" customHeight="1" outlineLevel="1">
      <c r="A106" s="5"/>
      <c r="B106" s="5"/>
    </row>
    <row r="107" ht="15.75" hidden="1" customHeight="1" outlineLevel="1">
      <c r="A107" s="17"/>
      <c r="B107" s="17" t="s">
        <v>76</v>
      </c>
    </row>
    <row r="108" ht="15.75" hidden="1" customHeight="1" outlineLevel="1">
      <c r="A108" s="5"/>
      <c r="B108" s="5" t="s">
        <v>77</v>
      </c>
      <c r="C108" s="22">
        <v>2789208.0</v>
      </c>
      <c r="D108" s="22">
        <v>3047582.0</v>
      </c>
      <c r="E108" s="22">
        <v>3288581.0</v>
      </c>
      <c r="F108" s="22">
        <v>3377389.0</v>
      </c>
      <c r="G108" s="22">
        <v>2773519.0</v>
      </c>
      <c r="H108" s="22">
        <v>2711457.0</v>
      </c>
      <c r="I108" s="22">
        <v>3069523.0</v>
      </c>
      <c r="J108" s="22">
        <v>3890114.0</v>
      </c>
      <c r="K108" s="22">
        <v>4218746.0</v>
      </c>
      <c r="L108" s="44">
        <f t="shared" ref="L108:Q108" si="62">K108*(1+L111)</f>
        <v>4514058.22</v>
      </c>
      <c r="M108" s="19">
        <f t="shared" si="62"/>
        <v>4830042.295</v>
      </c>
      <c r="N108" s="19">
        <f t="shared" si="62"/>
        <v>5168145.256</v>
      </c>
      <c r="O108" s="19">
        <f t="shared" si="62"/>
        <v>5529915.424</v>
      </c>
      <c r="P108" s="19">
        <f t="shared" si="62"/>
        <v>5917009.504</v>
      </c>
      <c r="Q108" s="19">
        <f t="shared" si="62"/>
        <v>6331200.169</v>
      </c>
    </row>
    <row r="109" ht="15.75" hidden="1" customHeight="1" outlineLevel="1">
      <c r="A109" s="5"/>
      <c r="B109" s="5" t="s">
        <v>71</v>
      </c>
      <c r="C109" s="22">
        <v>653053.0</v>
      </c>
      <c r="D109" s="22">
        <v>758727.0</v>
      </c>
      <c r="E109" s="22">
        <v>748366.0</v>
      </c>
      <c r="F109" s="22">
        <v>676192.0</v>
      </c>
      <c r="G109" s="22">
        <v>662118.0</v>
      </c>
      <c r="H109" s="22">
        <v>404397.0</v>
      </c>
      <c r="I109" s="22">
        <v>577875.0</v>
      </c>
      <c r="J109" s="22">
        <v>662891.0</v>
      </c>
      <c r="K109" s="22">
        <v>672105.0</v>
      </c>
      <c r="L109" s="44">
        <f t="shared" ref="L109:Q109" si="63">K109*(1+L112)</f>
        <v>678826.05</v>
      </c>
      <c r="M109" s="19">
        <f t="shared" si="63"/>
        <v>685614.3105</v>
      </c>
      <c r="N109" s="19">
        <f t="shared" si="63"/>
        <v>692470.4536</v>
      </c>
      <c r="O109" s="19">
        <f t="shared" si="63"/>
        <v>699395.1581</v>
      </c>
      <c r="P109" s="19">
        <f t="shared" si="63"/>
        <v>706389.1097</v>
      </c>
      <c r="Q109" s="19">
        <f t="shared" si="63"/>
        <v>713453.0008</v>
      </c>
    </row>
    <row r="110" ht="15.75" hidden="1" customHeight="1" outlineLevel="1">
      <c r="A110" s="5"/>
      <c r="B110" s="5" t="s">
        <v>49</v>
      </c>
      <c r="C110" s="27">
        <f t="shared" ref="C110:Q110" si="64">sum(C108:C109)</f>
        <v>3442261</v>
      </c>
      <c r="D110" s="27">
        <f t="shared" si="64"/>
        <v>3806309</v>
      </c>
      <c r="E110" s="27">
        <f t="shared" si="64"/>
        <v>4036947</v>
      </c>
      <c r="F110" s="27">
        <f t="shared" si="64"/>
        <v>4053581</v>
      </c>
      <c r="G110" s="27">
        <f t="shared" si="64"/>
        <v>3435637</v>
      </c>
      <c r="H110" s="27">
        <f t="shared" si="64"/>
        <v>3115854</v>
      </c>
      <c r="I110" s="27">
        <f t="shared" si="64"/>
        <v>3647398</v>
      </c>
      <c r="J110" s="27">
        <f t="shared" si="64"/>
        <v>4553005</v>
      </c>
      <c r="K110" s="27">
        <f t="shared" si="64"/>
        <v>4890851</v>
      </c>
      <c r="L110" s="34">
        <f t="shared" si="64"/>
        <v>5192884.27</v>
      </c>
      <c r="M110" s="27">
        <f t="shared" si="64"/>
        <v>5515656.606</v>
      </c>
      <c r="N110" s="27">
        <f t="shared" si="64"/>
        <v>5860615.71</v>
      </c>
      <c r="O110" s="27">
        <f t="shared" si="64"/>
        <v>6229310.582</v>
      </c>
      <c r="P110" s="27">
        <f t="shared" si="64"/>
        <v>6623398.613</v>
      </c>
      <c r="Q110" s="27">
        <f t="shared" si="64"/>
        <v>7044653.17</v>
      </c>
    </row>
    <row r="111" ht="15.75" hidden="1" customHeight="1" outlineLevel="1">
      <c r="A111" s="5"/>
      <c r="B111" s="5" t="s">
        <v>78</v>
      </c>
      <c r="D111" s="39">
        <f t="shared" ref="D111:K111" si="65">D108/C108-1</f>
        <v>0.09263346441</v>
      </c>
      <c r="E111" s="39">
        <f t="shared" si="65"/>
        <v>0.07907875818</v>
      </c>
      <c r="F111" s="39">
        <f t="shared" si="65"/>
        <v>0.0270049605</v>
      </c>
      <c r="G111" s="39">
        <f t="shared" si="65"/>
        <v>-0.178797882</v>
      </c>
      <c r="H111" s="39">
        <f t="shared" si="65"/>
        <v>-0.02237662695</v>
      </c>
      <c r="I111" s="39">
        <f t="shared" si="65"/>
        <v>0.1320566765</v>
      </c>
      <c r="J111" s="39">
        <f t="shared" si="65"/>
        <v>0.2673350224</v>
      </c>
      <c r="K111" s="39">
        <f t="shared" si="65"/>
        <v>0.08447875821</v>
      </c>
      <c r="L111" s="40">
        <v>0.07</v>
      </c>
      <c r="M111" s="215">
        <f t="shared" ref="M111:Q111" si="66">L111</f>
        <v>0.07</v>
      </c>
      <c r="N111" s="215">
        <f t="shared" si="66"/>
        <v>0.07</v>
      </c>
      <c r="O111" s="215">
        <f t="shared" si="66"/>
        <v>0.07</v>
      </c>
      <c r="P111" s="215">
        <f t="shared" si="66"/>
        <v>0.07</v>
      </c>
      <c r="Q111" s="215">
        <f t="shared" si="66"/>
        <v>0.07</v>
      </c>
    </row>
    <row r="112" ht="15.75" hidden="1" customHeight="1" outlineLevel="1">
      <c r="A112" s="5"/>
      <c r="B112" s="5" t="s">
        <v>79</v>
      </c>
      <c r="D112" s="39">
        <f t="shared" ref="D112:K112" si="67">D109/C109-1</f>
        <v>0.1618153504</v>
      </c>
      <c r="E112" s="39">
        <f t="shared" si="67"/>
        <v>-0.01365576815</v>
      </c>
      <c r="F112" s="39">
        <f t="shared" si="67"/>
        <v>-0.09644211522</v>
      </c>
      <c r="G112" s="39">
        <f t="shared" si="67"/>
        <v>-0.02081361507</v>
      </c>
      <c r="H112" s="39">
        <f t="shared" si="67"/>
        <v>-0.3892372659</v>
      </c>
      <c r="I112" s="39">
        <f t="shared" si="67"/>
        <v>0.4289794435</v>
      </c>
      <c r="J112" s="39">
        <f t="shared" si="67"/>
        <v>0.1471183214</v>
      </c>
      <c r="K112" s="39">
        <f t="shared" si="67"/>
        <v>0.01389972107</v>
      </c>
      <c r="L112" s="40">
        <v>0.01</v>
      </c>
      <c r="M112" s="215">
        <f t="shared" ref="M112:Q112" si="68">L112</f>
        <v>0.01</v>
      </c>
      <c r="N112" s="215">
        <f t="shared" si="68"/>
        <v>0.01</v>
      </c>
      <c r="O112" s="215">
        <f t="shared" si="68"/>
        <v>0.01</v>
      </c>
      <c r="P112" s="215">
        <f t="shared" si="68"/>
        <v>0.01</v>
      </c>
      <c r="Q112" s="215">
        <f t="shared" si="68"/>
        <v>0.01</v>
      </c>
    </row>
    <row r="113" ht="15.75" hidden="1" customHeight="1" outlineLevel="1">
      <c r="A113" s="5"/>
      <c r="B113" s="5"/>
    </row>
    <row r="114" ht="15.75" hidden="1" customHeight="1" outlineLevel="1">
      <c r="A114" s="17"/>
      <c r="B114" s="17" t="s">
        <v>80</v>
      </c>
    </row>
    <row r="115" ht="15.75" hidden="1" customHeight="1" outlineLevel="1">
      <c r="A115" s="5"/>
      <c r="B115" s="5" t="s">
        <v>70</v>
      </c>
      <c r="C115" s="39">
        <f t="shared" ref="C115:K115" si="69">C97/C108</f>
        <v>0.4680005937</v>
      </c>
      <c r="D115" s="39">
        <f t="shared" si="69"/>
        <v>0.4739957776</v>
      </c>
      <c r="E115" s="39">
        <f t="shared" si="69"/>
        <v>0.502800448</v>
      </c>
      <c r="F115" s="39">
        <f t="shared" si="69"/>
        <v>0.5192472647</v>
      </c>
      <c r="G115" s="39">
        <f t="shared" si="69"/>
        <v>0.5268130487</v>
      </c>
      <c r="H115" s="39">
        <f t="shared" si="69"/>
        <v>0.5022104352</v>
      </c>
      <c r="I115" s="39">
        <f t="shared" si="69"/>
        <v>0.4607481358</v>
      </c>
      <c r="J115" s="39">
        <f t="shared" si="69"/>
        <v>0.4387611777</v>
      </c>
      <c r="K115" s="39">
        <f t="shared" si="69"/>
        <v>0.4390536904</v>
      </c>
      <c r="L115" s="39">
        <f>(K115/C115)^(1/9)-1</f>
        <v>-0.0070691019</v>
      </c>
    </row>
    <row r="116" ht="15.75" hidden="1" customHeight="1" outlineLevel="1">
      <c r="A116" s="5"/>
      <c r="B116" s="5" t="s">
        <v>71</v>
      </c>
      <c r="C116" s="39">
        <f t="shared" ref="C116:K116" si="70">C98/C109</f>
        <v>0.1897196705</v>
      </c>
      <c r="D116" s="39">
        <f t="shared" si="70"/>
        <v>0.1635133586</v>
      </c>
      <c r="E116" s="39">
        <f t="shared" si="70"/>
        <v>0.1684656973</v>
      </c>
      <c r="F116" s="39">
        <f t="shared" si="70"/>
        <v>0.1608256235</v>
      </c>
      <c r="G116" s="39">
        <f t="shared" si="70"/>
        <v>0.1543093527</v>
      </c>
      <c r="H116" s="39">
        <f t="shared" si="70"/>
        <v>0.2377342067</v>
      </c>
      <c r="I116" s="39">
        <f t="shared" si="70"/>
        <v>0.4125044343</v>
      </c>
      <c r="J116" s="39">
        <f t="shared" si="70"/>
        <v>0.391215147</v>
      </c>
      <c r="K116" s="39">
        <f t="shared" si="70"/>
        <v>0.4211648478</v>
      </c>
    </row>
    <row r="117" ht="15.75" hidden="1" customHeight="1" outlineLevel="1">
      <c r="A117" s="5"/>
      <c r="B117" s="5" t="s">
        <v>81</v>
      </c>
      <c r="C117" s="39">
        <f t="shared" ref="C117:K117" si="71">C99/C110</f>
        <v>0.4152061683</v>
      </c>
      <c r="D117" s="39">
        <f t="shared" si="71"/>
        <v>0.4121060587</v>
      </c>
      <c r="E117" s="39">
        <f t="shared" si="71"/>
        <v>0.4408217398</v>
      </c>
      <c r="F117" s="39">
        <f t="shared" si="71"/>
        <v>0.4594576993</v>
      </c>
      <c r="G117" s="39">
        <f t="shared" si="71"/>
        <v>0.4550239155</v>
      </c>
      <c r="H117" s="39">
        <f t="shared" si="71"/>
        <v>0.4678848881</v>
      </c>
      <c r="I117" s="39">
        <f t="shared" si="71"/>
        <v>0.4531046516</v>
      </c>
      <c r="J117" s="39">
        <f t="shared" si="71"/>
        <v>0.4318387526</v>
      </c>
      <c r="K117" s="39">
        <f t="shared" si="71"/>
        <v>0.43659539</v>
      </c>
      <c r="L117" s="216">
        <v>0.46</v>
      </c>
      <c r="M117" s="217">
        <f t="shared" ref="M117:Q117" si="72">L117</f>
        <v>0.46</v>
      </c>
      <c r="N117" s="217">
        <f t="shared" si="72"/>
        <v>0.46</v>
      </c>
      <c r="O117" s="217">
        <f t="shared" si="72"/>
        <v>0.46</v>
      </c>
      <c r="P117" s="217">
        <f t="shared" si="72"/>
        <v>0.46</v>
      </c>
      <c r="Q117" s="217">
        <f t="shared" si="72"/>
        <v>0.46</v>
      </c>
    </row>
    <row r="118" ht="15.75" hidden="1" customHeight="1" outlineLevel="1">
      <c r="A118" s="5"/>
      <c r="B118" s="5"/>
    </row>
    <row r="119" ht="15.75" hidden="1" customHeight="1" outlineLevel="1">
      <c r="A119" s="5"/>
      <c r="B119" s="5"/>
    </row>
    <row r="120" ht="15.75" hidden="1" customHeight="1" outlineLevel="1">
      <c r="A120" s="5"/>
      <c r="B120" s="5" t="s">
        <v>82</v>
      </c>
      <c r="C120" s="19">
        <f t="shared" ref="C120:K120" si="73">(C3/C99)*10^6</f>
        <v>399241.4193</v>
      </c>
      <c r="D120" s="19">
        <f t="shared" si="73"/>
        <v>434048.6407</v>
      </c>
      <c r="E120" s="19">
        <f t="shared" si="73"/>
        <v>448474.7473</v>
      </c>
      <c r="F120" s="19">
        <f t="shared" si="73"/>
        <v>462125.4059</v>
      </c>
      <c r="G120" s="19">
        <f t="shared" si="73"/>
        <v>483977.1329</v>
      </c>
      <c r="H120" s="19">
        <f t="shared" si="73"/>
        <v>482707.1991</v>
      </c>
      <c r="I120" s="19">
        <f t="shared" si="73"/>
        <v>534472.7538</v>
      </c>
      <c r="J120" s="19">
        <f t="shared" si="73"/>
        <v>602238.1653</v>
      </c>
      <c r="K120" s="19">
        <f t="shared" si="73"/>
        <v>664340.711</v>
      </c>
      <c r="L120" s="19">
        <f t="shared" ref="L120:Q120" si="74">K120*(1+L121)</f>
        <v>730774.7821</v>
      </c>
      <c r="M120" s="19">
        <f t="shared" si="74"/>
        <v>803852.2603</v>
      </c>
      <c r="N120" s="19">
        <f t="shared" si="74"/>
        <v>884237.4863</v>
      </c>
      <c r="O120" s="19">
        <f t="shared" si="74"/>
        <v>972661.235</v>
      </c>
      <c r="P120" s="19">
        <f t="shared" si="74"/>
        <v>1069927.358</v>
      </c>
      <c r="Q120" s="19">
        <f t="shared" si="74"/>
        <v>1176920.094</v>
      </c>
    </row>
    <row r="121" ht="15.75" hidden="1" customHeight="1" outlineLevel="1">
      <c r="A121" s="5"/>
      <c r="B121" s="5" t="s">
        <v>83</v>
      </c>
      <c r="D121" s="39">
        <f t="shared" ref="D121:K121" si="75">D120/C120-1</f>
        <v>0.08718339278</v>
      </c>
      <c r="E121" s="39">
        <f t="shared" si="75"/>
        <v>0.03323615199</v>
      </c>
      <c r="F121" s="39">
        <f t="shared" si="75"/>
        <v>0.03043796469</v>
      </c>
      <c r="G121" s="39">
        <f t="shared" si="75"/>
        <v>0.04728527542</v>
      </c>
      <c r="H121" s="39">
        <f t="shared" si="75"/>
        <v>-0.002623954209</v>
      </c>
      <c r="I121" s="39">
        <f t="shared" si="75"/>
        <v>0.1072400718</v>
      </c>
      <c r="J121" s="39">
        <f t="shared" si="75"/>
        <v>0.1267892722</v>
      </c>
      <c r="K121" s="39">
        <f t="shared" si="75"/>
        <v>0.1031195784</v>
      </c>
      <c r="L121" s="209">
        <v>0.1</v>
      </c>
      <c r="M121" s="215">
        <f t="shared" ref="M121:Q121" si="76">L121</f>
        <v>0.1</v>
      </c>
      <c r="N121" s="215">
        <f t="shared" si="76"/>
        <v>0.1</v>
      </c>
      <c r="O121" s="215">
        <f t="shared" si="76"/>
        <v>0.1</v>
      </c>
      <c r="P121" s="215">
        <f t="shared" si="76"/>
        <v>0.1</v>
      </c>
      <c r="Q121" s="215">
        <f t="shared" si="76"/>
        <v>0.1</v>
      </c>
    </row>
    <row r="122" ht="15.75" hidden="1" customHeight="1" outlineLevel="1">
      <c r="A122" s="5"/>
      <c r="B122" s="5"/>
      <c r="D122" s="39"/>
    </row>
    <row r="123" ht="15.75" customHeight="1" collapsed="1">
      <c r="A123" s="212" t="s">
        <v>207</v>
      </c>
      <c r="B123" s="17" t="s">
        <v>84</v>
      </c>
    </row>
    <row r="124" ht="15.75" hidden="1" customHeight="1" outlineLevel="1">
      <c r="A124" s="5"/>
      <c r="B124" s="5"/>
    </row>
    <row r="125" ht="15.75" hidden="1" customHeight="1" outlineLevel="1">
      <c r="A125" s="1"/>
      <c r="B125" s="1" t="s">
        <v>5</v>
      </c>
      <c r="C125" s="35">
        <f t="shared" ref="C125:K125" si="77">C9/C$3</f>
        <v>0.6344154991</v>
      </c>
      <c r="D125" s="35">
        <f t="shared" si="77"/>
        <v>0.6260982595</v>
      </c>
      <c r="E125" s="35">
        <f t="shared" si="77"/>
        <v>0.5631316612</v>
      </c>
      <c r="F125" s="35">
        <f t="shared" si="77"/>
        <v>0.5231379657</v>
      </c>
      <c r="G125" s="35">
        <f t="shared" si="77"/>
        <v>0.4577689664</v>
      </c>
      <c r="H125" s="35">
        <f t="shared" si="77"/>
        <v>0.4731484113</v>
      </c>
      <c r="I125" s="35">
        <f t="shared" si="77"/>
        <v>0.4499002602</v>
      </c>
      <c r="J125" s="35">
        <f t="shared" si="77"/>
        <v>0.6194769187</v>
      </c>
      <c r="K125" s="35">
        <f t="shared" si="77"/>
        <v>0.5562970628</v>
      </c>
      <c r="L125" s="218">
        <v>0.6</v>
      </c>
      <c r="M125" s="219">
        <v>0.6</v>
      </c>
      <c r="N125" s="219">
        <v>0.6</v>
      </c>
      <c r="O125" s="219">
        <v>0.6</v>
      </c>
      <c r="P125" s="219">
        <v>0.6</v>
      </c>
      <c r="Q125" s="219">
        <v>0.6</v>
      </c>
    </row>
    <row r="126" ht="15.75" hidden="1" customHeight="1" outlineLevel="1">
      <c r="A126" s="1"/>
      <c r="B126" s="1" t="s">
        <v>6</v>
      </c>
      <c r="C126" s="35">
        <f t="shared" ref="C126:K126" si="78">C10/C$3</f>
        <v>0.05558038257</v>
      </c>
      <c r="D126" s="35">
        <f t="shared" si="78"/>
        <v>0.06599985312</v>
      </c>
      <c r="E126" s="35">
        <f t="shared" si="78"/>
        <v>0.1253248364</v>
      </c>
      <c r="F126" s="35">
        <f t="shared" si="78"/>
        <v>0.1663895618</v>
      </c>
      <c r="G126" s="35">
        <f t="shared" si="78"/>
        <v>0.2480465239</v>
      </c>
      <c r="H126" s="35">
        <f t="shared" si="78"/>
        <v>0.2451841642</v>
      </c>
      <c r="I126" s="35">
        <f t="shared" si="78"/>
        <v>0.2988515767</v>
      </c>
      <c r="J126" s="35">
        <f t="shared" si="78"/>
        <v>0.1073786905</v>
      </c>
      <c r="K126" s="35">
        <f t="shared" si="78"/>
        <v>0.1494746162</v>
      </c>
      <c r="L126" s="218">
        <v>0.08</v>
      </c>
      <c r="M126" s="219">
        <v>0.08</v>
      </c>
      <c r="N126" s="219">
        <v>0.08</v>
      </c>
      <c r="O126" s="219">
        <v>0.08</v>
      </c>
      <c r="P126" s="219">
        <v>0.08</v>
      </c>
      <c r="Q126" s="219">
        <v>0.08</v>
      </c>
    </row>
    <row r="127" ht="15.75" hidden="1" customHeight="1" outlineLevel="1">
      <c r="A127" s="1"/>
      <c r="B127" s="1" t="s">
        <v>8</v>
      </c>
      <c r="C127" s="35">
        <f t="shared" ref="C127:K127" si="79">C11/C$3</f>
        <v>0.0001104071922</v>
      </c>
      <c r="D127" s="35">
        <f t="shared" si="79"/>
        <v>-0.005570977455</v>
      </c>
      <c r="E127" s="35">
        <f t="shared" si="79"/>
        <v>0.0005112179768</v>
      </c>
      <c r="F127" s="35">
        <f t="shared" si="79"/>
        <v>0.002458506887</v>
      </c>
      <c r="G127" s="35">
        <f t="shared" si="79"/>
        <v>-0.003154903516</v>
      </c>
      <c r="H127" s="35">
        <f t="shared" si="79"/>
        <v>0.003887909964</v>
      </c>
      <c r="I127" s="35">
        <f t="shared" si="79"/>
        <v>-0.001054004424</v>
      </c>
      <c r="J127" s="35">
        <f t="shared" si="79"/>
        <v>-0.004902461703</v>
      </c>
      <c r="K127" s="35">
        <f t="shared" si="79"/>
        <v>-0.002668862286</v>
      </c>
      <c r="L127" s="220">
        <f t="shared" ref="L127:Q127" si="80">K127</f>
        <v>-0.002668862286</v>
      </c>
      <c r="M127" s="220">
        <f t="shared" si="80"/>
        <v>-0.002668862286</v>
      </c>
      <c r="N127" s="220">
        <f t="shared" si="80"/>
        <v>-0.002668862286</v>
      </c>
      <c r="O127" s="220">
        <f t="shared" si="80"/>
        <v>-0.002668862286</v>
      </c>
      <c r="P127" s="220">
        <f t="shared" si="80"/>
        <v>-0.002668862286</v>
      </c>
      <c r="Q127" s="220">
        <f t="shared" si="80"/>
        <v>-0.002668862286</v>
      </c>
    </row>
    <row r="128" ht="15.75" hidden="1" customHeight="1" outlineLevel="1">
      <c r="A128" s="1"/>
      <c r="B128" s="1" t="s">
        <v>10</v>
      </c>
      <c r="C128" s="35">
        <f t="shared" ref="C128:K128" si="81">C12/C$3</f>
        <v>0.03610490436</v>
      </c>
      <c r="D128" s="35">
        <f t="shared" si="81"/>
        <v>0.03466696042</v>
      </c>
      <c r="E128" s="35">
        <f t="shared" si="81"/>
        <v>0.03587797929</v>
      </c>
      <c r="F128" s="35">
        <f t="shared" si="81"/>
        <v>0.03816727374</v>
      </c>
      <c r="G128" s="35">
        <f t="shared" si="81"/>
        <v>0.04515199577</v>
      </c>
      <c r="H128" s="35">
        <f t="shared" si="81"/>
        <v>0.04876371284</v>
      </c>
      <c r="I128" s="35">
        <f t="shared" si="81"/>
        <v>0.04586674033</v>
      </c>
      <c r="J128" s="35">
        <f t="shared" si="81"/>
        <v>0.04483155547</v>
      </c>
      <c r="K128" s="35">
        <f t="shared" si="81"/>
        <v>0.04442182405</v>
      </c>
      <c r="L128" s="218">
        <v>0.04</v>
      </c>
      <c r="M128" s="219">
        <v>0.04</v>
      </c>
      <c r="N128" s="219">
        <v>0.04</v>
      </c>
      <c r="O128" s="219">
        <v>0.04</v>
      </c>
      <c r="P128" s="219">
        <v>0.04</v>
      </c>
      <c r="Q128" s="219">
        <v>0.04</v>
      </c>
    </row>
    <row r="129" ht="15.75" hidden="1" customHeight="1" outlineLevel="1">
      <c r="A129" s="1"/>
      <c r="B129" s="1" t="s">
        <v>12</v>
      </c>
      <c r="C129" s="35">
        <f t="shared" ref="C129:K129" si="82">C13/C$3</f>
        <v>0.1422097211</v>
      </c>
      <c r="D129" s="35">
        <f t="shared" si="82"/>
        <v>0.1281927003</v>
      </c>
      <c r="E129" s="35">
        <f t="shared" si="82"/>
        <v>0.1252433924</v>
      </c>
      <c r="F129" s="35">
        <f t="shared" si="82"/>
        <v>0.1434229712</v>
      </c>
      <c r="G129" s="35">
        <f t="shared" si="82"/>
        <v>0.1571451229</v>
      </c>
      <c r="H129" s="35">
        <f t="shared" si="82"/>
        <v>0.1540030126</v>
      </c>
      <c r="I129" s="35">
        <f t="shared" si="82"/>
        <v>0.1434702671</v>
      </c>
      <c r="J129" s="35">
        <f t="shared" si="82"/>
        <v>0.123951629</v>
      </c>
      <c r="K129" s="35">
        <f t="shared" si="82"/>
        <v>0.1237157951</v>
      </c>
      <c r="L129" s="220">
        <f t="shared" ref="L129:Q129" si="83">K129</f>
        <v>0.1237157951</v>
      </c>
      <c r="M129" s="220">
        <f t="shared" si="83"/>
        <v>0.1237157951</v>
      </c>
      <c r="N129" s="220">
        <f t="shared" si="83"/>
        <v>0.1237157951</v>
      </c>
      <c r="O129" s="220">
        <f t="shared" si="83"/>
        <v>0.1237157951</v>
      </c>
      <c r="P129" s="220">
        <f t="shared" si="83"/>
        <v>0.1237157951</v>
      </c>
      <c r="Q129" s="220">
        <f t="shared" si="83"/>
        <v>0.1237157951</v>
      </c>
    </row>
    <row r="130" ht="15.75" hidden="1" customHeight="1" outlineLevel="1">
      <c r="A130" s="1"/>
      <c r="B130" s="1" t="s">
        <v>85</v>
      </c>
      <c r="C130" s="35">
        <f t="shared" ref="C130:K130" si="84">C14/C$3</f>
        <v>-0.001055002059</v>
      </c>
      <c r="D130" s="35">
        <f t="shared" si="84"/>
        <v>-0.001521627378</v>
      </c>
      <c r="E130" s="35">
        <f t="shared" si="84"/>
        <v>-0.00124170837</v>
      </c>
      <c r="F130" s="35">
        <f t="shared" si="84"/>
        <v>-0.001418637481</v>
      </c>
      <c r="G130" s="35">
        <f t="shared" si="84"/>
        <v>-0.001608511763</v>
      </c>
      <c r="H130" s="35">
        <f t="shared" si="84"/>
        <v>-0.001034502359</v>
      </c>
      <c r="I130" s="35">
        <f t="shared" si="84"/>
        <v>-0.001635914493</v>
      </c>
      <c r="J130" s="35">
        <f t="shared" si="84"/>
        <v>-0.001321680028</v>
      </c>
      <c r="K130" s="35">
        <f t="shared" si="84"/>
        <v>-0.001837750655</v>
      </c>
      <c r="L130" s="220">
        <f t="shared" ref="L130:Q130" si="85">K130</f>
        <v>-0.001837750655</v>
      </c>
      <c r="M130" s="220">
        <f t="shared" si="85"/>
        <v>-0.001837750655</v>
      </c>
      <c r="N130" s="220">
        <f t="shared" si="85"/>
        <v>-0.001837750655</v>
      </c>
      <c r="O130" s="220">
        <f t="shared" si="85"/>
        <v>-0.001837750655</v>
      </c>
      <c r="P130" s="220">
        <f t="shared" si="85"/>
        <v>-0.001837750655</v>
      </c>
      <c r="Q130" s="220">
        <f t="shared" si="85"/>
        <v>-0.001837750655</v>
      </c>
    </row>
    <row r="131" ht="15.75" hidden="1" customHeight="1" outlineLevel="1">
      <c r="A131" s="5"/>
      <c r="B131" s="5"/>
    </row>
    <row r="132" ht="15.75" hidden="1" customHeight="1" outlineLevel="1">
      <c r="A132" s="5"/>
      <c r="B132" s="5"/>
    </row>
    <row r="133" ht="15.75" hidden="1" customHeight="1">
      <c r="A133" s="18"/>
      <c r="B133" s="18" t="s">
        <v>86</v>
      </c>
    </row>
    <row r="134" ht="15.75" hidden="1" customHeight="1">
      <c r="A134" s="5"/>
      <c r="B134" s="5"/>
    </row>
    <row r="135" ht="15.75" hidden="1" customHeight="1">
      <c r="A135" s="1"/>
      <c r="B135" s="1" t="s">
        <v>5</v>
      </c>
    </row>
    <row r="136" ht="15.75" hidden="1" customHeight="1">
      <c r="A136" s="1"/>
      <c r="B136" s="1" t="s">
        <v>6</v>
      </c>
    </row>
    <row r="137" ht="15.75" hidden="1" customHeight="1">
      <c r="A137" s="1"/>
      <c r="B137" s="1" t="s">
        <v>8</v>
      </c>
    </row>
    <row r="138" ht="15.75" hidden="1" customHeight="1">
      <c r="A138" s="1"/>
      <c r="B138" s="1" t="s">
        <v>10</v>
      </c>
    </row>
    <row r="139" ht="15.75" hidden="1" customHeight="1">
      <c r="A139" s="1"/>
      <c r="B139" s="1" t="s">
        <v>12</v>
      </c>
    </row>
    <row r="140" ht="15.75" hidden="1" customHeight="1">
      <c r="A140" s="1"/>
      <c r="B140" s="1" t="s">
        <v>85</v>
      </c>
    </row>
    <row r="141" ht="15.75" hidden="1" customHeight="1">
      <c r="A141" s="5"/>
      <c r="B141" s="5"/>
    </row>
    <row r="142" ht="15.75" hidden="1" customHeight="1">
      <c r="A142" s="1"/>
      <c r="B142" s="1" t="s">
        <v>83</v>
      </c>
    </row>
    <row r="143" ht="15.75" hidden="1" customHeight="1">
      <c r="A143" s="1"/>
      <c r="B143" s="1" t="s">
        <v>5</v>
      </c>
    </row>
    <row r="144" ht="15.75" hidden="1" customHeight="1">
      <c r="A144" s="1"/>
      <c r="B144" s="1" t="s">
        <v>6</v>
      </c>
    </row>
    <row r="145" ht="15.75" hidden="1" customHeight="1">
      <c r="A145" s="1"/>
      <c r="B145" s="1" t="s">
        <v>8</v>
      </c>
    </row>
    <row r="146" ht="15.75" hidden="1" customHeight="1">
      <c r="A146" s="1"/>
      <c r="B146" s="1" t="s">
        <v>10</v>
      </c>
    </row>
    <row r="147" ht="15.75" hidden="1" customHeight="1">
      <c r="A147" s="1"/>
      <c r="B147" s="1" t="s">
        <v>12</v>
      </c>
    </row>
    <row r="148" ht="15.75" hidden="1" customHeight="1">
      <c r="A148" s="1"/>
      <c r="B148" s="1" t="s">
        <v>85</v>
      </c>
    </row>
    <row r="149" ht="15.75" hidden="1" customHeight="1">
      <c r="A149" s="5"/>
      <c r="B149" s="5"/>
    </row>
    <row r="150" ht="15.75" hidden="1" customHeight="1">
      <c r="A150" s="5"/>
      <c r="B150" s="5"/>
    </row>
    <row r="151" ht="15.75" hidden="1" customHeight="1">
      <c r="A151" s="5"/>
      <c r="B151" s="5"/>
    </row>
    <row r="152" ht="15.75" customHeight="1" collapsed="1">
      <c r="A152" s="121" t="s">
        <v>207</v>
      </c>
      <c r="B152" s="18" t="s">
        <v>87</v>
      </c>
    </row>
    <row r="153" ht="15.75" hidden="1" customHeight="1" outlineLevel="1">
      <c r="A153" s="5"/>
      <c r="B153" s="5"/>
    </row>
    <row r="154" ht="15.75" hidden="1" customHeight="1" outlineLevel="1">
      <c r="A154" s="17"/>
      <c r="B154" s="17" t="s">
        <v>60</v>
      </c>
      <c r="C154" s="27">
        <f t="shared" ref="C154:Q154" si="86">sum(C155:C160)</f>
        <v>79004</v>
      </c>
      <c r="D154" s="27">
        <f t="shared" si="86"/>
        <v>87745</v>
      </c>
      <c r="E154" s="27">
        <f t="shared" si="86"/>
        <v>78560</v>
      </c>
      <c r="F154" s="27">
        <f t="shared" si="86"/>
        <v>121849</v>
      </c>
      <c r="G154" s="27">
        <f t="shared" si="86"/>
        <v>84116</v>
      </c>
      <c r="H154" s="27">
        <f t="shared" si="86"/>
        <v>150499</v>
      </c>
      <c r="I154" s="27">
        <f t="shared" si="86"/>
        <v>137512</v>
      </c>
      <c r="J154" s="27">
        <f t="shared" si="86"/>
        <v>129207</v>
      </c>
      <c r="K154" s="27">
        <f t="shared" si="86"/>
        <v>198064</v>
      </c>
      <c r="L154" s="27">
        <f t="shared" si="86"/>
        <v>209876.9401</v>
      </c>
      <c r="M154" s="27">
        <f t="shared" si="86"/>
        <v>245214.4084</v>
      </c>
      <c r="N154" s="27">
        <f t="shared" si="86"/>
        <v>286605.6154</v>
      </c>
      <c r="O154" s="27">
        <f t="shared" si="86"/>
        <v>335099.7624</v>
      </c>
      <c r="P154" s="27">
        <f t="shared" si="86"/>
        <v>391929.2833</v>
      </c>
      <c r="Q154" s="27">
        <f t="shared" si="86"/>
        <v>458542.0012</v>
      </c>
      <c r="R154" s="34"/>
      <c r="S154" s="34"/>
      <c r="T154" s="34"/>
      <c r="U154" s="34"/>
      <c r="V154" s="34"/>
      <c r="W154" s="34"/>
      <c r="X154" s="34"/>
      <c r="Y154" s="34"/>
      <c r="Z154" s="34"/>
      <c r="AA154" s="34"/>
    </row>
    <row r="155" ht="15.75" hidden="1" customHeight="1" outlineLevel="1">
      <c r="A155" s="16"/>
      <c r="B155" s="16" t="s">
        <v>61</v>
      </c>
      <c r="C155" s="19">
        <f t="shared" ref="C155:K155" si="87">C83</f>
        <v>31326</v>
      </c>
      <c r="D155" s="19">
        <f t="shared" si="87"/>
        <v>32637</v>
      </c>
      <c r="E155" s="19">
        <f t="shared" si="87"/>
        <v>31602</v>
      </c>
      <c r="F155" s="19">
        <f t="shared" si="87"/>
        <v>33226</v>
      </c>
      <c r="G155" s="19">
        <f t="shared" si="87"/>
        <v>32139</v>
      </c>
      <c r="H155" s="19">
        <f t="shared" si="87"/>
        <v>30490</v>
      </c>
      <c r="I155" s="19">
        <f t="shared" si="87"/>
        <v>35323</v>
      </c>
      <c r="J155" s="19">
        <f t="shared" si="87"/>
        <v>54435</v>
      </c>
      <c r="K155" s="19">
        <f t="shared" si="87"/>
        <v>53181</v>
      </c>
      <c r="L155" s="19">
        <f t="shared" ref="L155:Q155" si="88">L$170*L174</f>
        <v>69824.85122</v>
      </c>
      <c r="M155" s="19">
        <f t="shared" si="88"/>
        <v>81581.42375</v>
      </c>
      <c r="N155" s="19">
        <f t="shared" si="88"/>
        <v>95352.0403</v>
      </c>
      <c r="O155" s="19">
        <f t="shared" si="88"/>
        <v>111485.7642</v>
      </c>
      <c r="P155" s="19">
        <f t="shared" si="88"/>
        <v>130392.619</v>
      </c>
      <c r="Q155" s="19">
        <f t="shared" si="88"/>
        <v>152554.2873</v>
      </c>
    </row>
    <row r="156" ht="15.75" hidden="1" customHeight="1" outlineLevel="1">
      <c r="A156" s="16"/>
      <c r="B156" s="16" t="s">
        <v>62</v>
      </c>
      <c r="C156" s="19">
        <f t="shared" ref="C156:K156" si="89">C84</f>
        <v>13234</v>
      </c>
      <c r="D156" s="19">
        <f t="shared" si="89"/>
        <v>12026</v>
      </c>
      <c r="E156" s="19">
        <f t="shared" si="89"/>
        <v>14654</v>
      </c>
      <c r="F156" s="19">
        <f t="shared" si="89"/>
        <v>23128</v>
      </c>
      <c r="G156" s="19">
        <f t="shared" si="89"/>
        <v>21298</v>
      </c>
      <c r="H156" s="19">
        <f t="shared" si="89"/>
        <v>12799</v>
      </c>
      <c r="I156" s="19">
        <f t="shared" si="89"/>
        <v>20345</v>
      </c>
      <c r="J156" s="19">
        <f t="shared" si="89"/>
        <v>32848</v>
      </c>
      <c r="K156" s="19">
        <f t="shared" si="89"/>
        <v>45968</v>
      </c>
      <c r="L156" s="19">
        <f t="shared" ref="L156:Q156" si="90">L$170*L175</f>
        <v>52368.63842</v>
      </c>
      <c r="M156" s="19">
        <f t="shared" si="90"/>
        <v>61186.06781</v>
      </c>
      <c r="N156" s="19">
        <f t="shared" si="90"/>
        <v>71514.03023</v>
      </c>
      <c r="O156" s="19">
        <f t="shared" si="90"/>
        <v>83614.32315</v>
      </c>
      <c r="P156" s="19">
        <f t="shared" si="90"/>
        <v>97794.46428</v>
      </c>
      <c r="Q156" s="19">
        <f t="shared" si="90"/>
        <v>114415.7154</v>
      </c>
    </row>
    <row r="157" ht="15.75" hidden="1" customHeight="1" outlineLevel="1">
      <c r="A157" s="16"/>
      <c r="B157" s="16" t="s">
        <v>64</v>
      </c>
      <c r="C157" s="19">
        <f t="shared" ref="C157:K157" si="91">C86</f>
        <v>31</v>
      </c>
      <c r="D157" s="19">
        <f t="shared" si="91"/>
        <v>25</v>
      </c>
      <c r="E157" s="19">
        <f t="shared" si="91"/>
        <v>30</v>
      </c>
      <c r="F157" s="19">
        <f t="shared" si="91"/>
        <v>161</v>
      </c>
      <c r="G157" s="19">
        <f t="shared" si="91"/>
        <v>170</v>
      </c>
      <c r="H157" s="19">
        <f t="shared" si="91"/>
        <v>230</v>
      </c>
      <c r="I157" s="19">
        <f t="shared" si="91"/>
        <v>305</v>
      </c>
      <c r="J157" s="19">
        <f t="shared" si="91"/>
        <v>297</v>
      </c>
      <c r="K157" s="19">
        <f t="shared" si="91"/>
        <v>327</v>
      </c>
      <c r="L157" s="19">
        <f t="shared" ref="L157:Q157" si="92">L$170*L176</f>
        <v>402.3864385</v>
      </c>
      <c r="M157" s="19">
        <f t="shared" si="92"/>
        <v>470.1371786</v>
      </c>
      <c r="N157" s="19">
        <f t="shared" si="92"/>
        <v>549.4944455</v>
      </c>
      <c r="O157" s="19">
        <f t="shared" si="92"/>
        <v>642.4698201</v>
      </c>
      <c r="P157" s="19">
        <f t="shared" si="92"/>
        <v>751.4261852</v>
      </c>
      <c r="Q157" s="19">
        <f t="shared" si="92"/>
        <v>879.1393789</v>
      </c>
    </row>
    <row r="158" ht="15.75" hidden="1" customHeight="1" outlineLevel="1">
      <c r="A158" s="16"/>
      <c r="B158" s="16" t="s">
        <v>65</v>
      </c>
      <c r="C158" s="19">
        <f t="shared" ref="C158:K158" si="93">C87</f>
        <v>16611</v>
      </c>
      <c r="D158" s="19">
        <f t="shared" si="93"/>
        <v>15408</v>
      </c>
      <c r="E158" s="19">
        <f t="shared" si="93"/>
        <v>13140</v>
      </c>
      <c r="F158" s="19">
        <f t="shared" si="93"/>
        <v>5638</v>
      </c>
      <c r="G158" s="19">
        <f t="shared" si="93"/>
        <v>7974</v>
      </c>
      <c r="H158" s="19">
        <f t="shared" si="93"/>
        <v>9581</v>
      </c>
      <c r="I158" s="19">
        <f t="shared" si="93"/>
        <v>14608</v>
      </c>
      <c r="J158" s="19">
        <f t="shared" si="93"/>
        <v>15602</v>
      </c>
      <c r="K158" s="19">
        <f t="shared" si="93"/>
        <v>25077</v>
      </c>
      <c r="L158" s="19">
        <f t="shared" ref="L158:Q158" si="94">L$170*L177</f>
        <v>34912.42561</v>
      </c>
      <c r="M158" s="19">
        <f t="shared" si="94"/>
        <v>40790.71187</v>
      </c>
      <c r="N158" s="19">
        <f t="shared" si="94"/>
        <v>47676.02015</v>
      </c>
      <c r="O158" s="19">
        <f t="shared" si="94"/>
        <v>55742.8821</v>
      </c>
      <c r="P158" s="19">
        <f t="shared" si="94"/>
        <v>65196.30952</v>
      </c>
      <c r="Q158" s="19">
        <f t="shared" si="94"/>
        <v>76277.14363</v>
      </c>
    </row>
    <row r="159" ht="15.75" hidden="1" customHeight="1" outlineLevel="1">
      <c r="A159" s="16"/>
      <c r="B159" s="16" t="s">
        <v>66</v>
      </c>
      <c r="C159" s="19">
        <f t="shared" ref="C159:K159" si="95">C88</f>
        <v>4906</v>
      </c>
      <c r="D159" s="19">
        <f t="shared" si="95"/>
        <v>4910</v>
      </c>
      <c r="E159" s="19">
        <f t="shared" si="95"/>
        <v>4115</v>
      </c>
      <c r="F159" s="19">
        <f t="shared" si="95"/>
        <v>4277</v>
      </c>
      <c r="G159" s="19">
        <f t="shared" si="95"/>
        <v>5272</v>
      </c>
      <c r="H159" s="19">
        <f t="shared" si="95"/>
        <v>0</v>
      </c>
      <c r="I159" s="19">
        <f t="shared" si="95"/>
        <v>0</v>
      </c>
      <c r="J159" s="19">
        <f t="shared" si="95"/>
        <v>0</v>
      </c>
      <c r="K159" s="19">
        <f t="shared" si="95"/>
        <v>0</v>
      </c>
      <c r="L159" s="19">
        <f>L170*L178</f>
        <v>0</v>
      </c>
      <c r="M159" s="19">
        <f t="shared" ref="M159:Q159" si="96">M$170*M178</f>
        <v>0</v>
      </c>
      <c r="N159" s="19">
        <f t="shared" si="96"/>
        <v>0</v>
      </c>
      <c r="O159" s="19">
        <f t="shared" si="96"/>
        <v>0</v>
      </c>
      <c r="P159" s="19">
        <f t="shared" si="96"/>
        <v>0</v>
      </c>
      <c r="Q159" s="19">
        <f t="shared" si="96"/>
        <v>0</v>
      </c>
    </row>
    <row r="160" ht="15.75" hidden="1" customHeight="1" outlineLevel="1">
      <c r="A160" s="1"/>
      <c r="B160" s="1" t="s">
        <v>57</v>
      </c>
      <c r="C160" s="19">
        <f t="shared" ref="C160:K160" si="97">C89+C90+C91</f>
        <v>12896</v>
      </c>
      <c r="D160" s="19">
        <f t="shared" si="97"/>
        <v>22739</v>
      </c>
      <c r="E160" s="19">
        <f t="shared" si="97"/>
        <v>15019</v>
      </c>
      <c r="F160" s="19">
        <f t="shared" si="97"/>
        <v>55419</v>
      </c>
      <c r="G160" s="19">
        <f t="shared" si="97"/>
        <v>17263</v>
      </c>
      <c r="H160" s="19">
        <f t="shared" si="97"/>
        <v>97399</v>
      </c>
      <c r="I160" s="19">
        <f t="shared" si="97"/>
        <v>66931</v>
      </c>
      <c r="J160" s="19">
        <f t="shared" si="97"/>
        <v>26025</v>
      </c>
      <c r="K160" s="19">
        <f t="shared" si="97"/>
        <v>73511</v>
      </c>
      <c r="L160" s="19">
        <f t="shared" ref="L160:Q160" si="98">L$170*L179</f>
        <v>52368.63842</v>
      </c>
      <c r="M160" s="19">
        <f t="shared" si="98"/>
        <v>61186.06781</v>
      </c>
      <c r="N160" s="19">
        <f t="shared" si="98"/>
        <v>71514.03023</v>
      </c>
      <c r="O160" s="19">
        <f t="shared" si="98"/>
        <v>83614.32315</v>
      </c>
      <c r="P160" s="19">
        <f t="shared" si="98"/>
        <v>97794.46428</v>
      </c>
      <c r="Q160" s="19">
        <f t="shared" si="98"/>
        <v>114415.7154</v>
      </c>
    </row>
    <row r="161" ht="15.75" hidden="1" customHeight="1" outlineLevel="1">
      <c r="A161" s="5"/>
      <c r="B161" s="5"/>
    </row>
    <row r="162" ht="15.75" hidden="1" customHeight="1" outlineLevel="1">
      <c r="A162" s="17"/>
      <c r="B162" s="17" t="s">
        <v>42</v>
      </c>
      <c r="C162" s="27">
        <f t="shared" ref="C162:Q162" si="99">sum(C163:C168)</f>
        <v>110441</v>
      </c>
      <c r="D162" s="27">
        <f t="shared" si="99"/>
        <v>132368</v>
      </c>
      <c r="E162" s="27">
        <f t="shared" si="99"/>
        <v>154485</v>
      </c>
      <c r="F162" s="27">
        <f t="shared" si="99"/>
        <v>141605</v>
      </c>
      <c r="G162" s="27">
        <f t="shared" si="99"/>
        <v>113054</v>
      </c>
      <c r="H162" s="27">
        <f t="shared" si="99"/>
        <v>162139</v>
      </c>
      <c r="I162" s="27">
        <f t="shared" si="99"/>
        <v>170235</v>
      </c>
      <c r="J162" s="27">
        <f t="shared" si="99"/>
        <v>227667</v>
      </c>
      <c r="K162" s="27">
        <f t="shared" si="99"/>
        <v>259518</v>
      </c>
      <c r="L162" s="27">
        <f t="shared" si="99"/>
        <v>333413.6646</v>
      </c>
      <c r="M162" s="27">
        <f t="shared" si="99"/>
        <v>389551.2984</v>
      </c>
      <c r="N162" s="27">
        <f t="shared" si="99"/>
        <v>455305.9924</v>
      </c>
      <c r="O162" s="27">
        <f t="shared" si="99"/>
        <v>532344.524</v>
      </c>
      <c r="P162" s="27">
        <f t="shared" si="99"/>
        <v>622624.7559</v>
      </c>
      <c r="Q162" s="27">
        <f t="shared" si="99"/>
        <v>728446.7217</v>
      </c>
      <c r="R162" s="34"/>
      <c r="S162" s="34"/>
      <c r="T162" s="34"/>
      <c r="U162" s="34"/>
      <c r="V162" s="34"/>
      <c r="W162" s="34"/>
      <c r="X162" s="34"/>
      <c r="Y162" s="34"/>
      <c r="Z162" s="34"/>
      <c r="AA162" s="34"/>
    </row>
    <row r="163" ht="15.75" hidden="1" customHeight="1" outlineLevel="1">
      <c r="A163" s="1"/>
      <c r="B163" s="1" t="s">
        <v>43</v>
      </c>
      <c r="C163" s="120">
        <f t="shared" ref="C163:K163" si="100">C56</f>
        <v>7956</v>
      </c>
      <c r="D163" s="120">
        <f t="shared" si="100"/>
        <v>8036</v>
      </c>
      <c r="E163" s="120">
        <f t="shared" si="100"/>
        <v>8541</v>
      </c>
      <c r="F163" s="120">
        <f t="shared" si="100"/>
        <v>6729</v>
      </c>
      <c r="G163" s="120">
        <f t="shared" si="100"/>
        <v>6962</v>
      </c>
      <c r="H163" s="120">
        <f t="shared" si="100"/>
        <v>8547</v>
      </c>
      <c r="I163" s="120">
        <f t="shared" si="100"/>
        <v>11113</v>
      </c>
      <c r="J163" s="120">
        <f t="shared" si="100"/>
        <v>11584</v>
      </c>
      <c r="K163" s="120">
        <f t="shared" si="100"/>
        <v>12030</v>
      </c>
      <c r="L163" s="19">
        <f t="shared" ref="L163:Q163" si="101">L$170*L182</f>
        <v>17456.21281</v>
      </c>
      <c r="M163" s="19">
        <f t="shared" si="101"/>
        <v>20395.35594</v>
      </c>
      <c r="N163" s="19">
        <f t="shared" si="101"/>
        <v>23838.01008</v>
      </c>
      <c r="O163" s="19">
        <f t="shared" si="101"/>
        <v>27871.44105</v>
      </c>
      <c r="P163" s="19">
        <f t="shared" si="101"/>
        <v>32598.15476</v>
      </c>
      <c r="Q163" s="19">
        <f t="shared" si="101"/>
        <v>38138.57181</v>
      </c>
    </row>
    <row r="164" ht="15.75" hidden="1" customHeight="1" outlineLevel="1">
      <c r="A164" s="1"/>
      <c r="B164" s="1" t="s">
        <v>44</v>
      </c>
      <c r="C164" s="120">
        <f t="shared" ref="C164:K164" si="102">C57</f>
        <v>774</v>
      </c>
      <c r="D164" s="120">
        <f t="shared" si="102"/>
        <v>4838</v>
      </c>
      <c r="E164" s="120">
        <f t="shared" si="102"/>
        <v>1108</v>
      </c>
      <c r="F164" s="120">
        <f t="shared" si="102"/>
        <v>1496</v>
      </c>
      <c r="G164" s="120">
        <f t="shared" si="102"/>
        <v>1063</v>
      </c>
      <c r="H164" s="120">
        <f t="shared" si="102"/>
        <v>4962</v>
      </c>
      <c r="I164" s="120">
        <f t="shared" si="102"/>
        <v>3819</v>
      </c>
      <c r="J164" s="120">
        <f t="shared" si="102"/>
        <v>12226</v>
      </c>
      <c r="K164" s="120">
        <f t="shared" si="102"/>
        <v>509</v>
      </c>
      <c r="L164" s="19">
        <f t="shared" ref="L164:Q164" si="103">L$170*L183</f>
        <v>1745.621281</v>
      </c>
      <c r="M164" s="19">
        <f t="shared" si="103"/>
        <v>2039.535594</v>
      </c>
      <c r="N164" s="19">
        <f t="shared" si="103"/>
        <v>2383.801008</v>
      </c>
      <c r="O164" s="19">
        <f t="shared" si="103"/>
        <v>2787.144105</v>
      </c>
      <c r="P164" s="19">
        <f t="shared" si="103"/>
        <v>3259.815476</v>
      </c>
      <c r="Q164" s="19">
        <f t="shared" si="103"/>
        <v>3813.857181</v>
      </c>
    </row>
    <row r="165" ht="15.75" hidden="1" customHeight="1" outlineLevel="1">
      <c r="A165" s="1"/>
      <c r="B165" s="1" t="s">
        <v>45</v>
      </c>
      <c r="C165" s="120">
        <f t="shared" ref="C165:K165" si="104">C58+C59</f>
        <v>74089</v>
      </c>
      <c r="D165" s="120">
        <f t="shared" si="104"/>
        <v>83692</v>
      </c>
      <c r="E165" s="120">
        <f t="shared" si="104"/>
        <v>104993</v>
      </c>
      <c r="F165" s="120">
        <f t="shared" si="104"/>
        <v>96377</v>
      </c>
      <c r="G165" s="120">
        <f t="shared" si="104"/>
        <v>75091</v>
      </c>
      <c r="H165" s="120">
        <f t="shared" si="104"/>
        <v>101681</v>
      </c>
      <c r="I165" s="120">
        <f t="shared" si="104"/>
        <v>97732</v>
      </c>
      <c r="J165" s="120">
        <f t="shared" si="104"/>
        <v>136755</v>
      </c>
      <c r="K165" s="120">
        <f t="shared" si="104"/>
        <v>169884</v>
      </c>
      <c r="L165" s="19">
        <f t="shared" ref="L165:Q165" si="105">L$170*L184</f>
        <v>209474.5537</v>
      </c>
      <c r="M165" s="19">
        <f t="shared" si="105"/>
        <v>244744.2712</v>
      </c>
      <c r="N165" s="19">
        <f t="shared" si="105"/>
        <v>286056.1209</v>
      </c>
      <c r="O165" s="19">
        <f t="shared" si="105"/>
        <v>334457.2926</v>
      </c>
      <c r="P165" s="19">
        <f t="shared" si="105"/>
        <v>391177.8571</v>
      </c>
      <c r="Q165" s="19">
        <f t="shared" si="105"/>
        <v>457662.8618</v>
      </c>
    </row>
    <row r="166" ht="15.75" hidden="1" customHeight="1" outlineLevel="1">
      <c r="A166" s="1"/>
      <c r="B166" s="1" t="s">
        <v>46</v>
      </c>
      <c r="C166" s="120">
        <f t="shared" ref="C166:K166" si="106">C60</f>
        <v>11650</v>
      </c>
      <c r="D166" s="120">
        <f t="shared" si="106"/>
        <v>18278</v>
      </c>
      <c r="E166" s="120">
        <f t="shared" si="106"/>
        <v>20896</v>
      </c>
      <c r="F166" s="120">
        <f t="shared" si="106"/>
        <v>16329</v>
      </c>
      <c r="G166" s="120">
        <f t="shared" si="106"/>
        <v>14091</v>
      </c>
      <c r="H166" s="120">
        <f t="shared" si="106"/>
        <v>26801</v>
      </c>
      <c r="I166" s="120">
        <f t="shared" si="106"/>
        <v>28686</v>
      </c>
      <c r="J166" s="120">
        <f t="shared" si="106"/>
        <v>33372</v>
      </c>
      <c r="K166" s="120">
        <f t="shared" si="106"/>
        <v>41739</v>
      </c>
      <c r="L166" s="19">
        <f t="shared" ref="L166:Q166" si="107">L$170*L185</f>
        <v>52368.63842</v>
      </c>
      <c r="M166" s="19">
        <f t="shared" si="107"/>
        <v>61186.06781</v>
      </c>
      <c r="N166" s="19">
        <f t="shared" si="107"/>
        <v>71514.03023</v>
      </c>
      <c r="O166" s="19">
        <f t="shared" si="107"/>
        <v>83614.32315</v>
      </c>
      <c r="P166" s="19">
        <f t="shared" si="107"/>
        <v>97794.46428</v>
      </c>
      <c r="Q166" s="19">
        <f t="shared" si="107"/>
        <v>114415.7154</v>
      </c>
    </row>
    <row r="167" ht="15.75" hidden="1" customHeight="1" outlineLevel="1">
      <c r="A167" s="1"/>
      <c r="B167" s="1" t="s">
        <v>47</v>
      </c>
      <c r="C167" s="120">
        <f t="shared" ref="C167:K167" si="108">C61</f>
        <v>3994</v>
      </c>
      <c r="D167" s="120">
        <f t="shared" si="108"/>
        <v>4496</v>
      </c>
      <c r="E167" s="120">
        <f t="shared" si="108"/>
        <v>5609</v>
      </c>
      <c r="F167" s="120">
        <f t="shared" si="108"/>
        <v>6254</v>
      </c>
      <c r="G167" s="120">
        <f t="shared" si="108"/>
        <v>6807</v>
      </c>
      <c r="H167" s="120">
        <f t="shared" si="108"/>
        <v>7428</v>
      </c>
      <c r="I167" s="120">
        <f t="shared" si="108"/>
        <v>8613</v>
      </c>
      <c r="J167" s="120">
        <f t="shared" si="108"/>
        <v>10830</v>
      </c>
      <c r="K167" s="120">
        <f t="shared" si="108"/>
        <v>13119</v>
      </c>
      <c r="L167" s="19">
        <f t="shared" ref="L167:Q167" si="109">L$170*L186</f>
        <v>17456.21281</v>
      </c>
      <c r="M167" s="19">
        <f t="shared" si="109"/>
        <v>20395.35594</v>
      </c>
      <c r="N167" s="19">
        <f t="shared" si="109"/>
        <v>23838.01008</v>
      </c>
      <c r="O167" s="19">
        <f t="shared" si="109"/>
        <v>27871.44105</v>
      </c>
      <c r="P167" s="19">
        <f t="shared" si="109"/>
        <v>32598.15476</v>
      </c>
      <c r="Q167" s="19">
        <f t="shared" si="109"/>
        <v>38138.57181</v>
      </c>
    </row>
    <row r="168" ht="15.75" hidden="1" customHeight="1" outlineLevel="1">
      <c r="A168" s="1"/>
      <c r="B168" s="1" t="s">
        <v>48</v>
      </c>
      <c r="C168" s="120">
        <f t="shared" ref="C168:K168" si="110">C62</f>
        <v>11978</v>
      </c>
      <c r="D168" s="120">
        <f t="shared" si="110"/>
        <v>13028</v>
      </c>
      <c r="E168" s="120">
        <f t="shared" si="110"/>
        <v>13338</v>
      </c>
      <c r="F168" s="120">
        <f t="shared" si="110"/>
        <v>14420</v>
      </c>
      <c r="G168" s="120">
        <f t="shared" si="110"/>
        <v>9040</v>
      </c>
      <c r="H168" s="120">
        <f t="shared" si="110"/>
        <v>12720</v>
      </c>
      <c r="I168" s="120">
        <f t="shared" si="110"/>
        <v>20272</v>
      </c>
      <c r="J168" s="120">
        <f t="shared" si="110"/>
        <v>22900</v>
      </c>
      <c r="K168" s="120">
        <f t="shared" si="110"/>
        <v>22237</v>
      </c>
      <c r="L168" s="19">
        <f t="shared" ref="L168:Q168" si="111">L$170*L187</f>
        <v>34912.42561</v>
      </c>
      <c r="M168" s="19">
        <f t="shared" si="111"/>
        <v>40790.71187</v>
      </c>
      <c r="N168" s="19">
        <f t="shared" si="111"/>
        <v>47676.02015</v>
      </c>
      <c r="O168" s="19">
        <f t="shared" si="111"/>
        <v>55742.8821</v>
      </c>
      <c r="P168" s="19">
        <f t="shared" si="111"/>
        <v>65196.30952</v>
      </c>
      <c r="Q168" s="19">
        <f t="shared" si="111"/>
        <v>76277.14363</v>
      </c>
    </row>
    <row r="169" ht="15.75" hidden="1" customHeight="1" outlineLevel="1">
      <c r="A169" s="5"/>
      <c r="B169" s="5"/>
    </row>
    <row r="170" ht="15.75" hidden="1" customHeight="1" outlineLevel="1">
      <c r="A170" s="18"/>
      <c r="B170" s="18" t="s">
        <v>88</v>
      </c>
      <c r="C170" s="27">
        <f t="shared" ref="C170:Q170" si="112">C3</f>
        <v>570615</v>
      </c>
      <c r="D170" s="27">
        <f t="shared" si="112"/>
        <v>680850</v>
      </c>
      <c r="E170" s="27">
        <f t="shared" si="112"/>
        <v>798094</v>
      </c>
      <c r="F170" s="27">
        <f t="shared" si="112"/>
        <v>860685</v>
      </c>
      <c r="G170" s="27">
        <f t="shared" si="112"/>
        <v>756600</v>
      </c>
      <c r="H170" s="27">
        <f t="shared" si="112"/>
        <v>703720</v>
      </c>
      <c r="I170" s="27">
        <f t="shared" si="112"/>
        <v>883298</v>
      </c>
      <c r="J170" s="27">
        <f t="shared" si="112"/>
        <v>1184099</v>
      </c>
      <c r="K170" s="27">
        <f t="shared" si="112"/>
        <v>1418582</v>
      </c>
      <c r="L170" s="27">
        <f t="shared" si="112"/>
        <v>1745621.281</v>
      </c>
      <c r="M170" s="27">
        <f t="shared" si="112"/>
        <v>2039535.594</v>
      </c>
      <c r="N170" s="27">
        <f t="shared" si="112"/>
        <v>2383801.008</v>
      </c>
      <c r="O170" s="27">
        <f t="shared" si="112"/>
        <v>2787144.105</v>
      </c>
      <c r="P170" s="27">
        <f t="shared" si="112"/>
        <v>3259815.476</v>
      </c>
      <c r="Q170" s="27">
        <f t="shared" si="112"/>
        <v>3813857.181</v>
      </c>
      <c r="R170" s="34"/>
      <c r="S170" s="34"/>
      <c r="T170" s="34"/>
      <c r="U170" s="34"/>
      <c r="V170" s="34"/>
      <c r="W170" s="34"/>
      <c r="X170" s="34"/>
      <c r="Y170" s="34"/>
      <c r="Z170" s="34"/>
      <c r="AA170" s="34"/>
    </row>
    <row r="171" ht="15.75" hidden="1" customHeight="1" outlineLevel="1">
      <c r="A171" s="5"/>
      <c r="B171" s="5"/>
    </row>
    <row r="172" ht="15.75" customHeight="1">
      <c r="A172" s="121" t="s">
        <v>207</v>
      </c>
      <c r="B172" s="18" t="s">
        <v>89</v>
      </c>
    </row>
    <row r="173" ht="15.75" customHeight="1" outlineLevel="1">
      <c r="A173" s="17"/>
      <c r="B173" s="17" t="s">
        <v>60</v>
      </c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</row>
    <row r="174" ht="15.75" customHeight="1" outlineLevel="1">
      <c r="A174" s="16"/>
      <c r="B174" s="16" t="s">
        <v>61</v>
      </c>
      <c r="C174" s="35">
        <f t="shared" ref="C174:K174" si="113">C155/C$170</f>
        <v>0.05489866197</v>
      </c>
      <c r="D174" s="35">
        <f t="shared" si="113"/>
        <v>0.04793566865</v>
      </c>
      <c r="E174" s="35">
        <f t="shared" si="113"/>
        <v>0.03959683947</v>
      </c>
      <c r="F174" s="35">
        <f t="shared" si="113"/>
        <v>0.03860413508</v>
      </c>
      <c r="G174" s="35">
        <f t="shared" si="113"/>
        <v>0.04247819191</v>
      </c>
      <c r="H174" s="35">
        <f t="shared" si="113"/>
        <v>0.04332689138</v>
      </c>
      <c r="I174" s="35">
        <f t="shared" si="113"/>
        <v>0.03998990148</v>
      </c>
      <c r="J174" s="35">
        <f t="shared" si="113"/>
        <v>0.04597166284</v>
      </c>
      <c r="K174" s="35">
        <f t="shared" si="113"/>
        <v>0.03748884449</v>
      </c>
      <c r="L174" s="37">
        <v>0.04</v>
      </c>
      <c r="M174" s="38">
        <f t="shared" ref="M174:Q174" si="114">L174</f>
        <v>0.04</v>
      </c>
      <c r="N174" s="38">
        <f t="shared" si="114"/>
        <v>0.04</v>
      </c>
      <c r="O174" s="38">
        <f t="shared" si="114"/>
        <v>0.04</v>
      </c>
      <c r="P174" s="38">
        <f t="shared" si="114"/>
        <v>0.04</v>
      </c>
      <c r="Q174" s="38">
        <f t="shared" si="114"/>
        <v>0.04</v>
      </c>
    </row>
    <row r="175" ht="15.75" customHeight="1" outlineLevel="1">
      <c r="A175" s="16"/>
      <c r="B175" s="16" t="s">
        <v>62</v>
      </c>
      <c r="C175" s="35">
        <f t="shared" ref="C175:K175" si="115">C156/C$170</f>
        <v>0.02319252035</v>
      </c>
      <c r="D175" s="35">
        <f t="shared" si="115"/>
        <v>0.0176632151</v>
      </c>
      <c r="E175" s="35">
        <f t="shared" si="115"/>
        <v>0.01836124567</v>
      </c>
      <c r="F175" s="35">
        <f t="shared" si="115"/>
        <v>0.0268716197</v>
      </c>
      <c r="G175" s="35">
        <f t="shared" si="115"/>
        <v>0.02814961671</v>
      </c>
      <c r="H175" s="35">
        <f t="shared" si="115"/>
        <v>0.01818763144</v>
      </c>
      <c r="I175" s="35">
        <f t="shared" si="115"/>
        <v>0.02303299679</v>
      </c>
      <c r="J175" s="35">
        <f t="shared" si="115"/>
        <v>0.02774092369</v>
      </c>
      <c r="K175" s="35">
        <f t="shared" si="115"/>
        <v>0.03240418954</v>
      </c>
      <c r="L175" s="37">
        <v>0.03</v>
      </c>
      <c r="M175" s="38">
        <f t="shared" ref="M175:Q175" si="116">L175</f>
        <v>0.03</v>
      </c>
      <c r="N175" s="38">
        <f t="shared" si="116"/>
        <v>0.03</v>
      </c>
      <c r="O175" s="38">
        <f t="shared" si="116"/>
        <v>0.03</v>
      </c>
      <c r="P175" s="38">
        <f t="shared" si="116"/>
        <v>0.03</v>
      </c>
      <c r="Q175" s="38">
        <f t="shared" si="116"/>
        <v>0.03</v>
      </c>
    </row>
    <row r="176" ht="15.75" customHeight="1" outlineLevel="1">
      <c r="A176" s="16"/>
      <c r="B176" s="16" t="s">
        <v>64</v>
      </c>
      <c r="C176" s="35">
        <f t="shared" ref="C176:K176" si="117">C157/C$170</f>
        <v>0.00005432734856</v>
      </c>
      <c r="D176" s="35">
        <f t="shared" si="117"/>
        <v>0.00003671880737</v>
      </c>
      <c r="E176" s="35">
        <f t="shared" si="117"/>
        <v>0.00003758955712</v>
      </c>
      <c r="F176" s="35">
        <f t="shared" si="117"/>
        <v>0.0001870603066</v>
      </c>
      <c r="G176" s="35">
        <f t="shared" si="117"/>
        <v>0.0002246893999</v>
      </c>
      <c r="H176" s="35">
        <f t="shared" si="117"/>
        <v>0.0003268345365</v>
      </c>
      <c r="I176" s="35">
        <f t="shared" si="117"/>
        <v>0.0003452968307</v>
      </c>
      <c r="J176" s="35">
        <f t="shared" si="117"/>
        <v>0.000250823622</v>
      </c>
      <c r="K176" s="35">
        <f t="shared" si="117"/>
        <v>0.0002305118774</v>
      </c>
      <c r="L176" s="38">
        <f t="shared" ref="L176:Q176" si="118">K176</f>
        <v>0.0002305118774</v>
      </c>
      <c r="M176" s="38">
        <f t="shared" si="118"/>
        <v>0.0002305118774</v>
      </c>
      <c r="N176" s="38">
        <f t="shared" si="118"/>
        <v>0.0002305118774</v>
      </c>
      <c r="O176" s="38">
        <f t="shared" si="118"/>
        <v>0.0002305118774</v>
      </c>
      <c r="P176" s="38">
        <f t="shared" si="118"/>
        <v>0.0002305118774</v>
      </c>
      <c r="Q176" s="38">
        <f t="shared" si="118"/>
        <v>0.0002305118774</v>
      </c>
    </row>
    <row r="177" ht="15.75" customHeight="1" outlineLevel="1">
      <c r="A177" s="16"/>
      <c r="B177" s="16" t="s">
        <v>65</v>
      </c>
      <c r="C177" s="35">
        <f t="shared" ref="C177:K177" si="119">C158/C$170</f>
        <v>0.02911069635</v>
      </c>
      <c r="D177" s="35">
        <f t="shared" si="119"/>
        <v>0.02263053536</v>
      </c>
      <c r="E177" s="35">
        <f t="shared" si="119"/>
        <v>0.01646422602</v>
      </c>
      <c r="F177" s="35">
        <f t="shared" si="119"/>
        <v>0.006550596327</v>
      </c>
      <c r="G177" s="35">
        <f t="shared" si="119"/>
        <v>0.01053925456</v>
      </c>
      <c r="H177" s="35">
        <f t="shared" si="119"/>
        <v>0.01361478997</v>
      </c>
      <c r="I177" s="35">
        <f t="shared" si="119"/>
        <v>0.01653802001</v>
      </c>
      <c r="J177" s="35">
        <f t="shared" si="119"/>
        <v>0.01317626313</v>
      </c>
      <c r="K177" s="35">
        <f t="shared" si="119"/>
        <v>0.01767751177</v>
      </c>
      <c r="L177" s="37">
        <v>0.02</v>
      </c>
      <c r="M177" s="38">
        <f t="shared" ref="M177:Q177" si="120">L177</f>
        <v>0.02</v>
      </c>
      <c r="N177" s="38">
        <f t="shared" si="120"/>
        <v>0.02</v>
      </c>
      <c r="O177" s="38">
        <f t="shared" si="120"/>
        <v>0.02</v>
      </c>
      <c r="P177" s="38">
        <f t="shared" si="120"/>
        <v>0.02</v>
      </c>
      <c r="Q177" s="38">
        <f t="shared" si="120"/>
        <v>0.02</v>
      </c>
    </row>
    <row r="178" ht="15.75" customHeight="1" outlineLevel="1">
      <c r="A178" s="16"/>
      <c r="B178" s="16" t="s">
        <v>66</v>
      </c>
      <c r="C178" s="35">
        <f t="shared" ref="C178:K178" si="121">C159/C$170</f>
        <v>0.008597741034</v>
      </c>
      <c r="D178" s="35">
        <f t="shared" si="121"/>
        <v>0.007211573768</v>
      </c>
      <c r="E178" s="35">
        <f t="shared" si="121"/>
        <v>0.005156034252</v>
      </c>
      <c r="F178" s="35">
        <f t="shared" si="121"/>
        <v>0.004969297711</v>
      </c>
      <c r="G178" s="35">
        <f t="shared" si="121"/>
        <v>0.006968014803</v>
      </c>
      <c r="H178" s="35">
        <f t="shared" si="121"/>
        <v>0</v>
      </c>
      <c r="I178" s="35">
        <f t="shared" si="121"/>
        <v>0</v>
      </c>
      <c r="J178" s="35">
        <f t="shared" si="121"/>
        <v>0</v>
      </c>
      <c r="K178" s="35">
        <f t="shared" si="121"/>
        <v>0</v>
      </c>
      <c r="L178" s="38">
        <f t="shared" ref="L178:Q178" si="122">K178</f>
        <v>0</v>
      </c>
      <c r="M178" s="38">
        <f t="shared" si="122"/>
        <v>0</v>
      </c>
      <c r="N178" s="38">
        <f t="shared" si="122"/>
        <v>0</v>
      </c>
      <c r="O178" s="38">
        <f t="shared" si="122"/>
        <v>0</v>
      </c>
      <c r="P178" s="38">
        <f t="shared" si="122"/>
        <v>0</v>
      </c>
      <c r="Q178" s="38">
        <f t="shared" si="122"/>
        <v>0</v>
      </c>
    </row>
    <row r="179" ht="15.75" customHeight="1" outlineLevel="1">
      <c r="A179" s="1"/>
      <c r="B179" s="1" t="s">
        <v>57</v>
      </c>
      <c r="C179" s="35">
        <f t="shared" ref="C179:K179" si="123">C160/C$170</f>
        <v>0.022600177</v>
      </c>
      <c r="D179" s="35">
        <f t="shared" si="123"/>
        <v>0.03339795843</v>
      </c>
      <c r="E179" s="35">
        <f t="shared" si="123"/>
        <v>0.01881858528</v>
      </c>
      <c r="F179" s="35">
        <f t="shared" si="123"/>
        <v>0.06438941076</v>
      </c>
      <c r="G179" s="35">
        <f t="shared" si="123"/>
        <v>0.02281654771</v>
      </c>
      <c r="H179" s="35">
        <f t="shared" si="123"/>
        <v>0.1384059001</v>
      </c>
      <c r="I179" s="35">
        <f t="shared" si="123"/>
        <v>0.07577397436</v>
      </c>
      <c r="J179" s="35">
        <f t="shared" si="123"/>
        <v>0.02197873658</v>
      </c>
      <c r="K179" s="35">
        <f t="shared" si="123"/>
        <v>0.05182005693</v>
      </c>
      <c r="L179" s="37">
        <v>0.03</v>
      </c>
      <c r="M179" s="38">
        <f t="shared" ref="M179:Q179" si="124">L179</f>
        <v>0.03</v>
      </c>
      <c r="N179" s="38">
        <f t="shared" si="124"/>
        <v>0.03</v>
      </c>
      <c r="O179" s="38">
        <f t="shared" si="124"/>
        <v>0.03</v>
      </c>
      <c r="P179" s="38">
        <f t="shared" si="124"/>
        <v>0.03</v>
      </c>
      <c r="Q179" s="38">
        <f t="shared" si="124"/>
        <v>0.03</v>
      </c>
    </row>
    <row r="180" ht="15.75" customHeight="1" outlineLevel="1">
      <c r="A180" s="5"/>
      <c r="B180" s="5"/>
    </row>
    <row r="181" ht="15.75" customHeight="1" outlineLevel="1">
      <c r="A181" s="17"/>
      <c r="B181" s="17" t="s">
        <v>42</v>
      </c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</row>
    <row r="182" ht="15.75" customHeight="1" outlineLevel="1">
      <c r="A182" s="1"/>
      <c r="B182" s="1" t="s">
        <v>43</v>
      </c>
      <c r="C182" s="35">
        <f t="shared" ref="C182:K182" si="125">C163/C$170</f>
        <v>0.01394285113</v>
      </c>
      <c r="D182" s="35">
        <f t="shared" si="125"/>
        <v>0.01180289344</v>
      </c>
      <c r="E182" s="35">
        <f t="shared" si="125"/>
        <v>0.01070174691</v>
      </c>
      <c r="F182" s="35">
        <f t="shared" si="125"/>
        <v>0.007818191324</v>
      </c>
      <c r="G182" s="35">
        <f t="shared" si="125"/>
        <v>0.009201691779</v>
      </c>
      <c r="H182" s="35">
        <f t="shared" si="125"/>
        <v>0.01214545558</v>
      </c>
      <c r="I182" s="35">
        <f t="shared" si="125"/>
        <v>0.01258125797</v>
      </c>
      <c r="J182" s="35">
        <f t="shared" si="125"/>
        <v>0.009782965782</v>
      </c>
      <c r="K182" s="35">
        <f t="shared" si="125"/>
        <v>0.008480299341</v>
      </c>
      <c r="L182" s="37">
        <v>0.01</v>
      </c>
      <c r="M182" s="38">
        <f t="shared" ref="M182:Q182" si="126">L182</f>
        <v>0.01</v>
      </c>
      <c r="N182" s="38">
        <f t="shared" si="126"/>
        <v>0.01</v>
      </c>
      <c r="O182" s="38">
        <f t="shared" si="126"/>
        <v>0.01</v>
      </c>
      <c r="P182" s="38">
        <f t="shared" si="126"/>
        <v>0.01</v>
      </c>
      <c r="Q182" s="38">
        <f t="shared" si="126"/>
        <v>0.01</v>
      </c>
    </row>
    <row r="183" ht="15.75" customHeight="1" outlineLevel="1">
      <c r="A183" s="1"/>
      <c r="B183" s="1" t="s">
        <v>44</v>
      </c>
      <c r="C183" s="35">
        <f t="shared" ref="C183:K183" si="127">C164/C$170</f>
        <v>0.001356431219</v>
      </c>
      <c r="D183" s="35">
        <f t="shared" si="127"/>
        <v>0.007105823603</v>
      </c>
      <c r="E183" s="35">
        <f t="shared" si="127"/>
        <v>0.001388307643</v>
      </c>
      <c r="F183" s="35">
        <f t="shared" si="127"/>
        <v>0.001738150427</v>
      </c>
      <c r="G183" s="35">
        <f t="shared" si="127"/>
        <v>0.001404969601</v>
      </c>
      <c r="H183" s="35">
        <f t="shared" si="127"/>
        <v>0.007051099869</v>
      </c>
      <c r="I183" s="35">
        <f t="shared" si="127"/>
        <v>0.004323569169</v>
      </c>
      <c r="J183" s="35">
        <f t="shared" si="127"/>
        <v>0.01032515018</v>
      </c>
      <c r="K183" s="35">
        <f t="shared" si="127"/>
        <v>0.0003588090079</v>
      </c>
      <c r="L183" s="37">
        <v>0.001</v>
      </c>
      <c r="M183" s="38">
        <f t="shared" ref="M183:Q183" si="128">L183</f>
        <v>0.001</v>
      </c>
      <c r="N183" s="38">
        <f t="shared" si="128"/>
        <v>0.001</v>
      </c>
      <c r="O183" s="38">
        <f t="shared" si="128"/>
        <v>0.001</v>
      </c>
      <c r="P183" s="38">
        <f t="shared" si="128"/>
        <v>0.001</v>
      </c>
      <c r="Q183" s="38">
        <f t="shared" si="128"/>
        <v>0.001</v>
      </c>
    </row>
    <row r="184" ht="15.75" customHeight="1" outlineLevel="1">
      <c r="A184" s="1"/>
      <c r="B184" s="1" t="s">
        <v>45</v>
      </c>
      <c r="C184" s="35">
        <f t="shared" ref="C184:K184" si="129">C165/C$170</f>
        <v>0.1298406106</v>
      </c>
      <c r="D184" s="35">
        <f t="shared" si="129"/>
        <v>0.1229228171</v>
      </c>
      <c r="E184" s="35">
        <f t="shared" si="129"/>
        <v>0.131554679</v>
      </c>
      <c r="F184" s="35">
        <f t="shared" si="129"/>
        <v>0.111977088</v>
      </c>
      <c r="G184" s="35">
        <f t="shared" si="129"/>
        <v>0.09924795136</v>
      </c>
      <c r="H184" s="35">
        <f t="shared" si="129"/>
        <v>0.1444907065</v>
      </c>
      <c r="I184" s="35">
        <f t="shared" si="129"/>
        <v>0.1106444258</v>
      </c>
      <c r="J184" s="35">
        <f t="shared" si="129"/>
        <v>0.1154928769</v>
      </c>
      <c r="K184" s="35">
        <f t="shared" si="129"/>
        <v>0.1197562073</v>
      </c>
      <c r="L184" s="37">
        <v>0.12</v>
      </c>
      <c r="M184" s="38">
        <f t="shared" ref="M184:Q184" si="130">L184</f>
        <v>0.12</v>
      </c>
      <c r="N184" s="38">
        <f t="shared" si="130"/>
        <v>0.12</v>
      </c>
      <c r="O184" s="38">
        <f t="shared" si="130"/>
        <v>0.12</v>
      </c>
      <c r="P184" s="38">
        <f t="shared" si="130"/>
        <v>0.12</v>
      </c>
      <c r="Q184" s="38">
        <f t="shared" si="130"/>
        <v>0.12</v>
      </c>
    </row>
    <row r="185" ht="15.75" customHeight="1" outlineLevel="1">
      <c r="A185" s="1"/>
      <c r="B185" s="1" t="s">
        <v>46</v>
      </c>
      <c r="C185" s="35">
        <f t="shared" ref="C185:K185" si="131">C166/C$170</f>
        <v>0.02041656809</v>
      </c>
      <c r="D185" s="35">
        <f t="shared" si="131"/>
        <v>0.02684585445</v>
      </c>
      <c r="E185" s="35">
        <f t="shared" si="131"/>
        <v>0.02618237952</v>
      </c>
      <c r="F185" s="35">
        <f t="shared" si="131"/>
        <v>0.01897209781</v>
      </c>
      <c r="G185" s="35">
        <f t="shared" si="131"/>
        <v>0.01862410785</v>
      </c>
      <c r="H185" s="35">
        <f t="shared" si="131"/>
        <v>0.03808474962</v>
      </c>
      <c r="I185" s="35">
        <f t="shared" si="131"/>
        <v>0.03247601602</v>
      </c>
      <c r="J185" s="35">
        <f t="shared" si="131"/>
        <v>0.02818345426</v>
      </c>
      <c r="K185" s="35">
        <f t="shared" si="131"/>
        <v>0.02942304357</v>
      </c>
      <c r="L185" s="37">
        <v>0.03</v>
      </c>
      <c r="M185" s="38">
        <f t="shared" ref="M185:Q185" si="132">L185</f>
        <v>0.03</v>
      </c>
      <c r="N185" s="38">
        <f t="shared" si="132"/>
        <v>0.03</v>
      </c>
      <c r="O185" s="38">
        <f t="shared" si="132"/>
        <v>0.03</v>
      </c>
      <c r="P185" s="38">
        <f t="shared" si="132"/>
        <v>0.03</v>
      </c>
      <c r="Q185" s="38">
        <f t="shared" si="132"/>
        <v>0.03</v>
      </c>
    </row>
    <row r="186" ht="15.75" customHeight="1" outlineLevel="1">
      <c r="A186" s="1"/>
      <c r="B186" s="1" t="s">
        <v>47</v>
      </c>
      <c r="C186" s="35">
        <f t="shared" ref="C186:K186" si="133">C167/C$170</f>
        <v>0.006999465489</v>
      </c>
      <c r="D186" s="35">
        <f t="shared" si="133"/>
        <v>0.006603510318</v>
      </c>
      <c r="E186" s="35">
        <f t="shared" si="133"/>
        <v>0.007027994196</v>
      </c>
      <c r="F186" s="35">
        <f t="shared" si="133"/>
        <v>0.007266305327</v>
      </c>
      <c r="G186" s="35">
        <f t="shared" si="133"/>
        <v>0.008996827914</v>
      </c>
      <c r="H186" s="35">
        <f t="shared" si="133"/>
        <v>0.01055533451</v>
      </c>
      <c r="I186" s="35">
        <f t="shared" si="133"/>
        <v>0.009750956076</v>
      </c>
      <c r="J186" s="35">
        <f t="shared" si="133"/>
        <v>0.009146194702</v>
      </c>
      <c r="K186" s="35">
        <f t="shared" si="133"/>
        <v>0.009247967336</v>
      </c>
      <c r="L186" s="37">
        <v>0.01</v>
      </c>
      <c r="M186" s="38">
        <f t="shared" ref="M186:Q186" si="134">L186</f>
        <v>0.01</v>
      </c>
      <c r="N186" s="38">
        <f t="shared" si="134"/>
        <v>0.01</v>
      </c>
      <c r="O186" s="38">
        <f t="shared" si="134"/>
        <v>0.01</v>
      </c>
      <c r="P186" s="38">
        <f t="shared" si="134"/>
        <v>0.01</v>
      </c>
      <c r="Q186" s="38">
        <f t="shared" si="134"/>
        <v>0.01</v>
      </c>
    </row>
    <row r="187" ht="15.75" customHeight="1" outlineLevel="1">
      <c r="A187" s="1"/>
      <c r="B187" s="1" t="s">
        <v>48</v>
      </c>
      <c r="C187" s="35">
        <f t="shared" ref="C187:K187" si="135">C168/C$170</f>
        <v>0.02099138649</v>
      </c>
      <c r="D187" s="35">
        <f t="shared" si="135"/>
        <v>0.0191349049</v>
      </c>
      <c r="E187" s="35">
        <f t="shared" si="135"/>
        <v>0.0167123171</v>
      </c>
      <c r="F187" s="35">
        <f t="shared" si="135"/>
        <v>0.01675409703</v>
      </c>
      <c r="G187" s="35">
        <f t="shared" si="135"/>
        <v>0.01194818927</v>
      </c>
      <c r="H187" s="35">
        <f t="shared" si="135"/>
        <v>0.01807537089</v>
      </c>
      <c r="I187" s="35">
        <f t="shared" si="135"/>
        <v>0.02295035198</v>
      </c>
      <c r="J187" s="35">
        <f t="shared" si="135"/>
        <v>0.01933959914</v>
      </c>
      <c r="K187" s="35">
        <f t="shared" si="135"/>
        <v>0.01567551259</v>
      </c>
      <c r="L187" s="37">
        <v>0.02</v>
      </c>
      <c r="M187" s="38">
        <f t="shared" ref="M187:Q187" si="136">L187</f>
        <v>0.02</v>
      </c>
      <c r="N187" s="38">
        <f t="shared" si="136"/>
        <v>0.02</v>
      </c>
      <c r="O187" s="38">
        <f t="shared" si="136"/>
        <v>0.02</v>
      </c>
      <c r="P187" s="38">
        <f t="shared" si="136"/>
        <v>0.02</v>
      </c>
      <c r="Q187" s="38">
        <f t="shared" si="136"/>
        <v>0.02</v>
      </c>
    </row>
    <row r="188" ht="15.75" customHeight="1" outlineLevel="1">
      <c r="A188" s="5"/>
      <c r="B188" s="5"/>
    </row>
    <row r="189" ht="15.75" customHeight="1" outlineLevel="1">
      <c r="A189" s="18"/>
      <c r="B189" s="18" t="s">
        <v>90</v>
      </c>
      <c r="C189" s="27">
        <f t="shared" ref="C189:Q189" si="137">C154-C162</f>
        <v>-31437</v>
      </c>
      <c r="D189" s="27">
        <f t="shared" si="137"/>
        <v>-44623</v>
      </c>
      <c r="E189" s="27">
        <f t="shared" si="137"/>
        <v>-75925</v>
      </c>
      <c r="F189" s="27">
        <f t="shared" si="137"/>
        <v>-19756</v>
      </c>
      <c r="G189" s="27">
        <f t="shared" si="137"/>
        <v>-28938</v>
      </c>
      <c r="H189" s="27">
        <f t="shared" si="137"/>
        <v>-11640</v>
      </c>
      <c r="I189" s="27">
        <f t="shared" si="137"/>
        <v>-32723</v>
      </c>
      <c r="J189" s="27">
        <f t="shared" si="137"/>
        <v>-98460</v>
      </c>
      <c r="K189" s="27">
        <f t="shared" si="137"/>
        <v>-61454</v>
      </c>
      <c r="L189" s="27">
        <f t="shared" si="137"/>
        <v>-123536.7245</v>
      </c>
      <c r="M189" s="27">
        <f t="shared" si="137"/>
        <v>-144336.89</v>
      </c>
      <c r="N189" s="27">
        <f t="shared" si="137"/>
        <v>-168700.3771</v>
      </c>
      <c r="O189" s="27">
        <f t="shared" si="137"/>
        <v>-197244.7616</v>
      </c>
      <c r="P189" s="27">
        <f t="shared" si="137"/>
        <v>-230695.4726</v>
      </c>
      <c r="Q189" s="27">
        <f t="shared" si="137"/>
        <v>-269904.7205</v>
      </c>
      <c r="R189" s="34"/>
      <c r="S189" s="34"/>
      <c r="T189" s="34"/>
      <c r="U189" s="34"/>
      <c r="V189" s="34"/>
      <c r="W189" s="34"/>
      <c r="X189" s="34"/>
      <c r="Y189" s="34"/>
      <c r="Z189" s="34"/>
      <c r="AA189" s="34"/>
    </row>
    <row r="190" ht="15.75" customHeight="1" outlineLevel="1">
      <c r="A190" s="18"/>
      <c r="B190" s="18" t="s">
        <v>91</v>
      </c>
      <c r="C190" s="34"/>
      <c r="D190" s="27">
        <f t="shared" ref="D190:Q190" si="138">D189-C189</f>
        <v>-13186</v>
      </c>
      <c r="E190" s="27">
        <f t="shared" si="138"/>
        <v>-31302</v>
      </c>
      <c r="F190" s="27">
        <f t="shared" si="138"/>
        <v>56169</v>
      </c>
      <c r="G190" s="27">
        <f t="shared" si="138"/>
        <v>-9182</v>
      </c>
      <c r="H190" s="27">
        <f t="shared" si="138"/>
        <v>17298</v>
      </c>
      <c r="I190" s="27">
        <f t="shared" si="138"/>
        <v>-21083</v>
      </c>
      <c r="J190" s="27">
        <f t="shared" si="138"/>
        <v>-65737</v>
      </c>
      <c r="K190" s="27">
        <f t="shared" si="138"/>
        <v>37006</v>
      </c>
      <c r="L190" s="27">
        <f t="shared" si="138"/>
        <v>-62082.72448</v>
      </c>
      <c r="M190" s="27">
        <f t="shared" si="138"/>
        <v>-20800.16549</v>
      </c>
      <c r="N190" s="27">
        <f t="shared" si="138"/>
        <v>-24363.48712</v>
      </c>
      <c r="O190" s="27">
        <f t="shared" si="138"/>
        <v>-28544.38454</v>
      </c>
      <c r="P190" s="27">
        <f t="shared" si="138"/>
        <v>-33450.71097</v>
      </c>
      <c r="Q190" s="27">
        <f t="shared" si="138"/>
        <v>-39209.2479</v>
      </c>
      <c r="R190" s="34"/>
      <c r="S190" s="34"/>
      <c r="T190" s="34"/>
      <c r="U190" s="34"/>
      <c r="V190" s="34"/>
      <c r="W190" s="34"/>
      <c r="X190" s="34"/>
      <c r="Y190" s="34"/>
      <c r="Z190" s="34"/>
      <c r="AA190" s="34"/>
    </row>
    <row r="191" ht="15.75" customHeight="1">
      <c r="A191" s="5"/>
      <c r="B191" s="5"/>
    </row>
    <row r="192" ht="15.75" customHeight="1">
      <c r="A192" s="5"/>
      <c r="B192" s="5"/>
    </row>
    <row r="193" ht="15.75" customHeight="1">
      <c r="A193" s="5"/>
      <c r="B193" s="5"/>
    </row>
    <row r="194" ht="15.75" customHeight="1">
      <c r="A194" s="121" t="s">
        <v>207</v>
      </c>
      <c r="B194" s="18" t="s">
        <v>92</v>
      </c>
    </row>
    <row r="195" ht="15.75" customHeight="1">
      <c r="A195" s="5"/>
      <c r="B195" s="5" t="s">
        <v>93</v>
      </c>
      <c r="C195" s="19">
        <f t="shared" ref="C195:K195" si="139">sum(C69,C73,C71)</f>
        <v>131896</v>
      </c>
      <c r="D195" s="19">
        <f t="shared" si="139"/>
        <v>141900</v>
      </c>
      <c r="E195" s="19">
        <f t="shared" si="139"/>
        <v>152092</v>
      </c>
      <c r="F195" s="19">
        <f t="shared" si="139"/>
        <v>165931</v>
      </c>
      <c r="G195" s="19">
        <f t="shared" si="139"/>
        <v>167529</v>
      </c>
      <c r="H195" s="19">
        <f t="shared" si="139"/>
        <v>159638</v>
      </c>
      <c r="I195" s="19">
        <f t="shared" si="139"/>
        <v>160435</v>
      </c>
      <c r="J195" s="19">
        <f t="shared" si="139"/>
        <v>314476</v>
      </c>
      <c r="K195" s="19">
        <f t="shared" si="139"/>
        <v>349154</v>
      </c>
    </row>
    <row r="196" ht="15.75" customHeight="1">
      <c r="A196" s="5"/>
      <c r="B196" s="5" t="s">
        <v>94</v>
      </c>
      <c r="C196" s="19">
        <f t="shared" ref="C196:K196" si="140">sum(C70,C72)</f>
        <v>3469</v>
      </c>
      <c r="D196" s="19">
        <f t="shared" si="140"/>
        <v>3730</v>
      </c>
      <c r="E196" s="19">
        <f t="shared" si="140"/>
        <v>3117</v>
      </c>
      <c r="F196" s="19">
        <f t="shared" si="140"/>
        <v>4511</v>
      </c>
      <c r="G196" s="19">
        <f t="shared" si="140"/>
        <v>4067</v>
      </c>
      <c r="H196" s="19">
        <f t="shared" si="140"/>
        <v>5217</v>
      </c>
      <c r="I196" s="19">
        <f t="shared" si="140"/>
        <v>6402</v>
      </c>
      <c r="J196" s="19">
        <f t="shared" si="140"/>
        <v>6368</v>
      </c>
      <c r="K196" s="19">
        <f t="shared" si="140"/>
        <v>6842</v>
      </c>
    </row>
    <row r="197" ht="15.75" customHeight="1">
      <c r="A197" s="17"/>
      <c r="B197" s="17" t="s">
        <v>49</v>
      </c>
      <c r="C197" s="27">
        <f t="shared" ref="C197:K197" si="141">sum(C195:C196)</f>
        <v>135365</v>
      </c>
      <c r="D197" s="27">
        <f t="shared" si="141"/>
        <v>145630</v>
      </c>
      <c r="E197" s="27">
        <f t="shared" si="141"/>
        <v>155209</v>
      </c>
      <c r="F197" s="27">
        <f t="shared" si="141"/>
        <v>170442</v>
      </c>
      <c r="G197" s="27">
        <f t="shared" si="141"/>
        <v>171596</v>
      </c>
      <c r="H197" s="27">
        <f t="shared" si="141"/>
        <v>164855</v>
      </c>
      <c r="I197" s="27">
        <f t="shared" si="141"/>
        <v>166837</v>
      </c>
      <c r="J197" s="27">
        <f t="shared" si="141"/>
        <v>320844</v>
      </c>
      <c r="K197" s="27">
        <f t="shared" si="141"/>
        <v>355996</v>
      </c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</row>
    <row r="198" ht="15.75" customHeight="1">
      <c r="A198" s="5"/>
      <c r="B198" s="5"/>
    </row>
    <row r="199" ht="15.75" customHeight="1">
      <c r="A199" s="5"/>
      <c r="B199" s="5" t="s">
        <v>95</v>
      </c>
    </row>
    <row r="200" ht="15.75" customHeight="1">
      <c r="A200" s="5"/>
      <c r="B200" s="5"/>
    </row>
    <row r="201" ht="15.75" customHeight="1">
      <c r="A201" s="5"/>
      <c r="B201" s="5" t="s">
        <v>96</v>
      </c>
    </row>
    <row r="202" ht="15.75" customHeight="1">
      <c r="A202" s="5"/>
      <c r="B202" s="5" t="s">
        <v>97</v>
      </c>
    </row>
    <row r="203" ht="15.75" customHeight="1">
      <c r="A203" s="5"/>
      <c r="B203" s="5" t="s">
        <v>98</v>
      </c>
    </row>
    <row r="204" ht="15.75" customHeight="1">
      <c r="A204" s="5"/>
      <c r="B204" s="5"/>
    </row>
    <row r="205" ht="15.75" customHeight="1">
      <c r="A205" s="5"/>
      <c r="B205" s="5" t="s">
        <v>99</v>
      </c>
    </row>
    <row r="206" ht="15.75" customHeight="1">
      <c r="A206" s="5"/>
      <c r="B206" s="5" t="s">
        <v>100</v>
      </c>
    </row>
    <row r="207" ht="15.75" customHeight="1">
      <c r="A207" s="1"/>
      <c r="B207" s="1"/>
    </row>
    <row r="208" ht="15.75" customHeight="1">
      <c r="A208" s="1"/>
      <c r="B208" s="1"/>
    </row>
    <row r="209" ht="15.75" customHeight="1">
      <c r="A209" s="1"/>
      <c r="B209" s="1"/>
    </row>
    <row r="210" ht="15.75" customHeight="1">
      <c r="A210" s="1"/>
      <c r="B210" s="1"/>
    </row>
    <row r="211" ht="15.75" customHeight="1">
      <c r="A211" s="1"/>
      <c r="B211" s="1"/>
    </row>
    <row r="212" ht="15.75" customHeight="1">
      <c r="A212" s="1"/>
      <c r="B212" s="1"/>
    </row>
    <row r="213" ht="15.75" customHeight="1">
      <c r="A213" s="1"/>
      <c r="B213" s="1"/>
    </row>
    <row r="214" ht="15.75" customHeight="1">
      <c r="A214" s="1"/>
      <c r="B214" s="1"/>
    </row>
    <row r="215" ht="15.75" customHeight="1">
      <c r="A215" s="1"/>
      <c r="B215" s="1"/>
    </row>
    <row r="216" ht="15.75" customHeight="1">
      <c r="A216" s="1"/>
      <c r="B216" s="1"/>
    </row>
    <row r="217" ht="15.75" customHeight="1">
      <c r="A217" s="1"/>
      <c r="B217" s="1"/>
    </row>
    <row r="218" ht="15.75" customHeight="1">
      <c r="A218" s="1"/>
      <c r="B218" s="1"/>
    </row>
    <row r="219" ht="15.75" customHeight="1">
      <c r="A219" s="1"/>
      <c r="B219" s="1"/>
    </row>
    <row r="220" ht="15.75" customHeight="1">
      <c r="A220" s="1"/>
      <c r="B220" s="1"/>
    </row>
    <row r="221" ht="15.75" customHeight="1">
      <c r="A221" s="1"/>
      <c r="B221" s="1"/>
    </row>
    <row r="222" ht="15.75" customHeight="1">
      <c r="A222" s="1"/>
      <c r="B222" s="1"/>
    </row>
    <row r="223" ht="15.75" customHeight="1">
      <c r="A223" s="1"/>
      <c r="B223" s="1"/>
    </row>
    <row r="224" ht="15.75" customHeight="1">
      <c r="A224" s="1"/>
      <c r="B224" s="1"/>
    </row>
    <row r="225" ht="15.75" customHeight="1">
      <c r="A225" s="1"/>
      <c r="B225" s="1"/>
    </row>
    <row r="226" ht="15.75" customHeight="1">
      <c r="A226" s="1"/>
      <c r="B226" s="1"/>
    </row>
    <row r="227" ht="15.75" customHeight="1">
      <c r="A227" s="1"/>
      <c r="B227" s="1"/>
    </row>
    <row r="228" ht="15.75" customHeight="1">
      <c r="A228" s="1"/>
      <c r="B228" s="1"/>
    </row>
    <row r="229" ht="15.75" customHeight="1">
      <c r="A229" s="1"/>
      <c r="B229" s="1"/>
    </row>
    <row r="230" ht="15.75" customHeight="1">
      <c r="A230" s="1"/>
      <c r="B230" s="1"/>
    </row>
    <row r="231" ht="15.75" customHeight="1">
      <c r="A231" s="1"/>
      <c r="B231" s="1"/>
    </row>
    <row r="232" ht="15.75" customHeight="1">
      <c r="A232" s="1"/>
      <c r="B232" s="1"/>
    </row>
    <row r="233" ht="15.75" customHeight="1">
      <c r="A233" s="1"/>
      <c r="B233" s="1"/>
    </row>
    <row r="234" ht="15.75" customHeight="1">
      <c r="A234" s="1"/>
      <c r="B234" s="1"/>
    </row>
    <row r="235" ht="15.75" customHeight="1">
      <c r="A235" s="1"/>
      <c r="B235" s="1"/>
    </row>
    <row r="236" ht="15.75" customHeight="1">
      <c r="A236" s="1"/>
      <c r="B236" s="1"/>
    </row>
    <row r="237" ht="15.75" customHeight="1">
      <c r="A237" s="1"/>
      <c r="B237" s="1"/>
    </row>
    <row r="238" ht="15.75" customHeight="1">
      <c r="A238" s="1"/>
      <c r="B238" s="1"/>
    </row>
    <row r="239" ht="15.75" customHeight="1">
      <c r="A239" s="1"/>
      <c r="B239" s="1"/>
    </row>
    <row r="240" ht="15.75" customHeight="1">
      <c r="A240" s="1"/>
      <c r="B240" s="1"/>
    </row>
    <row r="241" ht="15.75" customHeight="1">
      <c r="A241" s="1"/>
      <c r="B241" s="1"/>
    </row>
    <row r="242" ht="15.75" customHeight="1">
      <c r="A242" s="1"/>
      <c r="B242" s="1"/>
    </row>
    <row r="243" ht="15.75" customHeight="1">
      <c r="A243" s="1"/>
      <c r="B243" s="1"/>
    </row>
    <row r="244" ht="15.75" customHeight="1">
      <c r="A244" s="1"/>
      <c r="B244" s="1"/>
    </row>
    <row r="245" ht="15.75" customHeight="1">
      <c r="A245" s="1"/>
      <c r="B245" s="1"/>
    </row>
    <row r="246" ht="15.75" customHeight="1">
      <c r="A246" s="1"/>
      <c r="B246" s="1"/>
    </row>
    <row r="247" ht="15.75" customHeight="1">
      <c r="A247" s="1"/>
      <c r="B247" s="1"/>
    </row>
    <row r="248" ht="15.75" customHeight="1">
      <c r="A248" s="1"/>
      <c r="B248" s="1"/>
    </row>
    <row r="249" ht="15.75" customHeight="1">
      <c r="A249" s="1"/>
      <c r="B249" s="1"/>
    </row>
    <row r="250" ht="15.75" customHeight="1">
      <c r="A250" s="1"/>
      <c r="B250" s="1"/>
    </row>
    <row r="251" ht="15.75" customHeight="1">
      <c r="A251" s="1"/>
      <c r="B251" s="1"/>
    </row>
    <row r="252" ht="15.75" customHeight="1">
      <c r="A252" s="1"/>
      <c r="B252" s="1"/>
    </row>
    <row r="253" ht="15.75" customHeight="1">
      <c r="A253" s="1"/>
      <c r="B253" s="1"/>
    </row>
    <row r="254" ht="15.75" customHeight="1">
      <c r="A254" s="1"/>
      <c r="B254" s="1"/>
    </row>
    <row r="255" ht="15.75" customHeight="1">
      <c r="A255" s="1"/>
      <c r="B255" s="1"/>
    </row>
    <row r="256" ht="15.75" customHeight="1">
      <c r="A256" s="1"/>
      <c r="B256" s="1"/>
    </row>
    <row r="257" ht="15.75" customHeight="1">
      <c r="A257" s="1"/>
      <c r="B257" s="1"/>
    </row>
    <row r="258" ht="15.75" customHeight="1">
      <c r="A258" s="1"/>
      <c r="B258" s="1"/>
    </row>
    <row r="259" ht="15.75" customHeight="1">
      <c r="A259" s="1"/>
      <c r="B259" s="1"/>
    </row>
    <row r="260" ht="15.75" customHeight="1">
      <c r="A260" s="1"/>
      <c r="B260" s="1"/>
    </row>
    <row r="261" ht="15.75" customHeight="1">
      <c r="A261" s="1"/>
      <c r="B261" s="1"/>
    </row>
    <row r="262" ht="15.75" customHeight="1">
      <c r="A262" s="1"/>
      <c r="B262" s="1"/>
    </row>
    <row r="263" ht="15.75" customHeight="1">
      <c r="A263" s="1"/>
      <c r="B263" s="1"/>
    </row>
    <row r="264" ht="15.75" customHeight="1">
      <c r="A264" s="1"/>
      <c r="B264" s="1"/>
    </row>
    <row r="265" ht="15.75" customHeight="1">
      <c r="A265" s="1"/>
      <c r="B265" s="1"/>
    </row>
    <row r="266" ht="15.75" customHeight="1">
      <c r="A266" s="1"/>
      <c r="B266" s="1"/>
    </row>
    <row r="267" ht="15.75" customHeight="1">
      <c r="A267" s="1"/>
      <c r="B267" s="1"/>
    </row>
    <row r="268" ht="15.75" customHeight="1">
      <c r="A268" s="1"/>
      <c r="B268" s="1"/>
    </row>
    <row r="269" ht="15.75" customHeight="1">
      <c r="A269" s="1"/>
      <c r="B269" s="1"/>
    </row>
    <row r="270" ht="15.75" customHeight="1">
      <c r="A270" s="1"/>
      <c r="B270" s="1"/>
    </row>
    <row r="271" ht="15.75" customHeight="1">
      <c r="A271" s="1"/>
      <c r="B271" s="1"/>
    </row>
    <row r="272" ht="15.75" customHeight="1">
      <c r="A272" s="1"/>
      <c r="B272" s="1"/>
    </row>
    <row r="273" ht="15.75" customHeight="1">
      <c r="A273" s="1"/>
      <c r="B273" s="1"/>
    </row>
    <row r="274" ht="15.75" customHeight="1">
      <c r="A274" s="1"/>
      <c r="B274" s="1"/>
    </row>
    <row r="275" ht="15.75" customHeight="1">
      <c r="A275" s="1"/>
      <c r="B275" s="1"/>
    </row>
    <row r="276" ht="15.75" customHeight="1">
      <c r="A276" s="1"/>
      <c r="B276" s="1"/>
    </row>
    <row r="277" ht="15.75" customHeight="1">
      <c r="A277" s="1"/>
      <c r="B277" s="1"/>
    </row>
    <row r="278" ht="15.75" customHeight="1">
      <c r="A278" s="1"/>
      <c r="B278" s="1"/>
    </row>
    <row r="279" ht="15.75" customHeight="1">
      <c r="A279" s="1"/>
      <c r="B279" s="1"/>
    </row>
    <row r="280" ht="15.75" customHeight="1">
      <c r="A280" s="1"/>
      <c r="B280" s="1"/>
    </row>
    <row r="281" ht="15.75" customHeight="1">
      <c r="A281" s="1"/>
      <c r="B281" s="1"/>
    </row>
    <row r="282" ht="15.75" customHeight="1">
      <c r="A282" s="1"/>
      <c r="B282" s="1"/>
    </row>
    <row r="283" ht="15.75" customHeight="1">
      <c r="A283" s="1"/>
      <c r="B283" s="1"/>
    </row>
    <row r="284" ht="15.75" customHeight="1">
      <c r="A284" s="1"/>
      <c r="B284" s="1"/>
    </row>
    <row r="285" ht="15.75" customHeight="1">
      <c r="A285" s="1"/>
      <c r="B285" s="1"/>
    </row>
    <row r="286" ht="15.75" customHeight="1">
      <c r="A286" s="1"/>
      <c r="B286" s="1"/>
    </row>
    <row r="287" ht="15.75" customHeight="1">
      <c r="A287" s="1"/>
      <c r="B287" s="1"/>
    </row>
    <row r="288" ht="15.75" customHeight="1">
      <c r="A288" s="1"/>
      <c r="B288" s="1"/>
    </row>
    <row r="289" ht="15.75" customHeight="1">
      <c r="A289" s="1"/>
      <c r="B289" s="1"/>
    </row>
    <row r="290" ht="15.75" customHeight="1">
      <c r="A290" s="1"/>
      <c r="B290" s="1"/>
    </row>
    <row r="291" ht="15.75" customHeight="1">
      <c r="A291" s="1"/>
      <c r="B291" s="1"/>
    </row>
    <row r="292" ht="15.75" customHeight="1">
      <c r="A292" s="1"/>
      <c r="B292" s="1"/>
    </row>
    <row r="293" ht="15.75" customHeight="1">
      <c r="A293" s="1"/>
      <c r="B293" s="1"/>
    </row>
    <row r="294" ht="15.75" customHeight="1">
      <c r="A294" s="1"/>
      <c r="B294" s="1"/>
    </row>
    <row r="295" ht="15.75" customHeight="1">
      <c r="A295" s="1"/>
      <c r="B295" s="1"/>
    </row>
    <row r="296" ht="15.75" customHeight="1">
      <c r="A296" s="1"/>
      <c r="B296" s="1"/>
    </row>
    <row r="297" ht="15.75" customHeight="1">
      <c r="A297" s="1"/>
      <c r="B297" s="1"/>
    </row>
    <row r="298" ht="15.75" customHeight="1">
      <c r="A298" s="1"/>
      <c r="B298" s="1"/>
    </row>
    <row r="299" ht="15.75" customHeight="1">
      <c r="A299" s="1"/>
      <c r="B299" s="1"/>
    </row>
    <row r="300" ht="15.75" customHeight="1">
      <c r="A300" s="1"/>
      <c r="B300" s="1"/>
    </row>
    <row r="301" ht="15.75" customHeight="1">
      <c r="A301" s="1"/>
      <c r="B301" s="1"/>
    </row>
    <row r="302" ht="15.75" customHeight="1">
      <c r="A302" s="1"/>
      <c r="B302" s="1"/>
    </row>
    <row r="303" ht="15.75" customHeight="1">
      <c r="A303" s="1"/>
      <c r="B303" s="1"/>
    </row>
    <row r="304" ht="15.75" customHeight="1">
      <c r="A304" s="1"/>
      <c r="B304" s="1"/>
    </row>
    <row r="305" ht="15.75" customHeight="1">
      <c r="A305" s="1"/>
      <c r="B305" s="1"/>
    </row>
    <row r="306" ht="15.75" customHeight="1">
      <c r="A306" s="1"/>
      <c r="B306" s="1"/>
    </row>
    <row r="307" ht="15.75" customHeight="1">
      <c r="A307" s="1"/>
      <c r="B307" s="1"/>
    </row>
    <row r="308" ht="15.75" customHeight="1">
      <c r="A308" s="1"/>
      <c r="B308" s="1"/>
    </row>
    <row r="309" ht="15.75" customHeight="1">
      <c r="A309" s="1"/>
      <c r="B309" s="1"/>
    </row>
    <row r="310" ht="15.75" customHeight="1">
      <c r="A310" s="1"/>
      <c r="B310" s="1"/>
    </row>
    <row r="311" ht="15.75" customHeight="1">
      <c r="A311" s="1"/>
      <c r="B311" s="1"/>
    </row>
    <row r="312" ht="15.75" customHeight="1">
      <c r="A312" s="1"/>
      <c r="B312" s="1"/>
    </row>
    <row r="313" ht="15.75" customHeight="1">
      <c r="A313" s="1"/>
      <c r="B313" s="1"/>
    </row>
    <row r="314" ht="15.75" customHeight="1">
      <c r="A314" s="1"/>
      <c r="B314" s="1"/>
    </row>
    <row r="315" ht="15.75" customHeight="1">
      <c r="A315" s="1"/>
      <c r="B315" s="1"/>
    </row>
    <row r="316" ht="15.75" customHeight="1">
      <c r="A316" s="1"/>
      <c r="B316" s="1"/>
    </row>
    <row r="317" ht="15.75" customHeight="1">
      <c r="A317" s="1"/>
      <c r="B317" s="1"/>
    </row>
    <row r="318" ht="15.75" customHeight="1">
      <c r="A318" s="1"/>
      <c r="B318" s="1"/>
    </row>
    <row r="319" ht="15.75" customHeight="1">
      <c r="A319" s="1"/>
      <c r="B319" s="1"/>
    </row>
    <row r="320" ht="15.75" customHeight="1">
      <c r="A320" s="1"/>
      <c r="B320" s="1"/>
    </row>
    <row r="321" ht="15.75" customHeight="1">
      <c r="A321" s="1"/>
      <c r="B321" s="1"/>
    </row>
    <row r="322" ht="15.75" customHeight="1">
      <c r="A322" s="1"/>
      <c r="B322" s="1"/>
    </row>
    <row r="323" ht="15.75" customHeight="1">
      <c r="A323" s="1"/>
      <c r="B323" s="1"/>
    </row>
    <row r="324" ht="15.75" customHeight="1">
      <c r="A324" s="1"/>
      <c r="B324" s="1"/>
    </row>
    <row r="325" ht="15.75" customHeight="1">
      <c r="A325" s="1"/>
      <c r="B325" s="1"/>
    </row>
    <row r="326" ht="15.75" customHeight="1">
      <c r="A326" s="1"/>
      <c r="B326" s="1"/>
    </row>
    <row r="327" ht="15.75" customHeight="1">
      <c r="A327" s="1"/>
      <c r="B327" s="1"/>
    </row>
    <row r="328" ht="15.75" customHeight="1">
      <c r="A328" s="1"/>
      <c r="B328" s="1"/>
    </row>
    <row r="329" ht="15.75" customHeight="1">
      <c r="A329" s="1"/>
      <c r="B329" s="1"/>
    </row>
    <row r="330" ht="15.75" customHeight="1">
      <c r="A330" s="1"/>
      <c r="B330" s="1"/>
    </row>
    <row r="331" ht="15.75" customHeight="1">
      <c r="A331" s="1"/>
      <c r="B331" s="1"/>
    </row>
    <row r="332" ht="15.75" customHeight="1">
      <c r="A332" s="1"/>
      <c r="B332" s="1"/>
    </row>
    <row r="333" ht="15.75" customHeight="1">
      <c r="A333" s="1"/>
      <c r="B333" s="1"/>
    </row>
    <row r="334" ht="15.75" customHeight="1">
      <c r="A334" s="1"/>
      <c r="B334" s="1"/>
    </row>
    <row r="335" ht="15.75" customHeight="1">
      <c r="A335" s="1"/>
      <c r="B335" s="1"/>
    </row>
    <row r="336" ht="15.75" customHeight="1">
      <c r="A336" s="1"/>
      <c r="B336" s="1"/>
    </row>
    <row r="337" ht="15.75" customHeight="1">
      <c r="A337" s="1"/>
      <c r="B337" s="1"/>
    </row>
    <row r="338" ht="15.75" customHeight="1">
      <c r="A338" s="1"/>
      <c r="B338" s="1"/>
    </row>
    <row r="339" ht="15.75" customHeight="1">
      <c r="A339" s="1"/>
      <c r="B339" s="1"/>
    </row>
    <row r="340" ht="15.75" customHeight="1">
      <c r="A340" s="1"/>
      <c r="B340" s="1"/>
    </row>
    <row r="341" ht="15.75" customHeight="1">
      <c r="A341" s="1"/>
      <c r="B341" s="1"/>
    </row>
    <row r="342" ht="15.75" customHeight="1">
      <c r="A342" s="1"/>
      <c r="B342" s="1"/>
    </row>
    <row r="343" ht="15.75" customHeight="1">
      <c r="A343" s="1"/>
      <c r="B343" s="1"/>
    </row>
    <row r="344" ht="15.75" customHeight="1">
      <c r="A344" s="1"/>
      <c r="B344" s="1"/>
    </row>
    <row r="345" ht="15.75" customHeight="1">
      <c r="A345" s="1"/>
      <c r="B345" s="1"/>
    </row>
    <row r="346" ht="15.75" customHeight="1">
      <c r="A346" s="1"/>
      <c r="B346" s="1"/>
    </row>
    <row r="347" ht="15.75" customHeight="1">
      <c r="A347" s="1"/>
      <c r="B347" s="1"/>
    </row>
    <row r="348" ht="15.75" customHeight="1">
      <c r="A348" s="1"/>
      <c r="B348" s="1"/>
    </row>
    <row r="349" ht="15.75" customHeight="1">
      <c r="A349" s="1"/>
      <c r="B349" s="1"/>
    </row>
    <row r="350" ht="15.75" customHeight="1">
      <c r="A350" s="1"/>
      <c r="B350" s="1"/>
    </row>
    <row r="351" ht="15.75" customHeight="1">
      <c r="A351" s="1"/>
      <c r="B351" s="1"/>
    </row>
    <row r="352" ht="15.75" customHeight="1">
      <c r="A352" s="1"/>
      <c r="B352" s="1"/>
    </row>
    <row r="353" ht="15.75" customHeight="1">
      <c r="A353" s="1"/>
      <c r="B353" s="1"/>
    </row>
    <row r="354" ht="15.75" customHeight="1">
      <c r="A354" s="1"/>
      <c r="B354" s="1"/>
    </row>
    <row r="355" ht="15.75" customHeight="1">
      <c r="A355" s="1"/>
      <c r="B355" s="1"/>
    </row>
    <row r="356" ht="15.75" customHeight="1">
      <c r="A356" s="1"/>
      <c r="B356" s="1"/>
    </row>
    <row r="357" ht="15.75" customHeight="1">
      <c r="A357" s="1"/>
      <c r="B357" s="1"/>
    </row>
    <row r="358" ht="15.75" customHeight="1">
      <c r="A358" s="1"/>
      <c r="B358" s="1"/>
    </row>
    <row r="359" ht="15.75" customHeight="1">
      <c r="A359" s="1"/>
      <c r="B359" s="1"/>
    </row>
    <row r="360" ht="15.75" customHeight="1">
      <c r="A360" s="1"/>
      <c r="B360" s="1"/>
    </row>
    <row r="361" ht="15.75" customHeight="1">
      <c r="A361" s="1"/>
      <c r="B361" s="1"/>
    </row>
    <row r="362" ht="15.75" customHeight="1">
      <c r="A362" s="1"/>
      <c r="B362" s="1"/>
    </row>
    <row r="363" ht="15.75" customHeight="1">
      <c r="A363" s="1"/>
      <c r="B363" s="1"/>
    </row>
    <row r="364" ht="15.75" customHeight="1">
      <c r="A364" s="1"/>
      <c r="B364" s="1"/>
    </row>
    <row r="365" ht="15.75" customHeight="1">
      <c r="A365" s="1"/>
      <c r="B365" s="1"/>
    </row>
    <row r="366" ht="15.75" customHeight="1">
      <c r="A366" s="1"/>
      <c r="B366" s="1"/>
    </row>
    <row r="367" ht="15.75" customHeight="1">
      <c r="A367" s="1"/>
      <c r="B367" s="1"/>
    </row>
    <row r="368" ht="15.75" customHeight="1">
      <c r="A368" s="1"/>
      <c r="B368" s="1"/>
    </row>
    <row r="369" ht="15.75" customHeight="1">
      <c r="A369" s="1"/>
      <c r="B369" s="1"/>
    </row>
    <row r="370" ht="15.75" customHeight="1">
      <c r="A370" s="1"/>
      <c r="B370" s="1"/>
    </row>
    <row r="371" ht="15.75" customHeight="1">
      <c r="A371" s="1"/>
      <c r="B371" s="1"/>
    </row>
    <row r="372" ht="15.75" customHeight="1">
      <c r="A372" s="1"/>
      <c r="B372" s="1"/>
    </row>
    <row r="373" ht="15.75" customHeight="1">
      <c r="A373" s="1"/>
      <c r="B373" s="1"/>
    </row>
    <row r="374" ht="15.75" customHeight="1">
      <c r="A374" s="1"/>
      <c r="B374" s="1"/>
    </row>
    <row r="375" ht="15.75" customHeight="1">
      <c r="A375" s="1"/>
      <c r="B375" s="1"/>
    </row>
    <row r="376" ht="15.75" customHeight="1">
      <c r="A376" s="1"/>
      <c r="B376" s="1"/>
    </row>
    <row r="377" ht="15.75" customHeight="1">
      <c r="A377" s="1"/>
      <c r="B377" s="1"/>
    </row>
    <row r="378" ht="15.75" customHeight="1">
      <c r="A378" s="1"/>
      <c r="B378" s="1"/>
    </row>
    <row r="379" ht="15.75" customHeight="1">
      <c r="A379" s="1"/>
      <c r="B379" s="1"/>
    </row>
    <row r="380" ht="15.75" customHeight="1">
      <c r="A380" s="1"/>
      <c r="B380" s="1"/>
    </row>
    <row r="381" ht="15.75" customHeight="1">
      <c r="A381" s="1"/>
      <c r="B381" s="1"/>
    </row>
    <row r="382" ht="15.75" customHeight="1">
      <c r="A382" s="1"/>
      <c r="B382" s="1"/>
    </row>
    <row r="383" ht="15.75" customHeight="1">
      <c r="A383" s="1"/>
      <c r="B383" s="1"/>
    </row>
    <row r="384" ht="15.75" customHeight="1">
      <c r="A384" s="1"/>
      <c r="B384" s="1"/>
    </row>
    <row r="385" ht="15.75" customHeight="1">
      <c r="A385" s="1"/>
      <c r="B385" s="1"/>
    </row>
    <row r="386" ht="15.75" customHeight="1">
      <c r="A386" s="1"/>
      <c r="B386" s="1"/>
    </row>
    <row r="387" ht="15.75" customHeight="1">
      <c r="A387" s="1"/>
      <c r="B387" s="1"/>
    </row>
    <row r="388" ht="15.75" customHeight="1">
      <c r="A388" s="1"/>
      <c r="B388" s="1"/>
    </row>
    <row r="389" ht="15.75" customHeight="1">
      <c r="A389" s="1"/>
      <c r="B389" s="1"/>
    </row>
    <row r="390" ht="15.75" customHeight="1">
      <c r="A390" s="1"/>
      <c r="B390" s="1"/>
    </row>
    <row r="391" ht="15.75" customHeight="1">
      <c r="A391" s="1"/>
      <c r="B391" s="1"/>
    </row>
    <row r="392" ht="15.75" customHeight="1">
      <c r="A392" s="1"/>
      <c r="B392" s="1"/>
    </row>
    <row r="393" ht="15.75" customHeight="1">
      <c r="A393" s="1"/>
      <c r="B393" s="1"/>
    </row>
    <row r="394" ht="15.75" customHeight="1">
      <c r="A394" s="1"/>
      <c r="B394" s="1"/>
    </row>
    <row r="395" ht="15.75" customHeight="1">
      <c r="A395" s="1"/>
      <c r="B395" s="1"/>
    </row>
    <row r="396" ht="15.75" customHeight="1">
      <c r="A396" s="1"/>
      <c r="B396" s="1"/>
    </row>
    <row r="397" ht="15.75" customHeight="1">
      <c r="A397" s="1"/>
      <c r="B397" s="1"/>
    </row>
    <row r="398" ht="15.75" customHeight="1">
      <c r="A398" s="1"/>
      <c r="B398" s="1"/>
    </row>
    <row r="399" ht="15.75" customHeight="1">
      <c r="A399" s="1"/>
      <c r="B399" s="1"/>
    </row>
    <row r="400" ht="15.75" customHeight="1">
      <c r="A400" s="1"/>
      <c r="B400" s="1"/>
    </row>
    <row r="401" ht="15.75" customHeight="1">
      <c r="A401" s="1"/>
      <c r="B401" s="1"/>
    </row>
    <row r="402" ht="15.75" customHeight="1">
      <c r="A402" s="1"/>
      <c r="B402" s="1"/>
    </row>
    <row r="403" ht="15.75" customHeight="1">
      <c r="A403" s="1"/>
      <c r="B403" s="1"/>
    </row>
    <row r="404" ht="15.75" customHeight="1">
      <c r="A404" s="1"/>
      <c r="B404" s="1"/>
    </row>
    <row r="405" ht="15.75" customHeight="1">
      <c r="A405" s="1"/>
      <c r="B405" s="1"/>
    </row>
    <row r="406" ht="15.75" customHeight="1">
      <c r="A406" s="1"/>
      <c r="B406" s="1"/>
    </row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rintOptions/>
  <pageMargins bottom="0.75" footer="0.0" header="0.0" left="0.7" right="0.7" top="0.75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29" t="s">
        <v>215</v>
      </c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</row>
    <row r="5" ht="15.75" customHeight="1">
      <c r="A5" s="7"/>
    </row>
    <row r="6" ht="15.75" customHeight="1">
      <c r="A6" s="8" t="s">
        <v>3</v>
      </c>
      <c r="B6" s="9">
        <f t="shared" ref="B6:J6" si="2">SUM(B3:B4)</f>
        <v>586120</v>
      </c>
      <c r="C6" s="9">
        <f t="shared" si="2"/>
        <v>703746</v>
      </c>
      <c r="D6" s="9">
        <f t="shared" si="2"/>
        <v>818552</v>
      </c>
      <c r="E6" s="9">
        <f t="shared" si="2"/>
        <v>886301</v>
      </c>
      <c r="F6" s="9">
        <f t="shared" si="2"/>
        <v>789944</v>
      </c>
      <c r="G6" s="9">
        <f t="shared" si="2"/>
        <v>733083</v>
      </c>
      <c r="H6" s="9">
        <f t="shared" si="2"/>
        <v>900745</v>
      </c>
      <c r="I6" s="9">
        <f t="shared" si="2"/>
        <v>1206746</v>
      </c>
      <c r="J6" s="9">
        <f t="shared" si="2"/>
        <v>1459517</v>
      </c>
      <c r="K6" s="10"/>
      <c r="L6" s="10"/>
      <c r="M6" s="10"/>
      <c r="N6" s="10"/>
      <c r="O6" s="10"/>
      <c r="P6" s="10"/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</row>
    <row r="15" ht="15.75" customHeight="1">
      <c r="A15" s="7"/>
    </row>
    <row r="16" ht="15.75" customHeight="1">
      <c r="A16" s="8" t="s">
        <v>14</v>
      </c>
      <c r="B16" s="13">
        <f t="shared" ref="B16:J16" si="3">SUM(B9:B14)</f>
        <v>494932</v>
      </c>
      <c r="C16" s="13">
        <f t="shared" si="3"/>
        <v>577269</v>
      </c>
      <c r="D16" s="13">
        <f t="shared" si="3"/>
        <v>677460</v>
      </c>
      <c r="E16" s="13">
        <f t="shared" si="3"/>
        <v>750653</v>
      </c>
      <c r="F16" s="13">
        <f t="shared" si="3"/>
        <v>683474</v>
      </c>
      <c r="G16" s="13">
        <f t="shared" si="3"/>
        <v>650204</v>
      </c>
      <c r="H16" s="13">
        <f t="shared" si="3"/>
        <v>826236</v>
      </c>
      <c r="I16" s="13">
        <f t="shared" si="3"/>
        <v>1053155</v>
      </c>
      <c r="J16" s="13">
        <f t="shared" si="3"/>
        <v>1233319</v>
      </c>
      <c r="K16" s="14"/>
      <c r="L16" s="14"/>
      <c r="M16" s="14"/>
      <c r="N16" s="14"/>
      <c r="O16" s="14"/>
      <c r="P16" s="14"/>
    </row>
    <row r="17" ht="15.75" customHeight="1">
      <c r="A17" s="7"/>
    </row>
    <row r="18" ht="15.75" customHeight="1">
      <c r="A18" s="4" t="s">
        <v>15</v>
      </c>
      <c r="B18" s="6">
        <f t="shared" ref="B18:J18" si="4">B6-B16</f>
        <v>91188</v>
      </c>
      <c r="C18" s="6">
        <f t="shared" si="4"/>
        <v>126477</v>
      </c>
      <c r="D18" s="6">
        <f t="shared" si="4"/>
        <v>141092</v>
      </c>
      <c r="E18" s="6">
        <f t="shared" si="4"/>
        <v>135648</v>
      </c>
      <c r="F18" s="6">
        <f t="shared" si="4"/>
        <v>106470</v>
      </c>
      <c r="G18" s="6">
        <f t="shared" si="4"/>
        <v>82879</v>
      </c>
      <c r="H18" s="6">
        <f t="shared" si="4"/>
        <v>74509</v>
      </c>
      <c r="I18" s="6">
        <f t="shared" si="4"/>
        <v>153591</v>
      </c>
      <c r="J18" s="6">
        <f t="shared" si="4"/>
        <v>226198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</row>
    <row r="21" ht="15.75" customHeight="1">
      <c r="A21" s="7"/>
    </row>
    <row r="22" ht="15.75" customHeight="1">
      <c r="A22" s="7" t="s">
        <v>18</v>
      </c>
      <c r="B22" s="6">
        <f t="shared" ref="B22:J22" si="5">B18-B20</f>
        <v>62518</v>
      </c>
      <c r="C22" s="6">
        <f t="shared" si="5"/>
        <v>100438</v>
      </c>
      <c r="D22" s="6">
        <f t="shared" si="5"/>
        <v>113494</v>
      </c>
      <c r="E22" s="6">
        <f t="shared" si="5"/>
        <v>105440</v>
      </c>
      <c r="F22" s="6">
        <f t="shared" si="5"/>
        <v>71186</v>
      </c>
      <c r="G22" s="6">
        <f t="shared" si="5"/>
        <v>52538</v>
      </c>
      <c r="H22" s="6">
        <f t="shared" si="5"/>
        <v>46619</v>
      </c>
      <c r="I22" s="6">
        <f t="shared" si="5"/>
        <v>105131</v>
      </c>
      <c r="J22" s="6">
        <f t="shared" si="5"/>
        <v>173640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</row>
    <row r="25" ht="15.75" customHeight="1">
      <c r="A25" s="7"/>
    </row>
    <row r="26" ht="15.75" customHeight="1">
      <c r="A26" s="7" t="s">
        <v>23</v>
      </c>
      <c r="B26" s="6">
        <f t="shared" ref="B26:J26" si="6">B22-B24</f>
        <v>61581</v>
      </c>
      <c r="C26" s="6">
        <f t="shared" si="6"/>
        <v>99544</v>
      </c>
      <c r="D26" s="6">
        <f t="shared" si="6"/>
        <v>110036</v>
      </c>
      <c r="E26" s="6">
        <f t="shared" si="6"/>
        <v>104681</v>
      </c>
      <c r="F26" s="6">
        <f t="shared" si="6"/>
        <v>69844</v>
      </c>
      <c r="G26" s="6">
        <f t="shared" si="6"/>
        <v>51520</v>
      </c>
      <c r="H26" s="6">
        <f t="shared" si="6"/>
        <v>45353</v>
      </c>
      <c r="I26" s="6">
        <f t="shared" si="6"/>
        <v>102608</v>
      </c>
      <c r="J26" s="6">
        <f t="shared" si="6"/>
        <v>171704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</row>
    <row r="28" ht="15.75" customHeight="1">
      <c r="A28" s="7" t="s">
        <v>25</v>
      </c>
      <c r="B28" s="6">
        <f t="shared" ref="B28:J28" si="7">SUM(B26:B27)</f>
        <v>66296</v>
      </c>
      <c r="C28" s="6">
        <f t="shared" si="7"/>
        <v>101272</v>
      </c>
      <c r="D28" s="6">
        <f t="shared" si="7"/>
        <v>111669</v>
      </c>
      <c r="E28" s="6">
        <f t="shared" si="7"/>
        <v>102651</v>
      </c>
      <c r="F28" s="6">
        <f t="shared" si="7"/>
        <v>65427</v>
      </c>
      <c r="G28" s="6">
        <f t="shared" si="7"/>
        <v>56656</v>
      </c>
      <c r="H28" s="6">
        <f t="shared" si="7"/>
        <v>48482</v>
      </c>
      <c r="I28" s="6">
        <f t="shared" si="7"/>
        <v>103194</v>
      </c>
      <c r="J28" s="6">
        <f t="shared" si="7"/>
        <v>174373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</row>
    <row r="31" ht="15.75" customHeight="1">
      <c r="A31" s="7"/>
    </row>
    <row r="32" ht="15.75" customHeight="1">
      <c r="A32" s="7" t="s">
        <v>27</v>
      </c>
      <c r="B32" s="6">
        <f t="shared" ref="B32:J32" si="8">B28-B30</f>
        <v>46309</v>
      </c>
      <c r="C32" s="6">
        <f t="shared" si="8"/>
        <v>75110</v>
      </c>
      <c r="D32" s="6">
        <f t="shared" si="8"/>
        <v>78807</v>
      </c>
      <c r="E32" s="6">
        <f t="shared" si="8"/>
        <v>72919</v>
      </c>
      <c r="F32" s="6">
        <f t="shared" si="8"/>
        <v>51175</v>
      </c>
      <c r="G32" s="6">
        <f t="shared" si="8"/>
        <v>47337</v>
      </c>
      <c r="H32" s="6">
        <f t="shared" si="8"/>
        <v>40305</v>
      </c>
      <c r="I32" s="6">
        <f t="shared" si="8"/>
        <v>81449</v>
      </c>
      <c r="J32" s="6">
        <f t="shared" si="8"/>
        <v>135010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9">B32+B33</f>
        <v>46988</v>
      </c>
      <c r="C36" s="9">
        <f t="shared" si="9"/>
        <v>77326</v>
      </c>
      <c r="D36" s="9">
        <f t="shared" si="9"/>
        <v>82118</v>
      </c>
      <c r="E36" s="9">
        <f>E32+F33</f>
        <v>74103</v>
      </c>
      <c r="F36" s="9">
        <f t="shared" ref="F36:J36" si="10">F32+F33</f>
        <v>52359</v>
      </c>
      <c r="G36" s="9">
        <f t="shared" si="10"/>
        <v>49027</v>
      </c>
      <c r="H36" s="9">
        <f t="shared" si="10"/>
        <v>41924</v>
      </c>
      <c r="I36" s="9">
        <f t="shared" si="10"/>
        <v>83223</v>
      </c>
      <c r="J36" s="9">
        <f t="shared" si="10"/>
        <v>137551</v>
      </c>
      <c r="K36" s="10"/>
      <c r="L36" s="10"/>
      <c r="M36" s="10"/>
      <c r="N36" s="10"/>
      <c r="O36" s="10"/>
      <c r="P36" s="10"/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</row>
    <row r="42" ht="15.75" customHeight="1">
      <c r="A42" s="1" t="s">
        <v>32</v>
      </c>
    </row>
    <row r="43" ht="15.75" customHeight="1">
      <c r="A43" s="1" t="s">
        <v>33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</row>
    <row r="47" ht="15.75" customHeight="1">
      <c r="A47" s="7" t="s">
        <v>36</v>
      </c>
    </row>
    <row r="48" ht="15.75" customHeight="1">
      <c r="A48" s="7"/>
    </row>
    <row r="49" ht="15.75" customHeight="1">
      <c r="A49" s="7" t="s">
        <v>37</v>
      </c>
    </row>
    <row r="50" ht="15.75" customHeight="1">
      <c r="A50" s="1" t="s">
        <v>38</v>
      </c>
    </row>
    <row r="51" ht="15.75" customHeight="1">
      <c r="A51" s="1" t="s">
        <v>39</v>
      </c>
    </row>
    <row r="52" ht="15.75" customHeight="1">
      <c r="A52" s="1" t="s">
        <v>40</v>
      </c>
    </row>
    <row r="53" ht="15.75" customHeight="1">
      <c r="A53" s="1" t="s">
        <v>41</v>
      </c>
    </row>
    <row r="54" ht="15.75" customHeight="1">
      <c r="A54" s="7"/>
    </row>
    <row r="55" ht="15.75" customHeight="1">
      <c r="A55" s="1" t="s">
        <v>42</v>
      </c>
    </row>
    <row r="56" ht="15.75" customHeight="1">
      <c r="A56" s="1" t="s">
        <v>43</v>
      </c>
    </row>
    <row r="57" ht="15.75" customHeight="1">
      <c r="A57" s="1" t="s">
        <v>44</v>
      </c>
    </row>
    <row r="58" ht="15.75" customHeight="1">
      <c r="A58" s="1" t="s">
        <v>45</v>
      </c>
    </row>
    <row r="59" ht="15.75" customHeight="1">
      <c r="A59" s="1" t="s">
        <v>46</v>
      </c>
    </row>
    <row r="60" ht="15.75" customHeight="1">
      <c r="A60" s="1" t="s">
        <v>47</v>
      </c>
    </row>
    <row r="61" ht="15.75" customHeight="1">
      <c r="A61" s="1" t="s">
        <v>48</v>
      </c>
    </row>
    <row r="62" ht="15.75" customHeight="1">
      <c r="A62" s="8" t="s">
        <v>49</v>
      </c>
    </row>
    <row r="63" ht="15.75" customHeight="1">
      <c r="A63" s="7"/>
    </row>
    <row r="64" ht="15.75" customHeight="1">
      <c r="A64" s="7"/>
    </row>
    <row r="65" ht="15.75" customHeight="1">
      <c r="A65" s="4" t="s">
        <v>50</v>
      </c>
    </row>
    <row r="66" ht="15.75" customHeight="1">
      <c r="A66" s="7"/>
    </row>
    <row r="67" ht="15.75" customHeight="1">
      <c r="A67" s="1" t="s">
        <v>51</v>
      </c>
    </row>
    <row r="68" ht="15.75" customHeight="1">
      <c r="A68" s="16" t="s">
        <v>52</v>
      </c>
    </row>
    <row r="69" ht="15.75" customHeight="1">
      <c r="A69" s="16" t="s">
        <v>53</v>
      </c>
    </row>
    <row r="70" ht="15.75" customHeight="1">
      <c r="A70" s="16" t="s">
        <v>54</v>
      </c>
    </row>
    <row r="71" ht="15.75" customHeight="1">
      <c r="A71" s="16" t="s">
        <v>55</v>
      </c>
    </row>
    <row r="72" ht="15.75" customHeight="1">
      <c r="A72" s="1"/>
    </row>
    <row r="73" ht="15.75" customHeight="1">
      <c r="A73" s="1" t="s">
        <v>56</v>
      </c>
    </row>
    <row r="74" ht="15.75" customHeight="1">
      <c r="A74" s="1" t="s">
        <v>57</v>
      </c>
    </row>
    <row r="75" ht="15.75" customHeight="1">
      <c r="A75" s="1" t="s">
        <v>58</v>
      </c>
    </row>
    <row r="76" ht="15.75" customHeight="1">
      <c r="A76" s="1" t="s">
        <v>59</v>
      </c>
    </row>
    <row r="77" ht="15.75" customHeight="1">
      <c r="A77" s="1"/>
    </row>
    <row r="78" ht="15.75" customHeight="1">
      <c r="A78" s="1" t="s">
        <v>60</v>
      </c>
    </row>
    <row r="79" ht="15.75" customHeight="1">
      <c r="A79" s="1"/>
    </row>
    <row r="80" ht="15.75" customHeight="1">
      <c r="A80" s="16" t="s">
        <v>61</v>
      </c>
    </row>
    <row r="81" ht="15.75" customHeight="1">
      <c r="A81" s="16" t="s">
        <v>62</v>
      </c>
    </row>
    <row r="82" ht="15.75" customHeight="1">
      <c r="A82" s="16" t="s">
        <v>63</v>
      </c>
    </row>
    <row r="83" ht="15.75" customHeight="1">
      <c r="A83" s="16" t="s">
        <v>64</v>
      </c>
    </row>
    <row r="84" ht="15.75" customHeight="1">
      <c r="A84" s="16" t="s">
        <v>65</v>
      </c>
    </row>
    <row r="85" ht="15.75" customHeight="1">
      <c r="A85" s="16" t="s">
        <v>66</v>
      </c>
    </row>
    <row r="86" ht="15.75" customHeight="1">
      <c r="A86" s="16" t="s">
        <v>67</v>
      </c>
    </row>
    <row r="87" ht="15.75" customHeight="1">
      <c r="A87" s="1" t="s">
        <v>57</v>
      </c>
    </row>
    <row r="88" ht="15.75" customHeight="1">
      <c r="A88" s="8" t="s">
        <v>49</v>
      </c>
    </row>
    <row r="89" ht="15.75" customHeight="1">
      <c r="A89" s="1"/>
    </row>
    <row r="90" ht="15.75" customHeight="1">
      <c r="A90" s="5" t="s">
        <v>68</v>
      </c>
      <c r="B90" s="15">
        <v>1500000.0</v>
      </c>
      <c r="C90" s="15">
        <v>1550000.0</v>
      </c>
    </row>
    <row r="91" ht="15.75" customHeight="1">
      <c r="A91" s="5" t="s">
        <v>69</v>
      </c>
      <c r="C91" s="44">
        <f t="shared" ref="C91:J91" si="11">C90-B90</f>
        <v>50000</v>
      </c>
      <c r="D91" s="44">
        <f t="shared" si="11"/>
        <v>-1550000</v>
      </c>
      <c r="E91" s="44">
        <f t="shared" si="11"/>
        <v>0</v>
      </c>
      <c r="F91" s="44">
        <f t="shared" si="11"/>
        <v>0</v>
      </c>
      <c r="G91" s="44">
        <f t="shared" si="11"/>
        <v>0</v>
      </c>
      <c r="H91" s="44">
        <f t="shared" si="11"/>
        <v>0</v>
      </c>
      <c r="I91" s="44">
        <f t="shared" si="11"/>
        <v>0</v>
      </c>
      <c r="J91" s="44">
        <f t="shared" si="11"/>
        <v>0</v>
      </c>
    </row>
    <row r="92" ht="15.75" customHeight="1">
      <c r="A92" s="5"/>
    </row>
    <row r="93" ht="15.75" customHeight="1">
      <c r="A93" s="5" t="s">
        <v>70</v>
      </c>
      <c r="B93" s="22">
        <v>1305351.0</v>
      </c>
      <c r="C93" s="22">
        <v>1444541.0</v>
      </c>
    </row>
    <row r="94" ht="15.75" customHeight="1">
      <c r="A94" s="5" t="s">
        <v>71</v>
      </c>
      <c r="B94" s="22">
        <v>123897.0</v>
      </c>
      <c r="C94" s="22">
        <v>124062.0</v>
      </c>
    </row>
    <row r="95" ht="15.75" customHeight="1">
      <c r="A95" s="5" t="s">
        <v>49</v>
      </c>
      <c r="B95" s="27">
        <f t="shared" ref="B95:J95" si="12">SUM(B93:B94)</f>
        <v>1429248</v>
      </c>
      <c r="C95" s="27">
        <f t="shared" si="12"/>
        <v>1568603</v>
      </c>
      <c r="D95" s="34">
        <f t="shared" si="12"/>
        <v>0</v>
      </c>
      <c r="E95" s="34">
        <f t="shared" si="12"/>
        <v>0</v>
      </c>
      <c r="F95" s="34">
        <f t="shared" si="12"/>
        <v>0</v>
      </c>
      <c r="G95" s="34">
        <f t="shared" si="12"/>
        <v>0</v>
      </c>
      <c r="H95" s="34">
        <f t="shared" si="12"/>
        <v>0</v>
      </c>
      <c r="I95" s="34">
        <f t="shared" si="12"/>
        <v>0</v>
      </c>
      <c r="J95" s="34">
        <f t="shared" si="12"/>
        <v>0</v>
      </c>
    </row>
    <row r="96" ht="15.75" customHeight="1">
      <c r="A96" s="5"/>
    </row>
    <row r="97" ht="15.75" customHeight="1">
      <c r="A97" s="5" t="s">
        <v>72</v>
      </c>
      <c r="B97" s="35">
        <f t="shared" ref="B97:J97" si="13">B95/B90</f>
        <v>0.952832</v>
      </c>
      <c r="C97" s="35">
        <f t="shared" si="13"/>
        <v>1.012001935</v>
      </c>
      <c r="D97" s="35" t="str">
        <f t="shared" si="13"/>
        <v>#DIV/0!</v>
      </c>
      <c r="E97" s="35" t="str">
        <f t="shared" si="13"/>
        <v>#DIV/0!</v>
      </c>
      <c r="F97" s="35" t="str">
        <f t="shared" si="13"/>
        <v>#DIV/0!</v>
      </c>
      <c r="G97" s="35" t="str">
        <f t="shared" si="13"/>
        <v>#DIV/0!</v>
      </c>
      <c r="H97" s="35" t="str">
        <f t="shared" si="13"/>
        <v>#DIV/0!</v>
      </c>
      <c r="I97" s="35" t="str">
        <f t="shared" si="13"/>
        <v>#DIV/0!</v>
      </c>
      <c r="J97" s="35" t="str">
        <f t="shared" si="13"/>
        <v>#DIV/0!</v>
      </c>
    </row>
    <row r="98" ht="15.75" customHeight="1">
      <c r="A98" s="5"/>
    </row>
    <row r="99" ht="15.75" customHeight="1">
      <c r="A99" s="17" t="s">
        <v>73</v>
      </c>
    </row>
    <row r="100" ht="15.75" customHeight="1">
      <c r="A100" s="5" t="s">
        <v>74</v>
      </c>
      <c r="C100" s="39">
        <f t="shared" ref="C100:J100" si="14">C93/B93-1</f>
        <v>0.106630324</v>
      </c>
      <c r="D100" s="39">
        <f t="shared" si="14"/>
        <v>-1</v>
      </c>
      <c r="E100" s="39" t="str">
        <f t="shared" si="14"/>
        <v>#DIV/0!</v>
      </c>
      <c r="F100" s="39" t="str">
        <f t="shared" si="14"/>
        <v>#DIV/0!</v>
      </c>
      <c r="G100" s="39" t="str">
        <f t="shared" si="14"/>
        <v>#DIV/0!</v>
      </c>
      <c r="H100" s="39" t="str">
        <f t="shared" si="14"/>
        <v>#DIV/0!</v>
      </c>
      <c r="I100" s="39" t="str">
        <f t="shared" si="14"/>
        <v>#DIV/0!</v>
      </c>
      <c r="J100" s="39" t="str">
        <f t="shared" si="14"/>
        <v>#DIV/0!</v>
      </c>
    </row>
    <row r="101" ht="15.75" customHeight="1">
      <c r="A101" s="5" t="s">
        <v>75</v>
      </c>
      <c r="C101" s="39">
        <f t="shared" ref="C101:J101" si="15">C94/B94-1</f>
        <v>0.001331751374</v>
      </c>
      <c r="D101" s="39">
        <f t="shared" si="15"/>
        <v>-1</v>
      </c>
      <c r="E101" s="39" t="str">
        <f t="shared" si="15"/>
        <v>#DIV/0!</v>
      </c>
      <c r="F101" s="39" t="str">
        <f t="shared" si="15"/>
        <v>#DIV/0!</v>
      </c>
      <c r="G101" s="39" t="str">
        <f t="shared" si="15"/>
        <v>#DIV/0!</v>
      </c>
      <c r="H101" s="39" t="str">
        <f t="shared" si="15"/>
        <v>#DIV/0!</v>
      </c>
      <c r="I101" s="39" t="str">
        <f t="shared" si="15"/>
        <v>#DIV/0!</v>
      </c>
      <c r="J101" s="39" t="str">
        <f t="shared" si="15"/>
        <v>#DIV/0!</v>
      </c>
    </row>
    <row r="102" ht="15.75" customHeight="1">
      <c r="A102" s="5"/>
      <c r="C102" s="39">
        <f t="shared" ref="C102:J102" si="16">C95/B95-1</f>
        <v>0.0975023229</v>
      </c>
      <c r="D102" s="39">
        <f t="shared" si="16"/>
        <v>-1</v>
      </c>
      <c r="E102" s="39" t="str">
        <f t="shared" si="16"/>
        <v>#DIV/0!</v>
      </c>
      <c r="F102" s="39" t="str">
        <f t="shared" si="16"/>
        <v>#DIV/0!</v>
      </c>
      <c r="G102" s="39" t="str">
        <f t="shared" si="16"/>
        <v>#DIV/0!</v>
      </c>
      <c r="H102" s="39" t="str">
        <f t="shared" si="16"/>
        <v>#DIV/0!</v>
      </c>
      <c r="I102" s="39" t="str">
        <f t="shared" si="16"/>
        <v>#DIV/0!</v>
      </c>
      <c r="J102" s="39" t="str">
        <f t="shared" si="16"/>
        <v>#DIV/0!</v>
      </c>
    </row>
    <row r="103" ht="15.75" customHeight="1">
      <c r="A103" s="17" t="s">
        <v>76</v>
      </c>
    </row>
    <row r="104" ht="15.75" customHeight="1">
      <c r="A104" s="5" t="s">
        <v>77</v>
      </c>
    </row>
    <row r="105" ht="15.75" customHeight="1">
      <c r="A105" s="5" t="s">
        <v>71</v>
      </c>
    </row>
    <row r="106" ht="15.75" customHeight="1">
      <c r="A106" s="5" t="s">
        <v>49</v>
      </c>
    </row>
    <row r="107" ht="15.75" customHeight="1">
      <c r="A107" s="5" t="s">
        <v>78</v>
      </c>
    </row>
    <row r="108" ht="15.75" customHeight="1">
      <c r="A108" s="5" t="s">
        <v>79</v>
      </c>
    </row>
    <row r="109" ht="15.75" customHeight="1">
      <c r="A109" s="5"/>
    </row>
    <row r="110" ht="15.75" customHeight="1">
      <c r="A110" s="17" t="s">
        <v>80</v>
      </c>
    </row>
    <row r="111" ht="15.75" customHeight="1">
      <c r="A111" s="5" t="s">
        <v>70</v>
      </c>
    </row>
    <row r="112" ht="15.75" customHeight="1">
      <c r="A112" s="5" t="s">
        <v>71</v>
      </c>
    </row>
    <row r="113" ht="15.75" customHeight="1">
      <c r="A113" s="5" t="s">
        <v>81</v>
      </c>
    </row>
    <row r="114" ht="15.75" customHeight="1">
      <c r="A114" s="5"/>
    </row>
    <row r="115" ht="15.75" customHeight="1">
      <c r="A115" s="5"/>
    </row>
    <row r="116" ht="15.75" customHeight="1">
      <c r="A116" s="5" t="s">
        <v>82</v>
      </c>
    </row>
    <row r="117" ht="15.75" customHeight="1">
      <c r="A117" s="5" t="s">
        <v>83</v>
      </c>
    </row>
    <row r="118" ht="15.75" customHeight="1">
      <c r="A118" s="5"/>
    </row>
    <row r="119" ht="15.75" customHeight="1">
      <c r="A119" s="17" t="s">
        <v>84</v>
      </c>
    </row>
    <row r="120" ht="15.75" customHeight="1">
      <c r="A120" s="5"/>
    </row>
    <row r="121" ht="15.75" customHeight="1">
      <c r="A121" s="1" t="s">
        <v>5</v>
      </c>
    </row>
    <row r="122" ht="15.75" customHeight="1">
      <c r="A122" s="1" t="s">
        <v>6</v>
      </c>
    </row>
    <row r="123" ht="15.75" customHeight="1">
      <c r="A123" s="1" t="s">
        <v>8</v>
      </c>
    </row>
    <row r="124" ht="15.75" customHeight="1">
      <c r="A124" s="1" t="s">
        <v>10</v>
      </c>
    </row>
    <row r="125" ht="15.75" customHeight="1">
      <c r="A125" s="1" t="s">
        <v>12</v>
      </c>
    </row>
    <row r="126" ht="15.75" customHeight="1">
      <c r="A126" s="1" t="s">
        <v>85</v>
      </c>
    </row>
    <row r="127" ht="15.75" customHeight="1">
      <c r="A127" s="5"/>
    </row>
    <row r="128" ht="15.75" customHeight="1">
      <c r="A128" s="5"/>
    </row>
    <row r="129" ht="15.75" customHeight="1">
      <c r="A129" s="18" t="s">
        <v>86</v>
      </c>
    </row>
    <row r="130" ht="15.75" customHeight="1">
      <c r="A130" s="5"/>
    </row>
    <row r="131" ht="15.75" customHeight="1">
      <c r="A131" s="1" t="s">
        <v>5</v>
      </c>
    </row>
    <row r="132" ht="15.75" customHeight="1">
      <c r="A132" s="1" t="s">
        <v>6</v>
      </c>
    </row>
    <row r="133" ht="15.75" customHeight="1">
      <c r="A133" s="1" t="s">
        <v>8</v>
      </c>
    </row>
    <row r="134" ht="15.75" customHeight="1">
      <c r="A134" s="1" t="s">
        <v>10</v>
      </c>
    </row>
    <row r="135" ht="15.75" customHeight="1">
      <c r="A135" s="1" t="s">
        <v>12</v>
      </c>
    </row>
    <row r="136" ht="15.75" customHeight="1">
      <c r="A136" s="1" t="s">
        <v>85</v>
      </c>
    </row>
    <row r="137" ht="15.75" customHeight="1">
      <c r="A137" s="5"/>
    </row>
    <row r="138" ht="15.75" customHeight="1">
      <c r="A138" s="1" t="s">
        <v>83</v>
      </c>
    </row>
    <row r="139" ht="15.75" customHeight="1">
      <c r="A139" s="1" t="s">
        <v>5</v>
      </c>
    </row>
    <row r="140" ht="15.75" customHeight="1">
      <c r="A140" s="1" t="s">
        <v>6</v>
      </c>
    </row>
    <row r="141" ht="15.75" customHeight="1">
      <c r="A141" s="1" t="s">
        <v>8</v>
      </c>
    </row>
    <row r="142" ht="15.75" customHeight="1">
      <c r="A142" s="1" t="s">
        <v>10</v>
      </c>
    </row>
    <row r="143" ht="15.75" customHeight="1">
      <c r="A143" s="1" t="s">
        <v>12</v>
      </c>
    </row>
    <row r="144" ht="15.75" customHeight="1">
      <c r="A144" s="1" t="s">
        <v>85</v>
      </c>
    </row>
    <row r="145" ht="15.75" customHeight="1">
      <c r="A145" s="5"/>
    </row>
    <row r="146" ht="15.75" customHeight="1">
      <c r="A146" s="5"/>
    </row>
    <row r="147" ht="15.75" customHeight="1">
      <c r="A147" s="5"/>
    </row>
    <row r="148" ht="15.75" customHeight="1">
      <c r="A148" s="18" t="s">
        <v>87</v>
      </c>
    </row>
    <row r="149" ht="15.75" customHeight="1">
      <c r="A149" s="5"/>
    </row>
    <row r="150" ht="15.75" customHeight="1">
      <c r="A150" s="5" t="s">
        <v>60</v>
      </c>
    </row>
    <row r="151" ht="15.75" customHeight="1">
      <c r="A151" s="16" t="s">
        <v>61</v>
      </c>
    </row>
    <row r="152" ht="15.75" customHeight="1">
      <c r="A152" s="16" t="s">
        <v>62</v>
      </c>
    </row>
    <row r="153" ht="15.75" customHeight="1">
      <c r="A153" s="16" t="s">
        <v>64</v>
      </c>
    </row>
    <row r="154" ht="15.75" customHeight="1">
      <c r="A154" s="16" t="s">
        <v>65</v>
      </c>
    </row>
    <row r="155" ht="15.75" customHeight="1">
      <c r="A155" s="16" t="s">
        <v>66</v>
      </c>
    </row>
    <row r="156" ht="15.75" customHeight="1">
      <c r="A156" s="1" t="s">
        <v>57</v>
      </c>
    </row>
    <row r="157" ht="15.75" customHeight="1">
      <c r="A157" s="5"/>
    </row>
    <row r="158" ht="15.75" customHeight="1">
      <c r="A158" s="5" t="s">
        <v>42</v>
      </c>
    </row>
    <row r="159" ht="15.75" customHeight="1">
      <c r="A159" s="1" t="s">
        <v>43</v>
      </c>
    </row>
    <row r="160" ht="15.75" customHeight="1">
      <c r="A160" s="1" t="s">
        <v>44</v>
      </c>
    </row>
    <row r="161" ht="15.75" customHeight="1">
      <c r="A161" s="1" t="s">
        <v>45</v>
      </c>
    </row>
    <row r="162" ht="15.75" customHeight="1">
      <c r="A162" s="1" t="s">
        <v>46</v>
      </c>
    </row>
    <row r="163" ht="15.75" customHeight="1">
      <c r="A163" s="1" t="s">
        <v>47</v>
      </c>
    </row>
    <row r="164" ht="15.75" customHeight="1">
      <c r="A164" s="1" t="s">
        <v>48</v>
      </c>
    </row>
    <row r="165" ht="15.75" customHeight="1">
      <c r="A165" s="5"/>
    </row>
    <row r="166" ht="15.75" customHeight="1">
      <c r="A166" s="1" t="s">
        <v>88</v>
      </c>
    </row>
    <row r="167" ht="15.75" customHeight="1">
      <c r="A167" s="5"/>
    </row>
    <row r="168" ht="15.75" customHeight="1">
      <c r="A168" s="18" t="s">
        <v>89</v>
      </c>
    </row>
    <row r="169" ht="15.75" customHeight="1">
      <c r="A169" s="5" t="s">
        <v>60</v>
      </c>
    </row>
    <row r="170" ht="15.75" customHeight="1">
      <c r="A170" s="16" t="s">
        <v>61</v>
      </c>
    </row>
    <row r="171" ht="15.75" customHeight="1">
      <c r="A171" s="16" t="s">
        <v>62</v>
      </c>
    </row>
    <row r="172" ht="15.75" customHeight="1">
      <c r="A172" s="16" t="s">
        <v>64</v>
      </c>
    </row>
    <row r="173" ht="15.75" customHeight="1">
      <c r="A173" s="16" t="s">
        <v>65</v>
      </c>
    </row>
    <row r="174" ht="15.75" customHeight="1">
      <c r="A174" s="16" t="s">
        <v>66</v>
      </c>
    </row>
    <row r="175" ht="15.75" customHeight="1">
      <c r="A175" s="1" t="s">
        <v>57</v>
      </c>
    </row>
    <row r="176" ht="15.75" customHeight="1">
      <c r="A176" s="5"/>
    </row>
    <row r="177" ht="15.75" customHeight="1">
      <c r="A177" s="5" t="s">
        <v>42</v>
      </c>
    </row>
    <row r="178" ht="15.75" customHeight="1">
      <c r="A178" s="1" t="s">
        <v>43</v>
      </c>
    </row>
    <row r="179" ht="15.75" customHeight="1">
      <c r="A179" s="1" t="s">
        <v>44</v>
      </c>
    </row>
    <row r="180" ht="15.75" customHeight="1">
      <c r="A180" s="1" t="s">
        <v>45</v>
      </c>
    </row>
    <row r="181" ht="15.75" customHeight="1">
      <c r="A181" s="1" t="s">
        <v>46</v>
      </c>
    </row>
    <row r="182" ht="15.75" customHeight="1">
      <c r="A182" s="1" t="s">
        <v>47</v>
      </c>
    </row>
    <row r="183" ht="15.75" customHeight="1">
      <c r="A183" s="1" t="s">
        <v>48</v>
      </c>
    </row>
    <row r="184" ht="15.75" customHeight="1">
      <c r="A184" s="5"/>
    </row>
    <row r="185" ht="15.75" customHeight="1">
      <c r="A185" s="1" t="s">
        <v>90</v>
      </c>
    </row>
    <row r="186" ht="15.75" customHeight="1">
      <c r="A186" s="1" t="s">
        <v>91</v>
      </c>
    </row>
    <row r="187" ht="15.75" customHeight="1">
      <c r="A187" s="5"/>
    </row>
    <row r="188" ht="15.75" customHeight="1">
      <c r="A188" s="5"/>
    </row>
    <row r="189" ht="15.75" customHeight="1">
      <c r="A189" s="5"/>
    </row>
    <row r="190" ht="15.75" customHeight="1">
      <c r="A190" s="18" t="s">
        <v>92</v>
      </c>
    </row>
    <row r="191" ht="15.75" customHeight="1">
      <c r="A191" s="5" t="s">
        <v>93</v>
      </c>
    </row>
    <row r="192" ht="15.75" customHeight="1">
      <c r="A192" s="5" t="s">
        <v>94</v>
      </c>
    </row>
    <row r="193" ht="15.75" customHeight="1">
      <c r="A193" s="5" t="s">
        <v>49</v>
      </c>
    </row>
    <row r="194" ht="15.75" customHeight="1">
      <c r="A194" s="5"/>
    </row>
    <row r="195" ht="15.75" customHeight="1">
      <c r="A195" s="5" t="s">
        <v>95</v>
      </c>
    </row>
    <row r="196" ht="15.75" customHeight="1">
      <c r="A196" s="5"/>
    </row>
    <row r="197" ht="15.75" customHeight="1">
      <c r="A197" s="5" t="s">
        <v>96</v>
      </c>
    </row>
    <row r="198" ht="15.75" customHeight="1">
      <c r="A198" s="5" t="s">
        <v>97</v>
      </c>
    </row>
    <row r="199" ht="15.75" customHeight="1">
      <c r="A199" s="5" t="s">
        <v>98</v>
      </c>
    </row>
    <row r="200" ht="15.75" customHeight="1">
      <c r="A200" s="5"/>
    </row>
    <row r="201" ht="15.75" customHeight="1">
      <c r="A201" s="5" t="s">
        <v>99</v>
      </c>
    </row>
    <row r="202" ht="15.75" customHeight="1">
      <c r="A202" s="5" t="s">
        <v>100</v>
      </c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1"/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  <c r="K3" s="19">
        <f t="shared" ref="K3:P3" si="2">(K95*K116)/10^6</f>
        <v>1745621.281</v>
      </c>
      <c r="L3" s="19">
        <f t="shared" si="2"/>
        <v>2039535.594</v>
      </c>
      <c r="M3" s="19">
        <f t="shared" si="2"/>
        <v>2383801.008</v>
      </c>
      <c r="N3" s="19">
        <f t="shared" si="2"/>
        <v>2787144.105</v>
      </c>
      <c r="O3" s="19">
        <f t="shared" si="2"/>
        <v>3259815.476</v>
      </c>
      <c r="P3" s="19">
        <f t="shared" si="2"/>
        <v>3813857.181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  <c r="K4" s="20">
        <v>20000.0</v>
      </c>
      <c r="L4" s="21">
        <f t="shared" ref="L4:P4" si="3">K4</f>
        <v>20000</v>
      </c>
      <c r="M4" s="21">
        <f t="shared" si="3"/>
        <v>20000</v>
      </c>
      <c r="N4" s="21">
        <f t="shared" si="3"/>
        <v>20000</v>
      </c>
      <c r="O4" s="21">
        <f t="shared" si="3"/>
        <v>20000</v>
      </c>
      <c r="P4" s="21">
        <f t="shared" si="3"/>
        <v>20000</v>
      </c>
    </row>
    <row r="5" ht="15.75" customHeight="1">
      <c r="A5" s="7"/>
    </row>
    <row r="6" ht="15.75" customHeight="1">
      <c r="A6" s="8" t="s">
        <v>3</v>
      </c>
      <c r="B6" s="9">
        <f t="shared" ref="B6:P6" si="4">SUM(B3:B4)</f>
        <v>586120</v>
      </c>
      <c r="C6" s="9">
        <f t="shared" si="4"/>
        <v>703746</v>
      </c>
      <c r="D6" s="9">
        <f t="shared" si="4"/>
        <v>818552</v>
      </c>
      <c r="E6" s="9">
        <f t="shared" si="4"/>
        <v>886301</v>
      </c>
      <c r="F6" s="9">
        <f t="shared" si="4"/>
        <v>789944</v>
      </c>
      <c r="G6" s="9">
        <f t="shared" si="4"/>
        <v>733083</v>
      </c>
      <c r="H6" s="9">
        <f t="shared" si="4"/>
        <v>900745</v>
      </c>
      <c r="I6" s="9">
        <f t="shared" si="4"/>
        <v>1206746</v>
      </c>
      <c r="J6" s="9">
        <f t="shared" si="4"/>
        <v>1459517</v>
      </c>
      <c r="K6" s="9">
        <f t="shared" si="4"/>
        <v>1765621.281</v>
      </c>
      <c r="L6" s="9">
        <f t="shared" si="4"/>
        <v>2059535.594</v>
      </c>
      <c r="M6" s="9">
        <f t="shared" si="4"/>
        <v>2403801.008</v>
      </c>
      <c r="N6" s="9">
        <f t="shared" si="4"/>
        <v>2807144.105</v>
      </c>
      <c r="O6" s="9">
        <f t="shared" si="4"/>
        <v>3279815.476</v>
      </c>
      <c r="P6" s="9">
        <f t="shared" si="4"/>
        <v>3833857.181</v>
      </c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  <c r="K9" s="22">
        <f t="shared" ref="K9:P9" si="5">K$3*K121</f>
        <v>1047372.768</v>
      </c>
      <c r="L9" s="22">
        <f t="shared" si="5"/>
        <v>1223721.356</v>
      </c>
      <c r="M9" s="22">
        <f t="shared" si="5"/>
        <v>1430280.605</v>
      </c>
      <c r="N9" s="22">
        <f t="shared" si="5"/>
        <v>1672286.463</v>
      </c>
      <c r="O9" s="22">
        <f t="shared" si="5"/>
        <v>1955889.286</v>
      </c>
      <c r="P9" s="22">
        <f t="shared" si="5"/>
        <v>2288314.309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  <c r="K10" s="22">
        <f t="shared" ref="K10:P10" si="6">K$3*K122</f>
        <v>139649.7024</v>
      </c>
      <c r="L10" s="22">
        <f t="shared" si="6"/>
        <v>163162.8475</v>
      </c>
      <c r="M10" s="22">
        <f t="shared" si="6"/>
        <v>190704.0806</v>
      </c>
      <c r="N10" s="22">
        <f t="shared" si="6"/>
        <v>222971.5284</v>
      </c>
      <c r="O10" s="22">
        <f t="shared" si="6"/>
        <v>260785.2381</v>
      </c>
      <c r="P10" s="22">
        <f t="shared" si="6"/>
        <v>305108.5745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  <c r="K11" s="22">
        <f t="shared" ref="K11:P11" si="7">K$3*K123</f>
        <v>-4658.822802</v>
      </c>
      <c r="L11" s="22">
        <f t="shared" si="7"/>
        <v>-5443.239628</v>
      </c>
      <c r="M11" s="22">
        <f t="shared" si="7"/>
        <v>-6362.036607</v>
      </c>
      <c r="N11" s="22">
        <f t="shared" si="7"/>
        <v>-7438.503788</v>
      </c>
      <c r="O11" s="22">
        <f t="shared" si="7"/>
        <v>-8699.998584</v>
      </c>
      <c r="P11" s="22">
        <f t="shared" si="7"/>
        <v>-10178.6596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  <c r="K12" s="22">
        <f t="shared" ref="K12:P12" si="8">K$3*K124</f>
        <v>69824.85122</v>
      </c>
      <c r="L12" s="22">
        <f t="shared" si="8"/>
        <v>81581.42375</v>
      </c>
      <c r="M12" s="22">
        <f t="shared" si="8"/>
        <v>95352.0403</v>
      </c>
      <c r="N12" s="22">
        <f t="shared" si="8"/>
        <v>111485.7642</v>
      </c>
      <c r="O12" s="22">
        <f t="shared" si="8"/>
        <v>130392.619</v>
      </c>
      <c r="P12" s="22">
        <f t="shared" si="8"/>
        <v>152554.2873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  <c r="K13" s="22">
        <f t="shared" ref="K13:P13" si="9">K$3*K125</f>
        <v>215960.9246</v>
      </c>
      <c r="L13" s="22">
        <f t="shared" si="9"/>
        <v>252322.7675</v>
      </c>
      <c r="M13" s="22">
        <f t="shared" si="9"/>
        <v>294913.8369</v>
      </c>
      <c r="N13" s="22">
        <f t="shared" si="9"/>
        <v>344813.7489</v>
      </c>
      <c r="O13" s="22">
        <f t="shared" si="9"/>
        <v>403290.6634</v>
      </c>
      <c r="P13" s="22">
        <f t="shared" si="9"/>
        <v>471834.3735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  <c r="K14" s="22">
        <f t="shared" ref="K14:P14" si="10">K$3*K126</f>
        <v>-3208.016652</v>
      </c>
      <c r="L14" s="22">
        <f t="shared" si="10"/>
        <v>-3748.157874</v>
      </c>
      <c r="M14" s="22">
        <f t="shared" si="10"/>
        <v>-4380.831864</v>
      </c>
      <c r="N14" s="22">
        <f t="shared" si="10"/>
        <v>-5122.075905</v>
      </c>
      <c r="O14" s="22">
        <f t="shared" si="10"/>
        <v>-5990.728027</v>
      </c>
      <c r="P14" s="22">
        <f t="shared" si="10"/>
        <v>-7008.918534</v>
      </c>
    </row>
    <row r="15" ht="15.75" customHeight="1">
      <c r="A15" s="7"/>
    </row>
    <row r="16" ht="15.75" customHeight="1">
      <c r="A16" s="8" t="s">
        <v>14</v>
      </c>
      <c r="B16" s="13">
        <f t="shared" ref="B16:P16" si="11">SUM(B9:B14)</f>
        <v>494932</v>
      </c>
      <c r="C16" s="13">
        <f t="shared" si="11"/>
        <v>577269</v>
      </c>
      <c r="D16" s="13">
        <f t="shared" si="11"/>
        <v>677460</v>
      </c>
      <c r="E16" s="13">
        <f t="shared" si="11"/>
        <v>750653</v>
      </c>
      <c r="F16" s="13">
        <f t="shared" si="11"/>
        <v>683474</v>
      </c>
      <c r="G16" s="13">
        <f t="shared" si="11"/>
        <v>650204</v>
      </c>
      <c r="H16" s="13">
        <f t="shared" si="11"/>
        <v>826236</v>
      </c>
      <c r="I16" s="13">
        <f t="shared" si="11"/>
        <v>1053155</v>
      </c>
      <c r="J16" s="13">
        <f t="shared" si="11"/>
        <v>1233319</v>
      </c>
      <c r="K16" s="13">
        <f t="shared" si="11"/>
        <v>1464941.407</v>
      </c>
      <c r="L16" s="13">
        <f t="shared" si="11"/>
        <v>1711596.997</v>
      </c>
      <c r="M16" s="13">
        <f t="shared" si="11"/>
        <v>2000507.694</v>
      </c>
      <c r="N16" s="13">
        <f t="shared" si="11"/>
        <v>2338996.925</v>
      </c>
      <c r="O16" s="13">
        <f t="shared" si="11"/>
        <v>2735667.079</v>
      </c>
      <c r="P16" s="13">
        <f t="shared" si="11"/>
        <v>3200623.966</v>
      </c>
    </row>
    <row r="17" ht="15.75" customHeight="1">
      <c r="A17" s="7"/>
    </row>
    <row r="18" ht="15.75" customHeight="1">
      <c r="A18" s="4" t="s">
        <v>15</v>
      </c>
      <c r="B18" s="6">
        <f t="shared" ref="B18:P18" si="12">B6-B16</f>
        <v>91188</v>
      </c>
      <c r="C18" s="6">
        <f t="shared" si="12"/>
        <v>126477</v>
      </c>
      <c r="D18" s="6">
        <f t="shared" si="12"/>
        <v>141092</v>
      </c>
      <c r="E18" s="6">
        <f t="shared" si="12"/>
        <v>135648</v>
      </c>
      <c r="F18" s="6">
        <f t="shared" si="12"/>
        <v>106470</v>
      </c>
      <c r="G18" s="6">
        <f t="shared" si="12"/>
        <v>82879</v>
      </c>
      <c r="H18" s="6">
        <f t="shared" si="12"/>
        <v>74509</v>
      </c>
      <c r="I18" s="6">
        <f t="shared" si="12"/>
        <v>153591</v>
      </c>
      <c r="J18" s="6">
        <f t="shared" si="12"/>
        <v>226198</v>
      </c>
      <c r="K18" s="23">
        <f t="shared" si="12"/>
        <v>300679.8734</v>
      </c>
      <c r="L18" s="23">
        <f t="shared" si="12"/>
        <v>347938.5962</v>
      </c>
      <c r="M18" s="23">
        <f t="shared" si="12"/>
        <v>403293.3137</v>
      </c>
      <c r="N18" s="23">
        <f t="shared" si="12"/>
        <v>468147.1802</v>
      </c>
      <c r="O18" s="23">
        <f t="shared" si="12"/>
        <v>544148.3965</v>
      </c>
      <c r="P18" s="23">
        <f t="shared" si="12"/>
        <v>633233.2155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  <c r="K20" s="24"/>
      <c r="L20" s="24"/>
      <c r="M20" s="24"/>
      <c r="N20" s="24"/>
      <c r="O20" s="24"/>
      <c r="P20" s="24"/>
    </row>
    <row r="21" ht="15.75" customHeight="1">
      <c r="A21" s="7"/>
    </row>
    <row r="22" ht="15.75" customHeight="1">
      <c r="A22" s="7" t="s">
        <v>18</v>
      </c>
      <c r="B22" s="6">
        <f t="shared" ref="B22:P22" si="13">B18-B20</f>
        <v>62518</v>
      </c>
      <c r="C22" s="6">
        <f t="shared" si="13"/>
        <v>100438</v>
      </c>
      <c r="D22" s="6">
        <f t="shared" si="13"/>
        <v>113494</v>
      </c>
      <c r="E22" s="6">
        <f t="shared" si="13"/>
        <v>105440</v>
      </c>
      <c r="F22" s="6">
        <f t="shared" si="13"/>
        <v>71186</v>
      </c>
      <c r="G22" s="6">
        <f t="shared" si="13"/>
        <v>52538</v>
      </c>
      <c r="H22" s="6">
        <f t="shared" si="13"/>
        <v>46619</v>
      </c>
      <c r="I22" s="6">
        <f t="shared" si="13"/>
        <v>105131</v>
      </c>
      <c r="J22" s="6">
        <f t="shared" si="13"/>
        <v>173640</v>
      </c>
      <c r="K22" s="23">
        <f t="shared" si="13"/>
        <v>300679.8734</v>
      </c>
      <c r="L22" s="23">
        <f t="shared" si="13"/>
        <v>347938.5962</v>
      </c>
      <c r="M22" s="23">
        <f t="shared" si="13"/>
        <v>403293.3137</v>
      </c>
      <c r="N22" s="23">
        <f t="shared" si="13"/>
        <v>468147.1802</v>
      </c>
      <c r="O22" s="23">
        <f t="shared" si="13"/>
        <v>544148.3965</v>
      </c>
      <c r="P22" s="23">
        <f t="shared" si="13"/>
        <v>633233.2155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  <c r="K24" s="20">
        <f t="shared" ref="K24:P24" si="14">J24</f>
        <v>1936</v>
      </c>
      <c r="L24" s="21">
        <f t="shared" si="14"/>
        <v>1936</v>
      </c>
      <c r="M24" s="21">
        <f t="shared" si="14"/>
        <v>1936</v>
      </c>
      <c r="N24" s="21">
        <f t="shared" si="14"/>
        <v>1936</v>
      </c>
      <c r="O24" s="21">
        <f t="shared" si="14"/>
        <v>1936</v>
      </c>
      <c r="P24" s="21">
        <f t="shared" si="14"/>
        <v>1936</v>
      </c>
    </row>
    <row r="25" ht="15.75" customHeight="1">
      <c r="A25" s="7"/>
    </row>
    <row r="26" ht="15.75" customHeight="1">
      <c r="A26" s="7" t="s">
        <v>23</v>
      </c>
      <c r="B26" s="6">
        <f t="shared" ref="B26:P26" si="15">B22-B24</f>
        <v>61581</v>
      </c>
      <c r="C26" s="6">
        <f t="shared" si="15"/>
        <v>99544</v>
      </c>
      <c r="D26" s="6">
        <f t="shared" si="15"/>
        <v>110036</v>
      </c>
      <c r="E26" s="6">
        <f t="shared" si="15"/>
        <v>104681</v>
      </c>
      <c r="F26" s="6">
        <f t="shared" si="15"/>
        <v>69844</v>
      </c>
      <c r="G26" s="6">
        <f t="shared" si="15"/>
        <v>51520</v>
      </c>
      <c r="H26" s="6">
        <f t="shared" si="15"/>
        <v>45353</v>
      </c>
      <c r="I26" s="6">
        <f t="shared" si="15"/>
        <v>102608</v>
      </c>
      <c r="J26" s="6">
        <f t="shared" si="15"/>
        <v>171704</v>
      </c>
      <c r="K26" s="6">
        <f t="shared" si="15"/>
        <v>298743.8734</v>
      </c>
      <c r="L26" s="6">
        <f t="shared" si="15"/>
        <v>346002.5962</v>
      </c>
      <c r="M26" s="6">
        <f t="shared" si="15"/>
        <v>401357.3137</v>
      </c>
      <c r="N26" s="6">
        <f t="shared" si="15"/>
        <v>466211.1802</v>
      </c>
      <c r="O26" s="6">
        <f t="shared" si="15"/>
        <v>542212.3965</v>
      </c>
      <c r="P26" s="6">
        <f t="shared" si="15"/>
        <v>631297.2155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  <c r="K27" s="20">
        <f t="shared" ref="K27:P27" si="16">J27</f>
        <v>2669</v>
      </c>
      <c r="L27" s="21">
        <f t="shared" si="16"/>
        <v>2669</v>
      </c>
      <c r="M27" s="21">
        <f t="shared" si="16"/>
        <v>2669</v>
      </c>
      <c r="N27" s="21">
        <f t="shared" si="16"/>
        <v>2669</v>
      </c>
      <c r="O27" s="21">
        <f t="shared" si="16"/>
        <v>2669</v>
      </c>
      <c r="P27" s="21">
        <f t="shared" si="16"/>
        <v>2669</v>
      </c>
    </row>
    <row r="28" ht="15.75" customHeight="1">
      <c r="A28" s="7" t="s">
        <v>25</v>
      </c>
      <c r="B28" s="6">
        <f t="shared" ref="B28:P28" si="17">SUM(B26:B27)</f>
        <v>66296</v>
      </c>
      <c r="C28" s="6">
        <f t="shared" si="17"/>
        <v>101272</v>
      </c>
      <c r="D28" s="6">
        <f t="shared" si="17"/>
        <v>111669</v>
      </c>
      <c r="E28" s="6">
        <f t="shared" si="17"/>
        <v>102651</v>
      </c>
      <c r="F28" s="6">
        <f t="shared" si="17"/>
        <v>65427</v>
      </c>
      <c r="G28" s="6">
        <f t="shared" si="17"/>
        <v>56656</v>
      </c>
      <c r="H28" s="6">
        <f t="shared" si="17"/>
        <v>48482</v>
      </c>
      <c r="I28" s="6">
        <f t="shared" si="17"/>
        <v>103194</v>
      </c>
      <c r="J28" s="6">
        <f t="shared" si="17"/>
        <v>174373</v>
      </c>
      <c r="K28" s="23">
        <f t="shared" si="17"/>
        <v>301412.8734</v>
      </c>
      <c r="L28" s="23">
        <f t="shared" si="17"/>
        <v>348671.5962</v>
      </c>
      <c r="M28" s="23">
        <f t="shared" si="17"/>
        <v>404026.3137</v>
      </c>
      <c r="N28" s="23">
        <f t="shared" si="17"/>
        <v>468880.1802</v>
      </c>
      <c r="O28" s="23">
        <f t="shared" si="17"/>
        <v>544881.3965</v>
      </c>
      <c r="P28" s="23">
        <f t="shared" si="17"/>
        <v>633966.2155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</row>
    <row r="31" ht="15.75" customHeight="1">
      <c r="A31" s="7"/>
    </row>
    <row r="32" ht="15.75" customHeight="1">
      <c r="A32" s="7" t="s">
        <v>27</v>
      </c>
      <c r="B32" s="6">
        <f t="shared" ref="B32:P32" si="18">B28-B30</f>
        <v>46309</v>
      </c>
      <c r="C32" s="6">
        <f t="shared" si="18"/>
        <v>75110</v>
      </c>
      <c r="D32" s="6">
        <f t="shared" si="18"/>
        <v>78807</v>
      </c>
      <c r="E32" s="6">
        <f t="shared" si="18"/>
        <v>72919</v>
      </c>
      <c r="F32" s="6">
        <f t="shared" si="18"/>
        <v>51175</v>
      </c>
      <c r="G32" s="6">
        <f t="shared" si="18"/>
        <v>47337</v>
      </c>
      <c r="H32" s="6">
        <f t="shared" si="18"/>
        <v>40305</v>
      </c>
      <c r="I32" s="6">
        <f t="shared" si="18"/>
        <v>81449</v>
      </c>
      <c r="J32" s="6">
        <f t="shared" si="18"/>
        <v>135010</v>
      </c>
      <c r="K32" s="6">
        <f t="shared" si="18"/>
        <v>301412.8734</v>
      </c>
      <c r="L32" s="6">
        <f t="shared" si="18"/>
        <v>348671.5962</v>
      </c>
      <c r="M32" s="6">
        <f t="shared" si="18"/>
        <v>404026.3137</v>
      </c>
      <c r="N32" s="6">
        <f t="shared" si="18"/>
        <v>468880.1802</v>
      </c>
      <c r="O32" s="6">
        <f t="shared" si="18"/>
        <v>544881.3965</v>
      </c>
      <c r="P32" s="6">
        <f t="shared" si="18"/>
        <v>633966.2155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  <c r="K33" s="15">
        <v>2541.0</v>
      </c>
      <c r="L33" s="15">
        <v>2541.0</v>
      </c>
      <c r="M33" s="15">
        <v>2541.0</v>
      </c>
      <c r="N33" s="15">
        <v>2541.0</v>
      </c>
      <c r="O33" s="15">
        <v>2541.0</v>
      </c>
      <c r="P33" s="15">
        <v>2541.0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19">B32+B33</f>
        <v>46988</v>
      </c>
      <c r="C36" s="9">
        <f t="shared" si="19"/>
        <v>77326</v>
      </c>
      <c r="D36" s="9">
        <f t="shared" si="19"/>
        <v>82118</v>
      </c>
      <c r="E36" s="9">
        <f>E32+F33</f>
        <v>74103</v>
      </c>
      <c r="F36" s="9">
        <f t="shared" ref="F36:P36" si="20">F32+F33</f>
        <v>52359</v>
      </c>
      <c r="G36" s="9">
        <f t="shared" si="20"/>
        <v>49027</v>
      </c>
      <c r="H36" s="9">
        <f t="shared" si="20"/>
        <v>41924</v>
      </c>
      <c r="I36" s="9">
        <f t="shared" si="20"/>
        <v>83223</v>
      </c>
      <c r="J36" s="9">
        <f t="shared" si="20"/>
        <v>137551</v>
      </c>
      <c r="K36" s="9">
        <f t="shared" si="20"/>
        <v>303953.8734</v>
      </c>
      <c r="L36" s="9">
        <f t="shared" si="20"/>
        <v>351212.5962</v>
      </c>
      <c r="M36" s="9">
        <f t="shared" si="20"/>
        <v>406567.3137</v>
      </c>
      <c r="N36" s="9">
        <f t="shared" si="20"/>
        <v>471421.1802</v>
      </c>
      <c r="O36" s="9">
        <f t="shared" si="20"/>
        <v>547422.3965</v>
      </c>
      <c r="P36" s="9">
        <f t="shared" si="20"/>
        <v>636507.2155</v>
      </c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</row>
    <row r="42" ht="15.75" customHeight="1">
      <c r="A42" s="1" t="s">
        <v>32</v>
      </c>
    </row>
    <row r="43" ht="15.75" customHeight="1">
      <c r="A43" s="1" t="s">
        <v>33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</row>
    <row r="47" ht="15.75" customHeight="1">
      <c r="A47" s="7" t="s">
        <v>36</v>
      </c>
    </row>
    <row r="48" ht="15.75" customHeight="1">
      <c r="A48" s="7"/>
    </row>
    <row r="49" ht="15.75" customHeight="1">
      <c r="A49" s="7" t="s">
        <v>37</v>
      </c>
    </row>
    <row r="50" ht="15.75" customHeight="1">
      <c r="A50" s="1" t="s">
        <v>38</v>
      </c>
    </row>
    <row r="51" ht="15.75" customHeight="1">
      <c r="A51" s="1" t="s">
        <v>39</v>
      </c>
    </row>
    <row r="52" ht="15.75" customHeight="1">
      <c r="A52" s="1" t="s">
        <v>40</v>
      </c>
    </row>
    <row r="53" ht="15.75" customHeight="1">
      <c r="A53" s="1" t="s">
        <v>41</v>
      </c>
    </row>
    <row r="54" ht="15.75" customHeight="1">
      <c r="A54" s="7"/>
    </row>
    <row r="55" ht="15.75" customHeight="1">
      <c r="A55" s="1" t="s">
        <v>42</v>
      </c>
    </row>
    <row r="56" ht="15.75" customHeight="1">
      <c r="A56" s="1" t="s">
        <v>43</v>
      </c>
    </row>
    <row r="57" ht="15.75" customHeight="1">
      <c r="A57" s="1" t="s">
        <v>44</v>
      </c>
    </row>
    <row r="58" ht="15.75" customHeight="1">
      <c r="A58" s="1" t="s">
        <v>45</v>
      </c>
    </row>
    <row r="59" ht="15.75" customHeight="1">
      <c r="A59" s="1" t="s">
        <v>46</v>
      </c>
    </row>
    <row r="60" ht="15.75" customHeight="1">
      <c r="A60" s="1" t="s">
        <v>47</v>
      </c>
    </row>
    <row r="61" ht="15.75" customHeight="1">
      <c r="A61" s="1" t="s">
        <v>48</v>
      </c>
    </row>
    <row r="62" ht="15.75" customHeight="1">
      <c r="A62" s="8" t="s">
        <v>49</v>
      </c>
    </row>
    <row r="63" ht="15.75" customHeight="1">
      <c r="A63" s="7"/>
    </row>
    <row r="64" ht="15.75" customHeight="1">
      <c r="A64" s="7"/>
    </row>
    <row r="65" ht="15.75" customHeight="1">
      <c r="A65" s="4" t="s">
        <v>50</v>
      </c>
    </row>
    <row r="66" ht="15.75" customHeight="1">
      <c r="A66" s="7"/>
    </row>
    <row r="67" ht="15.75" customHeight="1">
      <c r="A67" s="1" t="s">
        <v>51</v>
      </c>
    </row>
    <row r="68" ht="15.75" customHeight="1">
      <c r="A68" s="16" t="s">
        <v>52</v>
      </c>
    </row>
    <row r="69" ht="15.75" customHeight="1">
      <c r="A69" s="16" t="s">
        <v>53</v>
      </c>
    </row>
    <row r="70" ht="15.75" customHeight="1">
      <c r="A70" s="16" t="s">
        <v>54</v>
      </c>
    </row>
    <row r="71" ht="15.75" customHeight="1">
      <c r="A71" s="16" t="s">
        <v>55</v>
      </c>
    </row>
    <row r="72" ht="15.75" customHeight="1">
      <c r="A72" s="1"/>
    </row>
    <row r="73" ht="15.75" customHeight="1">
      <c r="A73" s="1" t="s">
        <v>56</v>
      </c>
    </row>
    <row r="74" ht="15.75" customHeight="1">
      <c r="A74" s="1" t="s">
        <v>57</v>
      </c>
    </row>
    <row r="75" ht="15.75" customHeight="1">
      <c r="A75" s="1" t="s">
        <v>58</v>
      </c>
    </row>
    <row r="76" ht="15.75" customHeight="1">
      <c r="A76" s="1" t="s">
        <v>59</v>
      </c>
    </row>
    <row r="77" ht="15.75" customHeight="1">
      <c r="A77" s="1"/>
    </row>
    <row r="78" ht="15.75" customHeight="1">
      <c r="A78" s="1" t="s">
        <v>60</v>
      </c>
    </row>
    <row r="79" ht="15.75" customHeight="1">
      <c r="A79" s="1"/>
    </row>
    <row r="80" ht="15.75" customHeight="1">
      <c r="A80" s="16" t="s">
        <v>61</v>
      </c>
    </row>
    <row r="81" ht="15.75" customHeight="1">
      <c r="A81" s="16" t="s">
        <v>62</v>
      </c>
    </row>
    <row r="82" ht="15.75" customHeight="1">
      <c r="A82" s="16" t="s">
        <v>63</v>
      </c>
    </row>
    <row r="83" ht="15.75" customHeight="1">
      <c r="A83" s="16" t="s">
        <v>64</v>
      </c>
    </row>
    <row r="84" ht="15.75" customHeight="1">
      <c r="A84" s="16" t="s">
        <v>65</v>
      </c>
    </row>
    <row r="85" ht="15.75" customHeight="1">
      <c r="A85" s="16" t="s">
        <v>66</v>
      </c>
    </row>
    <row r="86" ht="15.75" customHeight="1">
      <c r="A86" s="16" t="s">
        <v>67</v>
      </c>
    </row>
    <row r="87" ht="15.75" customHeight="1">
      <c r="A87" s="1" t="s">
        <v>57</v>
      </c>
    </row>
    <row r="88" ht="15.75" customHeight="1">
      <c r="A88" s="8" t="s">
        <v>49</v>
      </c>
    </row>
    <row r="89" ht="15.75" customHeight="1">
      <c r="A89" s="1"/>
    </row>
    <row r="90" ht="15.75" customHeight="1">
      <c r="A90" s="5" t="s">
        <v>68</v>
      </c>
      <c r="B90" s="22">
        <v>1500000.0</v>
      </c>
      <c r="C90" s="22">
        <v>1550000.0</v>
      </c>
      <c r="D90" s="22">
        <v>1560000.0</v>
      </c>
      <c r="E90" s="22">
        <v>1580000.0</v>
      </c>
      <c r="F90" s="22">
        <v>2000000.0</v>
      </c>
      <c r="G90" s="22">
        <v>2250000.0</v>
      </c>
      <c r="H90" s="22">
        <v>2250000.0</v>
      </c>
      <c r="I90" s="22">
        <v>2250000.0</v>
      </c>
      <c r="J90" s="22">
        <v>2250000.0</v>
      </c>
      <c r="K90" s="19">
        <f t="shared" ref="K90:P90" si="21">J90+K91</f>
        <v>2550000</v>
      </c>
      <c r="L90" s="19">
        <f t="shared" si="21"/>
        <v>2850000</v>
      </c>
      <c r="M90" s="19">
        <f t="shared" si="21"/>
        <v>3150000</v>
      </c>
      <c r="N90" s="19">
        <f t="shared" si="21"/>
        <v>3450000</v>
      </c>
      <c r="O90" s="19">
        <f t="shared" si="21"/>
        <v>3750000</v>
      </c>
      <c r="P90" s="19">
        <f t="shared" si="21"/>
        <v>4050000</v>
      </c>
    </row>
    <row r="91" ht="15.75" customHeight="1">
      <c r="A91" s="5" t="s">
        <v>69</v>
      </c>
      <c r="C91" s="19">
        <f t="shared" ref="C91:J91" si="22">C90-B90</f>
        <v>50000</v>
      </c>
      <c r="D91" s="19">
        <f t="shared" si="22"/>
        <v>10000</v>
      </c>
      <c r="E91" s="19">
        <f t="shared" si="22"/>
        <v>20000</v>
      </c>
      <c r="F91" s="19">
        <f t="shared" si="22"/>
        <v>420000</v>
      </c>
      <c r="G91" s="19">
        <f t="shared" si="22"/>
        <v>250000</v>
      </c>
      <c r="H91" s="19">
        <f t="shared" si="22"/>
        <v>0</v>
      </c>
      <c r="I91" s="19">
        <f t="shared" si="22"/>
        <v>0</v>
      </c>
      <c r="J91" s="19">
        <f t="shared" si="22"/>
        <v>0</v>
      </c>
      <c r="K91" s="15">
        <v>300000.0</v>
      </c>
      <c r="L91" s="15">
        <v>300000.0</v>
      </c>
      <c r="M91" s="15">
        <v>300000.0</v>
      </c>
      <c r="N91" s="15">
        <v>300000.0</v>
      </c>
      <c r="O91" s="15">
        <v>300000.0</v>
      </c>
      <c r="P91" s="15">
        <v>300000.0</v>
      </c>
    </row>
    <row r="92" ht="15.75" customHeight="1">
      <c r="A92" s="5"/>
    </row>
    <row r="93" ht="15.75" customHeight="1">
      <c r="A93" s="5" t="s">
        <v>70</v>
      </c>
      <c r="B93" s="22">
        <v>1305351.0</v>
      </c>
      <c r="C93" s="22">
        <v>1444541.0</v>
      </c>
      <c r="D93" s="22">
        <v>1653500.0</v>
      </c>
      <c r="E93" s="22">
        <v>1753700.0</v>
      </c>
      <c r="F93" s="22">
        <v>1461126.0</v>
      </c>
      <c r="G93" s="22">
        <v>1361722.0</v>
      </c>
      <c r="H93" s="22">
        <v>1414277.0</v>
      </c>
      <c r="I93" s="22">
        <v>1706831.0</v>
      </c>
      <c r="J93" s="22">
        <v>1852256.0</v>
      </c>
    </row>
    <row r="94" ht="15.75" customHeight="1">
      <c r="A94" s="5" t="s">
        <v>71</v>
      </c>
      <c r="B94" s="22">
        <v>123897.0</v>
      </c>
      <c r="C94" s="22">
        <v>124062.0</v>
      </c>
      <c r="D94" s="22">
        <v>126074.0</v>
      </c>
      <c r="E94" s="22">
        <v>108749.0</v>
      </c>
      <c r="F94" s="22">
        <v>102171.0</v>
      </c>
      <c r="G94" s="22">
        <v>96139.0</v>
      </c>
      <c r="H94" s="22">
        <v>238376.0</v>
      </c>
      <c r="I94" s="22">
        <v>259333.0</v>
      </c>
      <c r="J94" s="22">
        <v>283067.0</v>
      </c>
    </row>
    <row r="95" ht="15.75" customHeight="1">
      <c r="A95" s="5" t="s">
        <v>49</v>
      </c>
      <c r="B95" s="19">
        <f t="shared" ref="B95:J95" si="23">SUM(B93:B94)</f>
        <v>1429248</v>
      </c>
      <c r="C95" s="19">
        <f t="shared" si="23"/>
        <v>1568603</v>
      </c>
      <c r="D95" s="19">
        <f t="shared" si="23"/>
        <v>1779574</v>
      </c>
      <c r="E95" s="19">
        <f t="shared" si="23"/>
        <v>1862449</v>
      </c>
      <c r="F95" s="19">
        <f t="shared" si="23"/>
        <v>1563297</v>
      </c>
      <c r="G95" s="19">
        <f t="shared" si="23"/>
        <v>1457861</v>
      </c>
      <c r="H95" s="19">
        <f t="shared" si="23"/>
        <v>1652653</v>
      </c>
      <c r="I95" s="19">
        <f t="shared" si="23"/>
        <v>1966164</v>
      </c>
      <c r="J95" s="19">
        <f t="shared" si="23"/>
        <v>2135323</v>
      </c>
      <c r="K95" s="44">
        <f t="shared" ref="K95:P95" si="24">K106*K113</f>
        <v>2388726.764</v>
      </c>
      <c r="L95" s="44">
        <f t="shared" si="24"/>
        <v>2537202.039</v>
      </c>
      <c r="M95" s="44">
        <f t="shared" si="24"/>
        <v>2695883.226</v>
      </c>
      <c r="N95" s="44">
        <f t="shared" si="24"/>
        <v>2865482.868</v>
      </c>
      <c r="O95" s="44">
        <f t="shared" si="24"/>
        <v>3046763.362</v>
      </c>
      <c r="P95" s="44">
        <f t="shared" si="24"/>
        <v>3240540.458</v>
      </c>
    </row>
    <row r="96" ht="15.75" customHeight="1">
      <c r="A96" s="5"/>
    </row>
    <row r="97" ht="15.75" customHeight="1">
      <c r="A97" s="5" t="s">
        <v>72</v>
      </c>
      <c r="B97" s="39">
        <f t="shared" ref="B97:P97" si="25">B95/B90</f>
        <v>0.952832</v>
      </c>
      <c r="C97" s="39">
        <f t="shared" si="25"/>
        <v>1.012001935</v>
      </c>
      <c r="D97" s="39">
        <f t="shared" si="25"/>
        <v>1.140752564</v>
      </c>
      <c r="E97" s="39">
        <f t="shared" si="25"/>
        <v>1.17876519</v>
      </c>
      <c r="F97" s="39">
        <f t="shared" si="25"/>
        <v>0.7816485</v>
      </c>
      <c r="G97" s="39">
        <f t="shared" si="25"/>
        <v>0.6479382222</v>
      </c>
      <c r="H97" s="39">
        <f t="shared" si="25"/>
        <v>0.7345124444</v>
      </c>
      <c r="I97" s="39">
        <f t="shared" si="25"/>
        <v>0.8738506667</v>
      </c>
      <c r="J97" s="39">
        <f t="shared" si="25"/>
        <v>0.9490324444</v>
      </c>
      <c r="K97" s="39">
        <f t="shared" si="25"/>
        <v>0.9367555938</v>
      </c>
      <c r="L97" s="39">
        <f t="shared" si="25"/>
        <v>0.8902463294</v>
      </c>
      <c r="M97" s="39">
        <f t="shared" si="25"/>
        <v>0.8558359449</v>
      </c>
      <c r="N97" s="39">
        <f t="shared" si="25"/>
        <v>0.8305747443</v>
      </c>
      <c r="O97" s="39">
        <f t="shared" si="25"/>
        <v>0.8124702299</v>
      </c>
      <c r="P97" s="39">
        <f t="shared" si="25"/>
        <v>0.8001334464</v>
      </c>
    </row>
    <row r="98" ht="15.75" customHeight="1">
      <c r="A98" s="5"/>
    </row>
    <row r="99" ht="15.75" customHeight="1">
      <c r="A99" s="17" t="s">
        <v>73</v>
      </c>
      <c r="C99" s="35">
        <f t="shared" ref="C99:J99" si="26">C93/B93-1</f>
        <v>0.106630324</v>
      </c>
      <c r="D99" s="35">
        <f t="shared" si="26"/>
        <v>0.1446542535</v>
      </c>
      <c r="E99" s="35">
        <f t="shared" si="26"/>
        <v>0.06059872997</v>
      </c>
      <c r="F99" s="35">
        <f t="shared" si="26"/>
        <v>-0.1668324115</v>
      </c>
      <c r="G99" s="35">
        <f t="shared" si="26"/>
        <v>-0.06803246263</v>
      </c>
      <c r="H99" s="35">
        <f t="shared" si="26"/>
        <v>0.03859451489</v>
      </c>
      <c r="I99" s="35">
        <f t="shared" si="26"/>
        <v>0.2068576382</v>
      </c>
      <c r="J99" s="35">
        <f t="shared" si="26"/>
        <v>0.08520175694</v>
      </c>
    </row>
    <row r="100" ht="15.75" customHeight="1">
      <c r="A100" s="5" t="s">
        <v>74</v>
      </c>
      <c r="C100" s="35">
        <f t="shared" ref="C100:J100" si="27">C94/B94-1</f>
        <v>0.001331751374</v>
      </c>
      <c r="D100" s="35">
        <f t="shared" si="27"/>
        <v>0.0162176976</v>
      </c>
      <c r="E100" s="35">
        <f t="shared" si="27"/>
        <v>-0.1374192934</v>
      </c>
      <c r="F100" s="35">
        <f t="shared" si="27"/>
        <v>-0.06048791253</v>
      </c>
      <c r="G100" s="35">
        <f t="shared" si="27"/>
        <v>-0.05903827896</v>
      </c>
      <c r="H100" s="35">
        <f t="shared" si="27"/>
        <v>1.479493234</v>
      </c>
      <c r="I100" s="35">
        <f t="shared" si="27"/>
        <v>0.08791572977</v>
      </c>
      <c r="J100" s="35">
        <f t="shared" si="27"/>
        <v>0.09151939784</v>
      </c>
    </row>
    <row r="101" ht="15.75" customHeight="1">
      <c r="A101" s="5" t="s">
        <v>75</v>
      </c>
      <c r="C101" s="36">
        <f t="shared" ref="C101:P101" si="28">C95/B95-1</f>
        <v>0.0975023229</v>
      </c>
      <c r="D101" s="36">
        <f t="shared" si="28"/>
        <v>0.134496109</v>
      </c>
      <c r="E101" s="36">
        <f t="shared" si="28"/>
        <v>0.0465701342</v>
      </c>
      <c r="F101" s="36">
        <f t="shared" si="28"/>
        <v>-0.1606229218</v>
      </c>
      <c r="G101" s="36">
        <f t="shared" si="28"/>
        <v>-0.06744463784</v>
      </c>
      <c r="H101" s="36">
        <f t="shared" si="28"/>
        <v>0.1336149331</v>
      </c>
      <c r="I101" s="36">
        <f t="shared" si="28"/>
        <v>0.1897016494</v>
      </c>
      <c r="J101" s="36">
        <f t="shared" si="28"/>
        <v>0.08603504082</v>
      </c>
      <c r="K101" s="36">
        <f t="shared" si="28"/>
        <v>0.118672334</v>
      </c>
      <c r="L101" s="36">
        <f t="shared" si="28"/>
        <v>0.06215665883</v>
      </c>
      <c r="M101" s="36">
        <f t="shared" si="28"/>
        <v>0.06254180208</v>
      </c>
      <c r="N101" s="36">
        <f t="shared" si="28"/>
        <v>0.06291060372</v>
      </c>
      <c r="O101" s="36">
        <f t="shared" si="28"/>
        <v>0.06326350662</v>
      </c>
      <c r="P101" s="36">
        <f t="shared" si="28"/>
        <v>0.06360096696</v>
      </c>
    </row>
    <row r="102" ht="15.75" customHeight="1">
      <c r="A102" s="5"/>
      <c r="C102" s="35"/>
      <c r="D102" s="35"/>
      <c r="E102" s="35"/>
      <c r="F102" s="35"/>
      <c r="G102" s="35"/>
      <c r="H102" s="35"/>
      <c r="I102" s="35"/>
      <c r="J102" s="35"/>
    </row>
    <row r="103" ht="15.75" customHeight="1">
      <c r="A103" s="17" t="s">
        <v>76</v>
      </c>
      <c r="C103" s="36"/>
      <c r="D103" s="36"/>
      <c r="E103" s="36"/>
      <c r="F103" s="36"/>
      <c r="G103" s="36"/>
      <c r="H103" s="36"/>
      <c r="I103" s="36"/>
      <c r="J103" s="36"/>
    </row>
    <row r="104" ht="15.75" customHeight="1">
      <c r="A104" s="5" t="s">
        <v>77</v>
      </c>
      <c r="B104" s="22">
        <v>2789208.0</v>
      </c>
      <c r="C104" s="22">
        <v>3047582.0</v>
      </c>
      <c r="D104" s="22">
        <v>3288581.0</v>
      </c>
      <c r="E104" s="22">
        <v>3377389.0</v>
      </c>
      <c r="F104" s="22">
        <v>2773519.0</v>
      </c>
      <c r="G104" s="22">
        <v>2711457.0</v>
      </c>
      <c r="H104" s="22">
        <v>3069523.0</v>
      </c>
      <c r="I104" s="22">
        <v>3890114.0</v>
      </c>
      <c r="J104" s="22">
        <v>4218746.0</v>
      </c>
      <c r="K104" s="22">
        <f t="shared" ref="K104:P104" si="29">J104*(1+7%)</f>
        <v>4514058.22</v>
      </c>
      <c r="L104" s="22">
        <f t="shared" si="29"/>
        <v>4830042.295</v>
      </c>
      <c r="M104" s="22">
        <f t="shared" si="29"/>
        <v>5168145.256</v>
      </c>
      <c r="N104" s="22">
        <f t="shared" si="29"/>
        <v>5529915.424</v>
      </c>
      <c r="O104" s="22">
        <f t="shared" si="29"/>
        <v>5917009.504</v>
      </c>
      <c r="P104" s="22">
        <f t="shared" si="29"/>
        <v>6331200.169</v>
      </c>
    </row>
    <row r="105" ht="15.75" customHeight="1">
      <c r="A105" s="5" t="s">
        <v>71</v>
      </c>
      <c r="B105" s="22">
        <v>653053.0</v>
      </c>
      <c r="C105" s="22">
        <v>758727.0</v>
      </c>
      <c r="D105" s="22">
        <v>748366.0</v>
      </c>
      <c r="E105" s="22">
        <v>676192.0</v>
      </c>
      <c r="F105" s="22">
        <v>662118.0</v>
      </c>
      <c r="G105" s="22">
        <v>404397.0</v>
      </c>
      <c r="H105" s="22">
        <v>577875.0</v>
      </c>
      <c r="I105" s="22">
        <v>662891.0</v>
      </c>
      <c r="J105" s="22">
        <v>672105.0</v>
      </c>
      <c r="K105" s="22">
        <f t="shared" ref="K105:P105" si="30">J105*(1+1%)</f>
        <v>678826.05</v>
      </c>
      <c r="L105" s="22">
        <f t="shared" si="30"/>
        <v>685614.3105</v>
      </c>
      <c r="M105" s="22">
        <f t="shared" si="30"/>
        <v>692470.4536</v>
      </c>
      <c r="N105" s="22">
        <f t="shared" si="30"/>
        <v>699395.1581</v>
      </c>
      <c r="O105" s="22">
        <f t="shared" si="30"/>
        <v>706389.1097</v>
      </c>
      <c r="P105" s="22">
        <f t="shared" si="30"/>
        <v>713453.0008</v>
      </c>
    </row>
    <row r="106" ht="15.75" customHeight="1">
      <c r="A106" s="5" t="s">
        <v>49</v>
      </c>
      <c r="B106" s="27">
        <f t="shared" ref="B106:P106" si="31">SUM(B104:B105)</f>
        <v>3442261</v>
      </c>
      <c r="C106" s="27">
        <f t="shared" si="31"/>
        <v>3806309</v>
      </c>
      <c r="D106" s="27">
        <f t="shared" si="31"/>
        <v>4036947</v>
      </c>
      <c r="E106" s="27">
        <f t="shared" si="31"/>
        <v>4053581</v>
      </c>
      <c r="F106" s="27">
        <f t="shared" si="31"/>
        <v>3435637</v>
      </c>
      <c r="G106" s="27">
        <f t="shared" si="31"/>
        <v>3115854</v>
      </c>
      <c r="H106" s="27">
        <f t="shared" si="31"/>
        <v>3647398</v>
      </c>
      <c r="I106" s="27">
        <f t="shared" si="31"/>
        <v>4553005</v>
      </c>
      <c r="J106" s="27">
        <f t="shared" si="31"/>
        <v>4890851</v>
      </c>
      <c r="K106" s="27">
        <f t="shared" si="31"/>
        <v>5192884.27</v>
      </c>
      <c r="L106" s="27">
        <f t="shared" si="31"/>
        <v>5515656.606</v>
      </c>
      <c r="M106" s="27">
        <f t="shared" si="31"/>
        <v>5860615.71</v>
      </c>
      <c r="N106" s="27">
        <f t="shared" si="31"/>
        <v>6229310.582</v>
      </c>
      <c r="O106" s="27">
        <f t="shared" si="31"/>
        <v>6623398.613</v>
      </c>
      <c r="P106" s="27">
        <f t="shared" si="31"/>
        <v>7044653.17</v>
      </c>
    </row>
    <row r="107" ht="15.75" customHeight="1">
      <c r="A107" s="5" t="s">
        <v>78</v>
      </c>
      <c r="C107" s="35">
        <f t="shared" ref="C107:J107" si="32">C104/B104-1</f>
        <v>0.09263346441</v>
      </c>
      <c r="D107" s="35">
        <f t="shared" si="32"/>
        <v>0.07907875818</v>
      </c>
      <c r="E107" s="35">
        <f t="shared" si="32"/>
        <v>0.0270049605</v>
      </c>
      <c r="F107" s="35">
        <f t="shared" si="32"/>
        <v>-0.178797882</v>
      </c>
      <c r="G107" s="35">
        <f t="shared" si="32"/>
        <v>-0.02237662695</v>
      </c>
      <c r="H107" s="35">
        <f t="shared" si="32"/>
        <v>0.1320566765</v>
      </c>
      <c r="I107" s="35">
        <f t="shared" si="32"/>
        <v>0.2673350224</v>
      </c>
      <c r="J107" s="35">
        <f t="shared" si="32"/>
        <v>0.08447875821</v>
      </c>
      <c r="K107" s="74">
        <v>0.07</v>
      </c>
      <c r="L107" s="74">
        <v>0.07</v>
      </c>
      <c r="M107" s="74">
        <v>0.07</v>
      </c>
      <c r="N107" s="74">
        <v>0.07</v>
      </c>
      <c r="O107" s="74">
        <v>0.07</v>
      </c>
      <c r="P107" s="74">
        <v>0.07</v>
      </c>
    </row>
    <row r="108" ht="15.75" customHeight="1">
      <c r="A108" s="5" t="s">
        <v>79</v>
      </c>
      <c r="C108" s="35">
        <f t="shared" ref="C108:J108" si="33">C105/B105-1</f>
        <v>0.1618153504</v>
      </c>
      <c r="D108" s="35">
        <f t="shared" si="33"/>
        <v>-0.01365576815</v>
      </c>
      <c r="E108" s="35">
        <f t="shared" si="33"/>
        <v>-0.09644211522</v>
      </c>
      <c r="F108" s="35">
        <f t="shared" si="33"/>
        <v>-0.02081361507</v>
      </c>
      <c r="G108" s="35">
        <f t="shared" si="33"/>
        <v>-0.3892372659</v>
      </c>
      <c r="H108" s="35">
        <f t="shared" si="33"/>
        <v>0.4289794435</v>
      </c>
      <c r="I108" s="35">
        <f t="shared" si="33"/>
        <v>0.1471183214</v>
      </c>
      <c r="J108" s="35">
        <f t="shared" si="33"/>
        <v>0.01389972107</v>
      </c>
      <c r="K108" s="74">
        <v>0.01</v>
      </c>
      <c r="L108" s="74">
        <v>0.01</v>
      </c>
      <c r="M108" s="74">
        <v>0.01</v>
      </c>
      <c r="N108" s="74">
        <v>0.01</v>
      </c>
      <c r="O108" s="74">
        <v>0.01</v>
      </c>
      <c r="P108" s="74">
        <v>0.01</v>
      </c>
    </row>
    <row r="109" ht="15.75" customHeight="1">
      <c r="A109" s="5"/>
    </row>
    <row r="110" ht="15.75" customHeight="1">
      <c r="A110" s="17" t="s">
        <v>80</v>
      </c>
    </row>
    <row r="111" ht="15.75" customHeight="1">
      <c r="A111" s="5" t="s">
        <v>70</v>
      </c>
      <c r="B111" s="39">
        <f t="shared" ref="B111:P111" si="34">B93/B104</f>
        <v>0.4680005937</v>
      </c>
      <c r="C111" s="39">
        <f t="shared" si="34"/>
        <v>0.4739957776</v>
      </c>
      <c r="D111" s="39">
        <f t="shared" si="34"/>
        <v>0.502800448</v>
      </c>
      <c r="E111" s="39">
        <f t="shared" si="34"/>
        <v>0.5192472647</v>
      </c>
      <c r="F111" s="39">
        <f t="shared" si="34"/>
        <v>0.5268130487</v>
      </c>
      <c r="G111" s="39">
        <f t="shared" si="34"/>
        <v>0.5022104352</v>
      </c>
      <c r="H111" s="39">
        <f t="shared" si="34"/>
        <v>0.4607481358</v>
      </c>
      <c r="I111" s="39">
        <f t="shared" si="34"/>
        <v>0.4387611777</v>
      </c>
      <c r="J111" s="39">
        <f t="shared" si="34"/>
        <v>0.4390536904</v>
      </c>
      <c r="K111" s="39">
        <f t="shared" si="34"/>
        <v>0</v>
      </c>
      <c r="L111" s="39">
        <f t="shared" si="34"/>
        <v>0</v>
      </c>
      <c r="M111" s="39">
        <f t="shared" si="34"/>
        <v>0</v>
      </c>
      <c r="N111" s="39">
        <f t="shared" si="34"/>
        <v>0</v>
      </c>
      <c r="O111" s="39">
        <f t="shared" si="34"/>
        <v>0</v>
      </c>
      <c r="P111" s="39">
        <f t="shared" si="34"/>
        <v>0</v>
      </c>
    </row>
    <row r="112" ht="15.75" customHeight="1">
      <c r="A112" s="5" t="s">
        <v>71</v>
      </c>
      <c r="B112" s="39">
        <f t="shared" ref="B112:P112" si="35">B94/B105</f>
        <v>0.1897196705</v>
      </c>
      <c r="C112" s="39">
        <f t="shared" si="35"/>
        <v>0.1635133586</v>
      </c>
      <c r="D112" s="39">
        <f t="shared" si="35"/>
        <v>0.1684656973</v>
      </c>
      <c r="E112" s="39">
        <f t="shared" si="35"/>
        <v>0.1608256235</v>
      </c>
      <c r="F112" s="39">
        <f t="shared" si="35"/>
        <v>0.1543093527</v>
      </c>
      <c r="G112" s="39">
        <f t="shared" si="35"/>
        <v>0.2377342067</v>
      </c>
      <c r="H112" s="39">
        <f t="shared" si="35"/>
        <v>0.4125044343</v>
      </c>
      <c r="I112" s="39">
        <f t="shared" si="35"/>
        <v>0.391215147</v>
      </c>
      <c r="J112" s="39">
        <f t="shared" si="35"/>
        <v>0.4211648478</v>
      </c>
      <c r="K112" s="39">
        <f t="shared" si="35"/>
        <v>0</v>
      </c>
      <c r="L112" s="39">
        <f t="shared" si="35"/>
        <v>0</v>
      </c>
      <c r="M112" s="39">
        <f t="shared" si="35"/>
        <v>0</v>
      </c>
      <c r="N112" s="39">
        <f t="shared" si="35"/>
        <v>0</v>
      </c>
      <c r="O112" s="39">
        <f t="shared" si="35"/>
        <v>0</v>
      </c>
      <c r="P112" s="39">
        <f t="shared" si="35"/>
        <v>0</v>
      </c>
    </row>
    <row r="113" ht="15.75" customHeight="1">
      <c r="A113" s="5" t="s">
        <v>81</v>
      </c>
      <c r="B113" s="39">
        <f t="shared" ref="B113:J113" si="36">B95/B106</f>
        <v>0.4152061683</v>
      </c>
      <c r="C113" s="39">
        <f t="shared" si="36"/>
        <v>0.4121060587</v>
      </c>
      <c r="D113" s="39">
        <f t="shared" si="36"/>
        <v>0.4408217398</v>
      </c>
      <c r="E113" s="39">
        <f t="shared" si="36"/>
        <v>0.4594576993</v>
      </c>
      <c r="F113" s="39">
        <f t="shared" si="36"/>
        <v>0.4550239155</v>
      </c>
      <c r="G113" s="39">
        <f t="shared" si="36"/>
        <v>0.4678848881</v>
      </c>
      <c r="H113" s="39">
        <f t="shared" si="36"/>
        <v>0.4531046516</v>
      </c>
      <c r="I113" s="39">
        <f t="shared" si="36"/>
        <v>0.4318387526</v>
      </c>
      <c r="J113" s="39">
        <f t="shared" si="36"/>
        <v>0.43659539</v>
      </c>
      <c r="K113" s="40">
        <v>0.46</v>
      </c>
      <c r="L113" s="40">
        <v>0.46</v>
      </c>
      <c r="M113" s="40">
        <v>0.46</v>
      </c>
      <c r="N113" s="40">
        <v>0.46</v>
      </c>
      <c r="O113" s="40">
        <v>0.46</v>
      </c>
      <c r="P113" s="40">
        <v>0.46</v>
      </c>
    </row>
    <row r="114" ht="15.75" customHeight="1">
      <c r="A114" s="5"/>
    </row>
    <row r="115" ht="15.75" customHeight="1">
      <c r="A115" s="5"/>
    </row>
    <row r="116" ht="15.75" customHeight="1">
      <c r="A116" s="5" t="s">
        <v>82</v>
      </c>
      <c r="B116" s="44">
        <f t="shared" ref="B116:J116" si="37">B3/B95*POWER(10,6)</f>
        <v>399241.4193</v>
      </c>
      <c r="C116" s="44">
        <f t="shared" si="37"/>
        <v>434048.6407</v>
      </c>
      <c r="D116" s="44">
        <f t="shared" si="37"/>
        <v>448474.7473</v>
      </c>
      <c r="E116" s="44">
        <f t="shared" si="37"/>
        <v>462125.4059</v>
      </c>
      <c r="F116" s="44">
        <f t="shared" si="37"/>
        <v>483977.1329</v>
      </c>
      <c r="G116" s="44">
        <f t="shared" si="37"/>
        <v>482707.1991</v>
      </c>
      <c r="H116" s="44">
        <f t="shared" si="37"/>
        <v>534472.7538</v>
      </c>
      <c r="I116" s="44">
        <f t="shared" si="37"/>
        <v>602238.1653</v>
      </c>
      <c r="J116" s="44">
        <f t="shared" si="37"/>
        <v>664340.711</v>
      </c>
      <c r="K116" s="44">
        <f t="shared" ref="K116:P116" si="38">J116*(1+K117)</f>
        <v>730774.7821</v>
      </c>
      <c r="L116" s="44">
        <f t="shared" si="38"/>
        <v>803852.2603</v>
      </c>
      <c r="M116" s="44">
        <f t="shared" si="38"/>
        <v>884237.4863</v>
      </c>
      <c r="N116" s="44">
        <f t="shared" si="38"/>
        <v>972661.235</v>
      </c>
      <c r="O116" s="44">
        <f t="shared" si="38"/>
        <v>1069927.358</v>
      </c>
      <c r="P116" s="44">
        <f t="shared" si="38"/>
        <v>1176920.094</v>
      </c>
    </row>
    <row r="117" ht="15.75" customHeight="1">
      <c r="A117" s="5" t="s">
        <v>83</v>
      </c>
      <c r="C117" s="39">
        <f t="shared" ref="C117:J117" si="39">(C116-B116)/B116</f>
        <v>0.08718339278</v>
      </c>
      <c r="D117" s="39">
        <f t="shared" si="39"/>
        <v>0.03323615199</v>
      </c>
      <c r="E117" s="39">
        <f t="shared" si="39"/>
        <v>0.03043796469</v>
      </c>
      <c r="F117" s="39">
        <f t="shared" si="39"/>
        <v>0.04728527542</v>
      </c>
      <c r="G117" s="39">
        <f t="shared" si="39"/>
        <v>-0.002623954209</v>
      </c>
      <c r="H117" s="39">
        <f t="shared" si="39"/>
        <v>0.1072400718</v>
      </c>
      <c r="I117" s="39">
        <f t="shared" si="39"/>
        <v>0.1267892722</v>
      </c>
      <c r="J117" s="39">
        <f t="shared" si="39"/>
        <v>0.1031195784</v>
      </c>
      <c r="K117" s="40">
        <v>0.1</v>
      </c>
      <c r="L117" s="40">
        <v>0.1</v>
      </c>
      <c r="M117" s="40">
        <v>0.1</v>
      </c>
      <c r="N117" s="40">
        <v>0.1</v>
      </c>
      <c r="O117" s="40">
        <v>0.1</v>
      </c>
      <c r="P117" s="40">
        <v>0.1</v>
      </c>
    </row>
    <row r="118" ht="15.75" customHeight="1">
      <c r="A118" s="5"/>
    </row>
    <row r="119" ht="15.75" customHeight="1">
      <c r="A119" s="17" t="s">
        <v>84</v>
      </c>
    </row>
    <row r="120" ht="15.75" customHeight="1">
      <c r="A120" s="5"/>
    </row>
    <row r="121" ht="15.75" customHeight="1">
      <c r="A121" s="1" t="s">
        <v>5</v>
      </c>
      <c r="B121" s="39">
        <f t="shared" ref="B121:B126" si="40">B9/$B$3</f>
        <v>0.6344154991</v>
      </c>
      <c r="C121" s="39">
        <f t="shared" ref="C121:C126" si="41">C9/$C$3</f>
        <v>0.6260982595</v>
      </c>
      <c r="D121" s="39">
        <f t="shared" ref="D121:D126" si="42">D9/$D$3</f>
        <v>0.5631316612</v>
      </c>
      <c r="E121" s="39">
        <f t="shared" ref="E121:E126" si="43">E9/$E$3</f>
        <v>0.5231379657</v>
      </c>
      <c r="F121" s="39">
        <f t="shared" ref="F121:F126" si="44">F9/$F$3</f>
        <v>0.4577689664</v>
      </c>
      <c r="G121" s="39">
        <f t="shared" ref="G121:G126" si="45">G9/$G$3</f>
        <v>0.4731484113</v>
      </c>
      <c r="H121" s="39">
        <f t="shared" ref="H121:H126" si="46">H9/$H$3</f>
        <v>0.4499002602</v>
      </c>
      <c r="I121" s="39">
        <f t="shared" ref="I121:I126" si="47">I9/$I$3</f>
        <v>0.6194769187</v>
      </c>
      <c r="J121" s="39">
        <f t="shared" ref="J121:J126" si="48">J9/$J$3</f>
        <v>0.5562970628</v>
      </c>
      <c r="K121" s="40">
        <v>0.6</v>
      </c>
      <c r="L121" s="40">
        <v>0.6</v>
      </c>
      <c r="M121" s="40">
        <v>0.6</v>
      </c>
      <c r="N121" s="40">
        <v>0.6</v>
      </c>
      <c r="O121" s="40">
        <v>0.6</v>
      </c>
      <c r="P121" s="40">
        <v>0.6</v>
      </c>
    </row>
    <row r="122" ht="15.75" customHeight="1">
      <c r="A122" s="1" t="s">
        <v>6</v>
      </c>
      <c r="B122" s="39">
        <f t="shared" si="40"/>
        <v>0.05558038257</v>
      </c>
      <c r="C122" s="39">
        <f t="shared" si="41"/>
        <v>0.06599985312</v>
      </c>
      <c r="D122" s="39">
        <f t="shared" si="42"/>
        <v>0.1253248364</v>
      </c>
      <c r="E122" s="39">
        <f t="shared" si="43"/>
        <v>0.1663895618</v>
      </c>
      <c r="F122" s="39">
        <f t="shared" si="44"/>
        <v>0.2480465239</v>
      </c>
      <c r="G122" s="39">
        <f t="shared" si="45"/>
        <v>0.2451841642</v>
      </c>
      <c r="H122" s="39">
        <f t="shared" si="46"/>
        <v>0.2988515767</v>
      </c>
      <c r="I122" s="39">
        <f t="shared" si="47"/>
        <v>0.1073786905</v>
      </c>
      <c r="J122" s="39">
        <f t="shared" si="48"/>
        <v>0.1494746162</v>
      </c>
      <c r="K122" s="37">
        <v>0.08</v>
      </c>
      <c r="L122" s="38">
        <f t="shared" ref="L122:P122" si="49">K122</f>
        <v>0.08</v>
      </c>
      <c r="M122" s="38">
        <f t="shared" si="49"/>
        <v>0.08</v>
      </c>
      <c r="N122" s="38">
        <f t="shared" si="49"/>
        <v>0.08</v>
      </c>
      <c r="O122" s="38">
        <f t="shared" si="49"/>
        <v>0.08</v>
      </c>
      <c r="P122" s="38">
        <f t="shared" si="49"/>
        <v>0.08</v>
      </c>
    </row>
    <row r="123" ht="15.75" customHeight="1">
      <c r="A123" s="1" t="s">
        <v>8</v>
      </c>
      <c r="B123" s="39">
        <f t="shared" si="40"/>
        <v>0.0001104071922</v>
      </c>
      <c r="C123" s="39">
        <f t="shared" si="41"/>
        <v>-0.005570977455</v>
      </c>
      <c r="D123" s="39">
        <f t="shared" si="42"/>
        <v>0.0005112179768</v>
      </c>
      <c r="E123" s="39">
        <f t="shared" si="43"/>
        <v>0.002458506887</v>
      </c>
      <c r="F123" s="39">
        <f t="shared" si="44"/>
        <v>-0.003154903516</v>
      </c>
      <c r="G123" s="39">
        <f t="shared" si="45"/>
        <v>0.003887909964</v>
      </c>
      <c r="H123" s="39">
        <f t="shared" si="46"/>
        <v>-0.001054004424</v>
      </c>
      <c r="I123" s="39">
        <f t="shared" si="47"/>
        <v>-0.004902461703</v>
      </c>
      <c r="J123" s="39">
        <f t="shared" si="48"/>
        <v>-0.002668862286</v>
      </c>
      <c r="K123" s="38">
        <f t="shared" ref="K123:P123" si="50">J123</f>
        <v>-0.002668862286</v>
      </c>
      <c r="L123" s="38">
        <f t="shared" si="50"/>
        <v>-0.002668862286</v>
      </c>
      <c r="M123" s="38">
        <f t="shared" si="50"/>
        <v>-0.002668862286</v>
      </c>
      <c r="N123" s="38">
        <f t="shared" si="50"/>
        <v>-0.002668862286</v>
      </c>
      <c r="O123" s="38">
        <f t="shared" si="50"/>
        <v>-0.002668862286</v>
      </c>
      <c r="P123" s="38">
        <f t="shared" si="50"/>
        <v>-0.002668862286</v>
      </c>
    </row>
    <row r="124" ht="15.75" customHeight="1">
      <c r="A124" s="1" t="s">
        <v>10</v>
      </c>
      <c r="B124" s="39">
        <f t="shared" si="40"/>
        <v>0.03610490436</v>
      </c>
      <c r="C124" s="39">
        <f t="shared" si="41"/>
        <v>0.03466696042</v>
      </c>
      <c r="D124" s="39">
        <f t="shared" si="42"/>
        <v>0.03587797929</v>
      </c>
      <c r="E124" s="39">
        <f t="shared" si="43"/>
        <v>0.03816727374</v>
      </c>
      <c r="F124" s="39">
        <f t="shared" si="44"/>
        <v>0.04515199577</v>
      </c>
      <c r="G124" s="39">
        <f t="shared" si="45"/>
        <v>0.04876371284</v>
      </c>
      <c r="H124" s="39">
        <f t="shared" si="46"/>
        <v>0.04586674033</v>
      </c>
      <c r="I124" s="39">
        <f t="shared" si="47"/>
        <v>0.04483155547</v>
      </c>
      <c r="J124" s="39">
        <f t="shared" si="48"/>
        <v>0.04442182405</v>
      </c>
      <c r="K124" s="37">
        <v>0.04</v>
      </c>
      <c r="L124" s="38">
        <f t="shared" ref="L124:P124" si="51">K124</f>
        <v>0.04</v>
      </c>
      <c r="M124" s="38">
        <f t="shared" si="51"/>
        <v>0.04</v>
      </c>
      <c r="N124" s="38">
        <f t="shared" si="51"/>
        <v>0.04</v>
      </c>
      <c r="O124" s="38">
        <f t="shared" si="51"/>
        <v>0.04</v>
      </c>
      <c r="P124" s="38">
        <f t="shared" si="51"/>
        <v>0.04</v>
      </c>
    </row>
    <row r="125" ht="15.75" customHeight="1">
      <c r="A125" s="1" t="s">
        <v>12</v>
      </c>
      <c r="B125" s="39">
        <f t="shared" si="40"/>
        <v>0.1422097211</v>
      </c>
      <c r="C125" s="39">
        <f t="shared" si="41"/>
        <v>0.1281927003</v>
      </c>
      <c r="D125" s="39">
        <f t="shared" si="42"/>
        <v>0.1252433924</v>
      </c>
      <c r="E125" s="39">
        <f t="shared" si="43"/>
        <v>0.1434229712</v>
      </c>
      <c r="F125" s="39">
        <f t="shared" si="44"/>
        <v>0.1571451229</v>
      </c>
      <c r="G125" s="39">
        <f t="shared" si="45"/>
        <v>0.1540030126</v>
      </c>
      <c r="H125" s="39">
        <f t="shared" si="46"/>
        <v>0.1434702671</v>
      </c>
      <c r="I125" s="39">
        <f t="shared" si="47"/>
        <v>0.123951629</v>
      </c>
      <c r="J125" s="39">
        <f t="shared" si="48"/>
        <v>0.1237157951</v>
      </c>
      <c r="K125" s="38">
        <f t="shared" ref="K125:P125" si="52">J125</f>
        <v>0.1237157951</v>
      </c>
      <c r="L125" s="38">
        <f t="shared" si="52"/>
        <v>0.1237157951</v>
      </c>
      <c r="M125" s="38">
        <f t="shared" si="52"/>
        <v>0.1237157951</v>
      </c>
      <c r="N125" s="38">
        <f t="shared" si="52"/>
        <v>0.1237157951</v>
      </c>
      <c r="O125" s="38">
        <f t="shared" si="52"/>
        <v>0.1237157951</v>
      </c>
      <c r="P125" s="38">
        <f t="shared" si="52"/>
        <v>0.1237157951</v>
      </c>
    </row>
    <row r="126" ht="15.75" customHeight="1">
      <c r="A126" s="1" t="s">
        <v>85</v>
      </c>
      <c r="B126" s="39">
        <f t="shared" si="40"/>
        <v>-0.001055002059</v>
      </c>
      <c r="C126" s="39">
        <f t="shared" si="41"/>
        <v>-0.001521627378</v>
      </c>
      <c r="D126" s="39">
        <f t="shared" si="42"/>
        <v>-0.00124170837</v>
      </c>
      <c r="E126" s="39">
        <f t="shared" si="43"/>
        <v>-0.001418637481</v>
      </c>
      <c r="F126" s="39">
        <f t="shared" si="44"/>
        <v>-0.001608511763</v>
      </c>
      <c r="G126" s="39">
        <f t="shared" si="45"/>
        <v>-0.001034502359</v>
      </c>
      <c r="H126" s="39">
        <f t="shared" si="46"/>
        <v>-0.001635914493</v>
      </c>
      <c r="I126" s="39">
        <f t="shared" si="47"/>
        <v>-0.001321680028</v>
      </c>
      <c r="J126" s="39">
        <f t="shared" si="48"/>
        <v>-0.001837750655</v>
      </c>
      <c r="K126" s="38">
        <f t="shared" ref="K126:P126" si="53">J126</f>
        <v>-0.001837750655</v>
      </c>
      <c r="L126" s="38">
        <f t="shared" si="53"/>
        <v>-0.001837750655</v>
      </c>
      <c r="M126" s="38">
        <f t="shared" si="53"/>
        <v>-0.001837750655</v>
      </c>
      <c r="N126" s="38">
        <f t="shared" si="53"/>
        <v>-0.001837750655</v>
      </c>
      <c r="O126" s="38">
        <f t="shared" si="53"/>
        <v>-0.001837750655</v>
      </c>
      <c r="P126" s="38">
        <f t="shared" si="53"/>
        <v>-0.001837750655</v>
      </c>
    </row>
    <row r="127" ht="15.75" customHeight="1">
      <c r="A127" s="5"/>
    </row>
    <row r="128" ht="15.75" customHeight="1">
      <c r="A128" s="5"/>
    </row>
    <row r="129" ht="15.75" customHeight="1">
      <c r="A129" s="18" t="s">
        <v>86</v>
      </c>
    </row>
    <row r="130" ht="15.75" customHeight="1">
      <c r="A130" s="5"/>
    </row>
    <row r="131" ht="15.75" customHeight="1">
      <c r="A131" s="1" t="s">
        <v>5</v>
      </c>
    </row>
    <row r="132" ht="15.75" customHeight="1">
      <c r="A132" s="1" t="s">
        <v>6</v>
      </c>
    </row>
    <row r="133" ht="15.75" customHeight="1">
      <c r="A133" s="1" t="s">
        <v>8</v>
      </c>
    </row>
    <row r="134" ht="15.75" customHeight="1">
      <c r="A134" s="1" t="s">
        <v>10</v>
      </c>
    </row>
    <row r="135" ht="15.75" customHeight="1">
      <c r="A135" s="1" t="s">
        <v>12</v>
      </c>
    </row>
    <row r="136" ht="15.75" customHeight="1">
      <c r="A136" s="1" t="s">
        <v>85</v>
      </c>
    </row>
    <row r="137" ht="15.75" customHeight="1">
      <c r="A137" s="5"/>
    </row>
    <row r="138" ht="15.75" customHeight="1">
      <c r="A138" s="1" t="s">
        <v>83</v>
      </c>
    </row>
    <row r="139" ht="15.75" customHeight="1">
      <c r="A139" s="1" t="s">
        <v>5</v>
      </c>
    </row>
    <row r="140" ht="15.75" customHeight="1">
      <c r="A140" s="1" t="s">
        <v>6</v>
      </c>
    </row>
    <row r="141" ht="15.75" customHeight="1">
      <c r="A141" s="1" t="s">
        <v>8</v>
      </c>
    </row>
    <row r="142" ht="15.75" customHeight="1">
      <c r="A142" s="1" t="s">
        <v>10</v>
      </c>
    </row>
    <row r="143" ht="15.75" customHeight="1">
      <c r="A143" s="1" t="s">
        <v>12</v>
      </c>
    </row>
    <row r="144" ht="15.75" customHeight="1">
      <c r="A144" s="1" t="s">
        <v>85</v>
      </c>
    </row>
    <row r="145" ht="15.75" customHeight="1">
      <c r="A145" s="5"/>
    </row>
    <row r="146" ht="15.75" customHeight="1">
      <c r="A146" s="5"/>
    </row>
    <row r="147" ht="15.75" customHeight="1">
      <c r="A147" s="5"/>
    </row>
    <row r="148" ht="15.75" customHeight="1">
      <c r="A148" s="18" t="s">
        <v>87</v>
      </c>
    </row>
    <row r="149" ht="15.75" customHeight="1">
      <c r="A149" s="5"/>
    </row>
    <row r="150" ht="15.75" customHeight="1">
      <c r="A150" s="5" t="s">
        <v>60</v>
      </c>
    </row>
    <row r="151" ht="15.75" customHeight="1">
      <c r="A151" s="16" t="s">
        <v>61</v>
      </c>
    </row>
    <row r="152" ht="15.75" customHeight="1">
      <c r="A152" s="16" t="s">
        <v>62</v>
      </c>
    </row>
    <row r="153" ht="15.75" customHeight="1">
      <c r="A153" s="16" t="s">
        <v>64</v>
      </c>
    </row>
    <row r="154" ht="15.75" customHeight="1">
      <c r="A154" s="16" t="s">
        <v>65</v>
      </c>
    </row>
    <row r="155" ht="15.75" customHeight="1">
      <c r="A155" s="16" t="s">
        <v>66</v>
      </c>
    </row>
    <row r="156" ht="15.75" customHeight="1">
      <c r="A156" s="1" t="s">
        <v>57</v>
      </c>
    </row>
    <row r="157" ht="15.75" customHeight="1">
      <c r="A157" s="5"/>
    </row>
    <row r="158" ht="15.75" customHeight="1">
      <c r="A158" s="5" t="s">
        <v>42</v>
      </c>
    </row>
    <row r="159" ht="15.75" customHeight="1">
      <c r="A159" s="1" t="s">
        <v>43</v>
      </c>
    </row>
    <row r="160" ht="15.75" customHeight="1">
      <c r="A160" s="1" t="s">
        <v>44</v>
      </c>
    </row>
    <row r="161" ht="15.75" customHeight="1">
      <c r="A161" s="1" t="s">
        <v>45</v>
      </c>
    </row>
    <row r="162" ht="15.75" customHeight="1">
      <c r="A162" s="1" t="s">
        <v>46</v>
      </c>
    </row>
    <row r="163" ht="15.75" customHeight="1">
      <c r="A163" s="1" t="s">
        <v>47</v>
      </c>
    </row>
    <row r="164" ht="15.75" customHeight="1">
      <c r="A164" s="1" t="s">
        <v>48</v>
      </c>
    </row>
    <row r="165" ht="15.75" customHeight="1">
      <c r="A165" s="5"/>
    </row>
    <row r="166" ht="15.75" customHeight="1">
      <c r="A166" s="1" t="s">
        <v>88</v>
      </c>
    </row>
    <row r="167" ht="15.75" customHeight="1">
      <c r="A167" s="5"/>
    </row>
    <row r="168" ht="15.75" customHeight="1">
      <c r="A168" s="18" t="s">
        <v>89</v>
      </c>
    </row>
    <row r="169" ht="15.75" customHeight="1">
      <c r="A169" s="5" t="s">
        <v>60</v>
      </c>
    </row>
    <row r="170" ht="15.75" customHeight="1">
      <c r="A170" s="16" t="s">
        <v>61</v>
      </c>
    </row>
    <row r="171" ht="15.75" customHeight="1">
      <c r="A171" s="16" t="s">
        <v>62</v>
      </c>
    </row>
    <row r="172" ht="15.75" customHeight="1">
      <c r="A172" s="16" t="s">
        <v>64</v>
      </c>
    </row>
    <row r="173" ht="15.75" customHeight="1">
      <c r="A173" s="16" t="s">
        <v>65</v>
      </c>
    </row>
    <row r="174" ht="15.75" customHeight="1">
      <c r="A174" s="16" t="s">
        <v>66</v>
      </c>
    </row>
    <row r="175" ht="15.75" customHeight="1">
      <c r="A175" s="1" t="s">
        <v>57</v>
      </c>
    </row>
    <row r="176" ht="15.75" customHeight="1">
      <c r="A176" s="5"/>
    </row>
    <row r="177" ht="15.75" customHeight="1">
      <c r="A177" s="5" t="s">
        <v>42</v>
      </c>
    </row>
    <row r="178" ht="15.75" customHeight="1">
      <c r="A178" s="1" t="s">
        <v>43</v>
      </c>
    </row>
    <row r="179" ht="15.75" customHeight="1">
      <c r="A179" s="1" t="s">
        <v>44</v>
      </c>
    </row>
    <row r="180" ht="15.75" customHeight="1">
      <c r="A180" s="1" t="s">
        <v>45</v>
      </c>
    </row>
    <row r="181" ht="15.75" customHeight="1">
      <c r="A181" s="1" t="s">
        <v>46</v>
      </c>
    </row>
    <row r="182" ht="15.75" customHeight="1">
      <c r="A182" s="1" t="s">
        <v>47</v>
      </c>
    </row>
    <row r="183" ht="15.75" customHeight="1">
      <c r="A183" s="1" t="s">
        <v>48</v>
      </c>
    </row>
    <row r="184" ht="15.75" customHeight="1">
      <c r="A184" s="5"/>
    </row>
    <row r="185" ht="15.75" customHeight="1">
      <c r="A185" s="1" t="s">
        <v>90</v>
      </c>
    </row>
    <row r="186" ht="15.75" customHeight="1">
      <c r="A186" s="1" t="s">
        <v>91</v>
      </c>
    </row>
    <row r="187" ht="15.75" customHeight="1">
      <c r="A187" s="5"/>
    </row>
    <row r="188" ht="15.75" customHeight="1">
      <c r="A188" s="5"/>
    </row>
    <row r="189" ht="15.75" customHeight="1">
      <c r="A189" s="5"/>
    </row>
    <row r="190" ht="15.75" customHeight="1">
      <c r="A190" s="18" t="s">
        <v>92</v>
      </c>
    </row>
    <row r="191" ht="15.75" customHeight="1">
      <c r="A191" s="5" t="s">
        <v>93</v>
      </c>
    </row>
    <row r="192" ht="15.75" customHeight="1">
      <c r="A192" s="5" t="s">
        <v>94</v>
      </c>
    </row>
    <row r="193" ht="15.75" customHeight="1">
      <c r="A193" s="5" t="s">
        <v>49</v>
      </c>
    </row>
    <row r="194" ht="15.75" customHeight="1">
      <c r="A194" s="5"/>
    </row>
    <row r="195" ht="15.75" customHeight="1">
      <c r="A195" s="5" t="s">
        <v>95</v>
      </c>
    </row>
    <row r="196" ht="15.75" customHeight="1">
      <c r="A196" s="5"/>
    </row>
    <row r="197" ht="15.75" customHeight="1">
      <c r="A197" s="5" t="s">
        <v>96</v>
      </c>
    </row>
    <row r="198" ht="15.75" customHeight="1">
      <c r="A198" s="5" t="s">
        <v>97</v>
      </c>
    </row>
    <row r="199" ht="15.75" customHeight="1">
      <c r="A199" s="5" t="s">
        <v>98</v>
      </c>
    </row>
    <row r="200" ht="15.75" customHeight="1">
      <c r="A200" s="5"/>
    </row>
    <row r="201" ht="15.75" customHeight="1">
      <c r="A201" s="5" t="s">
        <v>99</v>
      </c>
    </row>
    <row r="202" ht="15.75" customHeight="1">
      <c r="A202" s="5" t="s">
        <v>100</v>
      </c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1"/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</row>
    <row r="5" ht="15.75" customHeight="1">
      <c r="A5" s="7"/>
    </row>
    <row r="6" ht="15.75" customHeight="1">
      <c r="A6" s="8" t="s">
        <v>3</v>
      </c>
      <c r="B6" s="9">
        <f t="shared" ref="B6:J6" si="2">SUM(B3:B4)</f>
        <v>586120</v>
      </c>
      <c r="C6" s="9">
        <f t="shared" si="2"/>
        <v>703746</v>
      </c>
      <c r="D6" s="9">
        <f t="shared" si="2"/>
        <v>818552</v>
      </c>
      <c r="E6" s="9">
        <f t="shared" si="2"/>
        <v>886301</v>
      </c>
      <c r="F6" s="9">
        <f t="shared" si="2"/>
        <v>789944</v>
      </c>
      <c r="G6" s="9">
        <f t="shared" si="2"/>
        <v>733083</v>
      </c>
      <c r="H6" s="9">
        <f t="shared" si="2"/>
        <v>900745</v>
      </c>
      <c r="I6" s="9">
        <f t="shared" si="2"/>
        <v>1206746</v>
      </c>
      <c r="J6" s="9">
        <f t="shared" si="2"/>
        <v>1459517</v>
      </c>
      <c r="K6" s="10"/>
      <c r="L6" s="10"/>
      <c r="M6" s="10"/>
      <c r="N6" s="10"/>
      <c r="O6" s="10"/>
      <c r="P6" s="10"/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</row>
    <row r="15" ht="15.75" customHeight="1">
      <c r="A15" s="7"/>
    </row>
    <row r="16" ht="15.75" customHeight="1">
      <c r="A16" s="8" t="s">
        <v>14</v>
      </c>
      <c r="B16" s="13">
        <f t="shared" ref="B16:J16" si="3">SUM(B9:B14)</f>
        <v>494932</v>
      </c>
      <c r="C16" s="13">
        <f t="shared" si="3"/>
        <v>577269</v>
      </c>
      <c r="D16" s="13">
        <f t="shared" si="3"/>
        <v>677460</v>
      </c>
      <c r="E16" s="13">
        <f t="shared" si="3"/>
        <v>750653</v>
      </c>
      <c r="F16" s="13">
        <f t="shared" si="3"/>
        <v>683474</v>
      </c>
      <c r="G16" s="13">
        <f t="shared" si="3"/>
        <v>650204</v>
      </c>
      <c r="H16" s="13">
        <f t="shared" si="3"/>
        <v>826236</v>
      </c>
      <c r="I16" s="13">
        <f t="shared" si="3"/>
        <v>1053155</v>
      </c>
      <c r="J16" s="13">
        <f t="shared" si="3"/>
        <v>1233319</v>
      </c>
      <c r="K16" s="14"/>
      <c r="L16" s="14"/>
      <c r="M16" s="14"/>
      <c r="N16" s="14"/>
      <c r="O16" s="14"/>
      <c r="P16" s="14"/>
    </row>
    <row r="17" ht="15.75" customHeight="1">
      <c r="A17" s="7"/>
    </row>
    <row r="18" ht="15.75" customHeight="1">
      <c r="A18" s="4" t="s">
        <v>15</v>
      </c>
      <c r="B18" s="6">
        <f t="shared" ref="B18:J18" si="4">B6-B16</f>
        <v>91188</v>
      </c>
      <c r="C18" s="6">
        <f t="shared" si="4"/>
        <v>126477</v>
      </c>
      <c r="D18" s="6">
        <f t="shared" si="4"/>
        <v>141092</v>
      </c>
      <c r="E18" s="6">
        <f t="shared" si="4"/>
        <v>135648</v>
      </c>
      <c r="F18" s="6">
        <f t="shared" si="4"/>
        <v>106470</v>
      </c>
      <c r="G18" s="6">
        <f t="shared" si="4"/>
        <v>82879</v>
      </c>
      <c r="H18" s="6">
        <f t="shared" si="4"/>
        <v>74509</v>
      </c>
      <c r="I18" s="6">
        <f t="shared" si="4"/>
        <v>153591</v>
      </c>
      <c r="J18" s="6">
        <f t="shared" si="4"/>
        <v>226198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</row>
    <row r="21" ht="15.75" customHeight="1">
      <c r="A21" s="7"/>
    </row>
    <row r="22" ht="15.75" customHeight="1">
      <c r="A22" s="7" t="s">
        <v>18</v>
      </c>
      <c r="B22" s="6">
        <f t="shared" ref="B22:J22" si="5">B18-B20</f>
        <v>62518</v>
      </c>
      <c r="C22" s="6">
        <f t="shared" si="5"/>
        <v>100438</v>
      </c>
      <c r="D22" s="6">
        <f t="shared" si="5"/>
        <v>113494</v>
      </c>
      <c r="E22" s="6">
        <f t="shared" si="5"/>
        <v>105440</v>
      </c>
      <c r="F22" s="6">
        <f t="shared" si="5"/>
        <v>71186</v>
      </c>
      <c r="G22" s="6">
        <f t="shared" si="5"/>
        <v>52538</v>
      </c>
      <c r="H22" s="6">
        <f t="shared" si="5"/>
        <v>46619</v>
      </c>
      <c r="I22" s="6">
        <f t="shared" si="5"/>
        <v>105131</v>
      </c>
      <c r="J22" s="6">
        <f t="shared" si="5"/>
        <v>173640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</row>
    <row r="25" ht="15.75" customHeight="1">
      <c r="A25" s="7"/>
    </row>
    <row r="26" ht="15.75" customHeight="1">
      <c r="A26" s="7" t="s">
        <v>23</v>
      </c>
      <c r="B26" s="6">
        <f t="shared" ref="B26:J26" si="6">B22-B24</f>
        <v>61581</v>
      </c>
      <c r="C26" s="6">
        <f t="shared" si="6"/>
        <v>99544</v>
      </c>
      <c r="D26" s="6">
        <f t="shared" si="6"/>
        <v>110036</v>
      </c>
      <c r="E26" s="6">
        <f t="shared" si="6"/>
        <v>104681</v>
      </c>
      <c r="F26" s="6">
        <f t="shared" si="6"/>
        <v>69844</v>
      </c>
      <c r="G26" s="6">
        <f t="shared" si="6"/>
        <v>51520</v>
      </c>
      <c r="H26" s="6">
        <f t="shared" si="6"/>
        <v>45353</v>
      </c>
      <c r="I26" s="6">
        <f t="shared" si="6"/>
        <v>102608</v>
      </c>
      <c r="J26" s="6">
        <f t="shared" si="6"/>
        <v>171704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</row>
    <row r="28" ht="15.75" customHeight="1">
      <c r="A28" s="7" t="s">
        <v>25</v>
      </c>
      <c r="B28" s="6">
        <f t="shared" ref="B28:J28" si="7">SUM(B26:B27)</f>
        <v>66296</v>
      </c>
      <c r="C28" s="6">
        <f t="shared" si="7"/>
        <v>101272</v>
      </c>
      <c r="D28" s="6">
        <f t="shared" si="7"/>
        <v>111669</v>
      </c>
      <c r="E28" s="6">
        <f t="shared" si="7"/>
        <v>102651</v>
      </c>
      <c r="F28" s="6">
        <f t="shared" si="7"/>
        <v>65427</v>
      </c>
      <c r="G28" s="6">
        <f t="shared" si="7"/>
        <v>56656</v>
      </c>
      <c r="H28" s="6">
        <f t="shared" si="7"/>
        <v>48482</v>
      </c>
      <c r="I28" s="6">
        <f t="shared" si="7"/>
        <v>103194</v>
      </c>
      <c r="J28" s="6">
        <f t="shared" si="7"/>
        <v>174373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</row>
    <row r="31" ht="15.75" customHeight="1">
      <c r="A31" s="7"/>
    </row>
    <row r="32" ht="15.75" customHeight="1">
      <c r="A32" s="7" t="s">
        <v>27</v>
      </c>
      <c r="B32" s="6">
        <f t="shared" ref="B32:J32" si="8">B28-B30</f>
        <v>46309</v>
      </c>
      <c r="C32" s="6">
        <f t="shared" si="8"/>
        <v>75110</v>
      </c>
      <c r="D32" s="6">
        <f t="shared" si="8"/>
        <v>78807</v>
      </c>
      <c r="E32" s="6">
        <f t="shared" si="8"/>
        <v>72919</v>
      </c>
      <c r="F32" s="6">
        <f t="shared" si="8"/>
        <v>51175</v>
      </c>
      <c r="G32" s="6">
        <f t="shared" si="8"/>
        <v>47337</v>
      </c>
      <c r="H32" s="6">
        <f t="shared" si="8"/>
        <v>40305</v>
      </c>
      <c r="I32" s="6">
        <f t="shared" si="8"/>
        <v>81449</v>
      </c>
      <c r="J32" s="6">
        <f t="shared" si="8"/>
        <v>135010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9">B32+B33</f>
        <v>46988</v>
      </c>
      <c r="C36" s="9">
        <f t="shared" si="9"/>
        <v>77326</v>
      </c>
      <c r="D36" s="9">
        <f t="shared" si="9"/>
        <v>82118</v>
      </c>
      <c r="E36" s="9">
        <f>E32+F33</f>
        <v>74103</v>
      </c>
      <c r="F36" s="9">
        <f t="shared" ref="F36:J36" si="10">F32+F33</f>
        <v>52359</v>
      </c>
      <c r="G36" s="9">
        <f t="shared" si="10"/>
        <v>49027</v>
      </c>
      <c r="H36" s="9">
        <f t="shared" si="10"/>
        <v>41924</v>
      </c>
      <c r="I36" s="9">
        <f t="shared" si="10"/>
        <v>83223</v>
      </c>
      <c r="J36" s="9">
        <f t="shared" si="10"/>
        <v>137551</v>
      </c>
      <c r="K36" s="10"/>
      <c r="L36" s="10"/>
      <c r="M36" s="10"/>
      <c r="N36" s="10"/>
      <c r="O36" s="10"/>
      <c r="P36" s="10"/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</row>
    <row r="42" ht="15.75" customHeight="1">
      <c r="A42" s="1" t="s">
        <v>32</v>
      </c>
    </row>
    <row r="43" ht="15.75" customHeight="1">
      <c r="A43" s="1" t="s">
        <v>33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</row>
    <row r="47" ht="15.75" customHeight="1">
      <c r="A47" s="7" t="s">
        <v>36</v>
      </c>
    </row>
    <row r="48" ht="15.75" customHeight="1">
      <c r="A48" s="7"/>
    </row>
    <row r="49" ht="15.75" customHeight="1">
      <c r="A49" s="7" t="s">
        <v>37</v>
      </c>
    </row>
    <row r="50" ht="15.75" customHeight="1">
      <c r="A50" s="1" t="s">
        <v>38</v>
      </c>
    </row>
    <row r="51" ht="15.75" customHeight="1">
      <c r="A51" s="1" t="s">
        <v>39</v>
      </c>
    </row>
    <row r="52" ht="15.75" customHeight="1">
      <c r="A52" s="1" t="s">
        <v>40</v>
      </c>
    </row>
    <row r="53" ht="15.75" customHeight="1">
      <c r="A53" s="1" t="s">
        <v>41</v>
      </c>
    </row>
    <row r="54" ht="15.75" customHeight="1">
      <c r="A54" s="7"/>
    </row>
    <row r="55" ht="15.75" customHeight="1">
      <c r="A55" s="1" t="s">
        <v>42</v>
      </c>
    </row>
    <row r="56" ht="15.75" customHeight="1">
      <c r="A56" s="1" t="s">
        <v>43</v>
      </c>
    </row>
    <row r="57" ht="15.75" customHeight="1">
      <c r="A57" s="1" t="s">
        <v>44</v>
      </c>
    </row>
    <row r="58" ht="15.75" customHeight="1">
      <c r="A58" s="1" t="s">
        <v>45</v>
      </c>
    </row>
    <row r="59" ht="15.75" customHeight="1">
      <c r="A59" s="1" t="s">
        <v>46</v>
      </c>
    </row>
    <row r="60" ht="15.75" customHeight="1">
      <c r="A60" s="1" t="s">
        <v>47</v>
      </c>
    </row>
    <row r="61" ht="15.75" customHeight="1">
      <c r="A61" s="1" t="s">
        <v>48</v>
      </c>
    </row>
    <row r="62" ht="15.75" customHeight="1">
      <c r="A62" s="8" t="s">
        <v>49</v>
      </c>
    </row>
    <row r="63" ht="15.75" customHeight="1">
      <c r="A63" s="7"/>
    </row>
    <row r="64" ht="15.75" customHeight="1">
      <c r="A64" s="7"/>
    </row>
    <row r="65" ht="15.75" customHeight="1">
      <c r="A65" s="4" t="s">
        <v>50</v>
      </c>
    </row>
    <row r="66" ht="15.75" customHeight="1">
      <c r="A66" s="7"/>
    </row>
    <row r="67" ht="15.75" customHeight="1">
      <c r="A67" s="1" t="s">
        <v>51</v>
      </c>
    </row>
    <row r="68" ht="15.75" customHeight="1">
      <c r="A68" s="16" t="s">
        <v>52</v>
      </c>
    </row>
    <row r="69" ht="15.75" customHeight="1">
      <c r="A69" s="16" t="s">
        <v>53</v>
      </c>
    </row>
    <row r="70" ht="15.75" customHeight="1">
      <c r="A70" s="16" t="s">
        <v>54</v>
      </c>
    </row>
    <row r="71" ht="15.75" customHeight="1">
      <c r="A71" s="16" t="s">
        <v>55</v>
      </c>
    </row>
    <row r="72" ht="15.75" customHeight="1">
      <c r="A72" s="1"/>
    </row>
    <row r="73" ht="15.75" customHeight="1">
      <c r="A73" s="1" t="s">
        <v>56</v>
      </c>
    </row>
    <row r="74" ht="15.75" customHeight="1">
      <c r="A74" s="1" t="s">
        <v>57</v>
      </c>
    </row>
    <row r="75" ht="15.75" customHeight="1">
      <c r="A75" s="1" t="s">
        <v>58</v>
      </c>
    </row>
    <row r="76" ht="15.75" customHeight="1">
      <c r="A76" s="1" t="s">
        <v>59</v>
      </c>
    </row>
    <row r="77" ht="15.75" customHeight="1">
      <c r="A77" s="1"/>
    </row>
    <row r="78" ht="15.75" customHeight="1">
      <c r="A78" s="1" t="s">
        <v>60</v>
      </c>
    </row>
    <row r="79" ht="15.75" customHeight="1">
      <c r="A79" s="1"/>
    </row>
    <row r="80" ht="15.75" customHeight="1">
      <c r="A80" s="16" t="s">
        <v>61</v>
      </c>
    </row>
    <row r="81" ht="15.75" customHeight="1">
      <c r="A81" s="16" t="s">
        <v>62</v>
      </c>
    </row>
    <row r="82" ht="15.75" customHeight="1">
      <c r="A82" s="16" t="s">
        <v>63</v>
      </c>
    </row>
    <row r="83" ht="15.75" customHeight="1">
      <c r="A83" s="16" t="s">
        <v>64</v>
      </c>
    </row>
    <row r="84" ht="15.75" customHeight="1">
      <c r="A84" s="16" t="s">
        <v>65</v>
      </c>
    </row>
    <row r="85" ht="15.75" customHeight="1">
      <c r="A85" s="16" t="s">
        <v>66</v>
      </c>
    </row>
    <row r="86" ht="15.75" customHeight="1">
      <c r="A86" s="16" t="s">
        <v>67</v>
      </c>
    </row>
    <row r="87" ht="15.75" customHeight="1">
      <c r="A87" s="1" t="s">
        <v>57</v>
      </c>
    </row>
    <row r="88" ht="15.75" customHeight="1">
      <c r="A88" s="8" t="s">
        <v>49</v>
      </c>
    </row>
    <row r="89" ht="15.75" customHeight="1">
      <c r="A89" s="1"/>
    </row>
    <row r="90" ht="15.75" customHeight="1">
      <c r="A90" s="5" t="s">
        <v>68</v>
      </c>
    </row>
    <row r="91" ht="15.75" customHeight="1">
      <c r="A91" s="5" t="s">
        <v>69</v>
      </c>
    </row>
    <row r="92" ht="15.75" customHeight="1">
      <c r="A92" s="5"/>
    </row>
    <row r="93" ht="15.75" customHeight="1">
      <c r="A93" s="5" t="s">
        <v>70</v>
      </c>
    </row>
    <row r="94" ht="15.75" customHeight="1">
      <c r="A94" s="5" t="s">
        <v>71</v>
      </c>
    </row>
    <row r="95" ht="15.75" customHeight="1">
      <c r="A95" s="5" t="s">
        <v>49</v>
      </c>
    </row>
    <row r="96" ht="15.75" customHeight="1">
      <c r="A96" s="5"/>
    </row>
    <row r="97" ht="15.75" customHeight="1">
      <c r="A97" s="5" t="s">
        <v>72</v>
      </c>
    </row>
    <row r="98" ht="15.75" customHeight="1">
      <c r="A98" s="5"/>
    </row>
    <row r="99" ht="15.75" customHeight="1">
      <c r="A99" s="17" t="s">
        <v>73</v>
      </c>
    </row>
    <row r="100" ht="15.75" customHeight="1">
      <c r="A100" s="5" t="s">
        <v>74</v>
      </c>
    </row>
    <row r="101" ht="15.75" customHeight="1">
      <c r="A101" s="5" t="s">
        <v>75</v>
      </c>
    </row>
    <row r="102" ht="15.75" customHeight="1">
      <c r="A102" s="5"/>
    </row>
    <row r="103" ht="15.75" customHeight="1">
      <c r="A103" s="17" t="s">
        <v>76</v>
      </c>
    </row>
    <row r="104" ht="15.75" customHeight="1">
      <c r="A104" s="5" t="s">
        <v>77</v>
      </c>
    </row>
    <row r="105" ht="15.75" customHeight="1">
      <c r="A105" s="5" t="s">
        <v>71</v>
      </c>
    </row>
    <row r="106" ht="15.75" customHeight="1">
      <c r="A106" s="5" t="s">
        <v>49</v>
      </c>
    </row>
    <row r="107" ht="15.75" customHeight="1">
      <c r="A107" s="5" t="s">
        <v>78</v>
      </c>
    </row>
    <row r="108" ht="15.75" customHeight="1">
      <c r="A108" s="5" t="s">
        <v>79</v>
      </c>
    </row>
    <row r="109" ht="15.75" customHeight="1">
      <c r="A109" s="5"/>
    </row>
    <row r="110" ht="15.75" customHeight="1">
      <c r="A110" s="17" t="s">
        <v>80</v>
      </c>
    </row>
    <row r="111" ht="15.75" customHeight="1">
      <c r="A111" s="5" t="s">
        <v>70</v>
      </c>
    </row>
    <row r="112" ht="15.75" customHeight="1">
      <c r="A112" s="5" t="s">
        <v>71</v>
      </c>
    </row>
    <row r="113" ht="15.75" customHeight="1">
      <c r="A113" s="5" t="s">
        <v>81</v>
      </c>
    </row>
    <row r="114" ht="15.75" customHeight="1">
      <c r="A114" s="5"/>
    </row>
    <row r="115" ht="15.75" customHeight="1">
      <c r="A115" s="5"/>
    </row>
    <row r="116" ht="15.75" customHeight="1">
      <c r="A116" s="5" t="s">
        <v>82</v>
      </c>
    </row>
    <row r="117" ht="15.75" customHeight="1">
      <c r="A117" s="5" t="s">
        <v>83</v>
      </c>
    </row>
    <row r="118" ht="15.75" customHeight="1">
      <c r="A118" s="5"/>
    </row>
    <row r="119" ht="15.75" customHeight="1">
      <c r="A119" s="17" t="s">
        <v>84</v>
      </c>
    </row>
    <row r="120" ht="15.75" customHeight="1">
      <c r="A120" s="5"/>
    </row>
    <row r="121" ht="15.75" customHeight="1">
      <c r="A121" s="1" t="s">
        <v>5</v>
      </c>
    </row>
    <row r="122" ht="15.75" customHeight="1">
      <c r="A122" s="1" t="s">
        <v>6</v>
      </c>
    </row>
    <row r="123" ht="15.75" customHeight="1">
      <c r="A123" s="1" t="s">
        <v>8</v>
      </c>
    </row>
    <row r="124" ht="15.75" customHeight="1">
      <c r="A124" s="1" t="s">
        <v>10</v>
      </c>
    </row>
    <row r="125" ht="15.75" customHeight="1">
      <c r="A125" s="1" t="s">
        <v>12</v>
      </c>
    </row>
    <row r="126" ht="15.75" customHeight="1">
      <c r="A126" s="1" t="s">
        <v>85</v>
      </c>
    </row>
    <row r="127" ht="15.75" customHeight="1">
      <c r="A127" s="5"/>
    </row>
    <row r="128" ht="15.75" customHeight="1">
      <c r="A128" s="5"/>
    </row>
    <row r="129" ht="15.75" customHeight="1">
      <c r="A129" s="18" t="s">
        <v>86</v>
      </c>
    </row>
    <row r="130" ht="15.75" customHeight="1">
      <c r="A130" s="5"/>
    </row>
    <row r="131" ht="15.75" customHeight="1">
      <c r="A131" s="1" t="s">
        <v>5</v>
      </c>
    </row>
    <row r="132" ht="15.75" customHeight="1">
      <c r="A132" s="1" t="s">
        <v>6</v>
      </c>
    </row>
    <row r="133" ht="15.75" customHeight="1">
      <c r="A133" s="1" t="s">
        <v>8</v>
      </c>
    </row>
    <row r="134" ht="15.75" customHeight="1">
      <c r="A134" s="1" t="s">
        <v>10</v>
      </c>
    </row>
    <row r="135" ht="15.75" customHeight="1">
      <c r="A135" s="1" t="s">
        <v>12</v>
      </c>
    </row>
    <row r="136" ht="15.75" customHeight="1">
      <c r="A136" s="1" t="s">
        <v>85</v>
      </c>
    </row>
    <row r="137" ht="15.75" customHeight="1">
      <c r="A137" s="5"/>
    </row>
    <row r="138" ht="15.75" customHeight="1">
      <c r="A138" s="1" t="s">
        <v>83</v>
      </c>
    </row>
    <row r="139" ht="15.75" customHeight="1">
      <c r="A139" s="1" t="s">
        <v>5</v>
      </c>
    </row>
    <row r="140" ht="15.75" customHeight="1">
      <c r="A140" s="1" t="s">
        <v>6</v>
      </c>
    </row>
    <row r="141" ht="15.75" customHeight="1">
      <c r="A141" s="1" t="s">
        <v>8</v>
      </c>
    </row>
    <row r="142" ht="15.75" customHeight="1">
      <c r="A142" s="1" t="s">
        <v>10</v>
      </c>
    </row>
    <row r="143" ht="15.75" customHeight="1">
      <c r="A143" s="1" t="s">
        <v>12</v>
      </c>
    </row>
    <row r="144" ht="15.75" customHeight="1">
      <c r="A144" s="1" t="s">
        <v>85</v>
      </c>
    </row>
    <row r="145" ht="15.75" customHeight="1">
      <c r="A145" s="5"/>
    </row>
    <row r="146" ht="15.75" customHeight="1">
      <c r="A146" s="5"/>
    </row>
    <row r="147" ht="15.75" customHeight="1">
      <c r="A147" s="5"/>
    </row>
    <row r="148" ht="15.75" customHeight="1">
      <c r="A148" s="18" t="s">
        <v>87</v>
      </c>
    </row>
    <row r="149" ht="15.75" customHeight="1">
      <c r="A149" s="5"/>
    </row>
    <row r="150" ht="15.75" customHeight="1">
      <c r="A150" s="5" t="s">
        <v>60</v>
      </c>
    </row>
    <row r="151" ht="15.75" customHeight="1">
      <c r="A151" s="16" t="s">
        <v>61</v>
      </c>
    </row>
    <row r="152" ht="15.75" customHeight="1">
      <c r="A152" s="16" t="s">
        <v>62</v>
      </c>
    </row>
    <row r="153" ht="15.75" customHeight="1">
      <c r="A153" s="16" t="s">
        <v>64</v>
      </c>
    </row>
    <row r="154" ht="15.75" customHeight="1">
      <c r="A154" s="16" t="s">
        <v>65</v>
      </c>
    </row>
    <row r="155" ht="15.75" customHeight="1">
      <c r="A155" s="16" t="s">
        <v>66</v>
      </c>
    </row>
    <row r="156" ht="15.75" customHeight="1">
      <c r="A156" s="1" t="s">
        <v>57</v>
      </c>
    </row>
    <row r="157" ht="15.75" customHeight="1">
      <c r="A157" s="5"/>
    </row>
    <row r="158" ht="15.75" customHeight="1">
      <c r="A158" s="5" t="s">
        <v>42</v>
      </c>
    </row>
    <row r="159" ht="15.75" customHeight="1">
      <c r="A159" s="1" t="s">
        <v>43</v>
      </c>
    </row>
    <row r="160" ht="15.75" customHeight="1">
      <c r="A160" s="1" t="s">
        <v>44</v>
      </c>
    </row>
    <row r="161" ht="15.75" customHeight="1">
      <c r="A161" s="1" t="s">
        <v>45</v>
      </c>
    </row>
    <row r="162" ht="15.75" customHeight="1">
      <c r="A162" s="1" t="s">
        <v>46</v>
      </c>
    </row>
    <row r="163" ht="15.75" customHeight="1">
      <c r="A163" s="1" t="s">
        <v>47</v>
      </c>
    </row>
    <row r="164" ht="15.75" customHeight="1">
      <c r="A164" s="1" t="s">
        <v>48</v>
      </c>
    </row>
    <row r="165" ht="15.75" customHeight="1">
      <c r="A165" s="5"/>
    </row>
    <row r="166" ht="15.75" customHeight="1">
      <c r="A166" s="1" t="s">
        <v>88</v>
      </c>
    </row>
    <row r="167" ht="15.75" customHeight="1">
      <c r="A167" s="5"/>
    </row>
    <row r="168" ht="15.75" customHeight="1">
      <c r="A168" s="18" t="s">
        <v>89</v>
      </c>
    </row>
    <row r="169" ht="15.75" customHeight="1">
      <c r="A169" s="5" t="s">
        <v>60</v>
      </c>
    </row>
    <row r="170" ht="15.75" customHeight="1">
      <c r="A170" s="16" t="s">
        <v>61</v>
      </c>
    </row>
    <row r="171" ht="15.75" customHeight="1">
      <c r="A171" s="16" t="s">
        <v>62</v>
      </c>
    </row>
    <row r="172" ht="15.75" customHeight="1">
      <c r="A172" s="16" t="s">
        <v>64</v>
      </c>
    </row>
    <row r="173" ht="15.75" customHeight="1">
      <c r="A173" s="16" t="s">
        <v>65</v>
      </c>
    </row>
    <row r="174" ht="15.75" customHeight="1">
      <c r="A174" s="16" t="s">
        <v>66</v>
      </c>
    </row>
    <row r="175" ht="15.75" customHeight="1">
      <c r="A175" s="1" t="s">
        <v>57</v>
      </c>
    </row>
    <row r="176" ht="15.75" customHeight="1">
      <c r="A176" s="5"/>
    </row>
    <row r="177" ht="15.75" customHeight="1">
      <c r="A177" s="5" t="s">
        <v>42</v>
      </c>
    </row>
    <row r="178" ht="15.75" customHeight="1">
      <c r="A178" s="1" t="s">
        <v>43</v>
      </c>
    </row>
    <row r="179" ht="15.75" customHeight="1">
      <c r="A179" s="1" t="s">
        <v>44</v>
      </c>
    </row>
    <row r="180" ht="15.75" customHeight="1">
      <c r="A180" s="1" t="s">
        <v>45</v>
      </c>
    </row>
    <row r="181" ht="15.75" customHeight="1">
      <c r="A181" s="1" t="s">
        <v>46</v>
      </c>
    </row>
    <row r="182" ht="15.75" customHeight="1">
      <c r="A182" s="1" t="s">
        <v>47</v>
      </c>
    </row>
    <row r="183" ht="15.75" customHeight="1">
      <c r="A183" s="1" t="s">
        <v>48</v>
      </c>
    </row>
    <row r="184" ht="15.75" customHeight="1">
      <c r="A184" s="5"/>
    </row>
    <row r="185" ht="15.75" customHeight="1">
      <c r="A185" s="1" t="s">
        <v>90</v>
      </c>
    </row>
    <row r="186" ht="15.75" customHeight="1">
      <c r="A186" s="1" t="s">
        <v>91</v>
      </c>
    </row>
    <row r="187" ht="15.75" customHeight="1">
      <c r="A187" s="5"/>
    </row>
    <row r="188" ht="15.75" customHeight="1">
      <c r="A188" s="5"/>
    </row>
    <row r="189" ht="15.75" customHeight="1">
      <c r="A189" s="5"/>
    </row>
    <row r="190" ht="15.75" customHeight="1">
      <c r="A190" s="18" t="s">
        <v>92</v>
      </c>
    </row>
    <row r="191" ht="15.75" customHeight="1">
      <c r="A191" s="5" t="s">
        <v>93</v>
      </c>
    </row>
    <row r="192" ht="15.75" customHeight="1">
      <c r="A192" s="5" t="s">
        <v>94</v>
      </c>
    </row>
    <row r="193" ht="15.75" customHeight="1">
      <c r="A193" s="5" t="s">
        <v>49</v>
      </c>
    </row>
    <row r="194" ht="15.75" customHeight="1">
      <c r="A194" s="5"/>
    </row>
    <row r="195" ht="15.75" customHeight="1">
      <c r="A195" s="5" t="s">
        <v>95</v>
      </c>
    </row>
    <row r="196" ht="15.75" customHeight="1">
      <c r="A196" s="5"/>
    </row>
    <row r="197" ht="15.75" customHeight="1">
      <c r="A197" s="5" t="s">
        <v>96</v>
      </c>
    </row>
    <row r="198" ht="15.75" customHeight="1">
      <c r="A198" s="5" t="s">
        <v>97</v>
      </c>
    </row>
    <row r="199" ht="15.75" customHeight="1">
      <c r="A199" s="5" t="s">
        <v>98</v>
      </c>
    </row>
    <row r="200" ht="15.75" customHeight="1">
      <c r="A200" s="5"/>
    </row>
    <row r="201" ht="15.75" customHeight="1">
      <c r="A201" s="5" t="s">
        <v>99</v>
      </c>
    </row>
    <row r="202" ht="15.75" customHeight="1">
      <c r="A202" s="5" t="s">
        <v>100</v>
      </c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1"/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</row>
    <row r="5" ht="15.75" customHeight="1">
      <c r="A5" s="7"/>
    </row>
    <row r="6" ht="15.75" customHeight="1">
      <c r="A6" s="8" t="s">
        <v>3</v>
      </c>
      <c r="B6" s="9">
        <f t="shared" ref="B6:J6" si="2">SUM(B3:B4)</f>
        <v>586120</v>
      </c>
      <c r="C6" s="9">
        <f t="shared" si="2"/>
        <v>703746</v>
      </c>
      <c r="D6" s="9">
        <f t="shared" si="2"/>
        <v>818552</v>
      </c>
      <c r="E6" s="9">
        <f t="shared" si="2"/>
        <v>886301</v>
      </c>
      <c r="F6" s="9">
        <f t="shared" si="2"/>
        <v>789944</v>
      </c>
      <c r="G6" s="9">
        <f t="shared" si="2"/>
        <v>733083</v>
      </c>
      <c r="H6" s="9">
        <f t="shared" si="2"/>
        <v>900745</v>
      </c>
      <c r="I6" s="9">
        <f t="shared" si="2"/>
        <v>1206746</v>
      </c>
      <c r="J6" s="9">
        <f t="shared" si="2"/>
        <v>1459517</v>
      </c>
      <c r="K6" s="10"/>
      <c r="L6" s="10"/>
      <c r="M6" s="10"/>
      <c r="N6" s="10"/>
      <c r="O6" s="10"/>
      <c r="P6" s="10"/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</row>
    <row r="15" ht="15.75" customHeight="1">
      <c r="A15" s="7"/>
    </row>
    <row r="16" ht="15.75" customHeight="1">
      <c r="A16" s="8" t="s">
        <v>14</v>
      </c>
      <c r="B16" s="13">
        <f t="shared" ref="B16:J16" si="3">SUM(B9:B14)</f>
        <v>494932</v>
      </c>
      <c r="C16" s="13">
        <f t="shared" si="3"/>
        <v>577269</v>
      </c>
      <c r="D16" s="13">
        <f t="shared" si="3"/>
        <v>677460</v>
      </c>
      <c r="E16" s="13">
        <f t="shared" si="3"/>
        <v>750653</v>
      </c>
      <c r="F16" s="13">
        <f t="shared" si="3"/>
        <v>683474</v>
      </c>
      <c r="G16" s="13">
        <f t="shared" si="3"/>
        <v>650204</v>
      </c>
      <c r="H16" s="13">
        <f t="shared" si="3"/>
        <v>826236</v>
      </c>
      <c r="I16" s="13">
        <f t="shared" si="3"/>
        <v>1053155</v>
      </c>
      <c r="J16" s="13">
        <f t="shared" si="3"/>
        <v>1233319</v>
      </c>
      <c r="K16" s="14"/>
      <c r="L16" s="14"/>
      <c r="M16" s="14"/>
      <c r="N16" s="14"/>
      <c r="O16" s="14"/>
      <c r="P16" s="14"/>
    </row>
    <row r="17" ht="15.75" customHeight="1">
      <c r="A17" s="7"/>
    </row>
    <row r="18" ht="15.75" customHeight="1">
      <c r="A18" s="4" t="s">
        <v>15</v>
      </c>
      <c r="B18" s="6">
        <f t="shared" ref="B18:J18" si="4">B6-B16</f>
        <v>91188</v>
      </c>
      <c r="C18" s="6">
        <f t="shared" si="4"/>
        <v>126477</v>
      </c>
      <c r="D18" s="6">
        <f t="shared" si="4"/>
        <v>141092</v>
      </c>
      <c r="E18" s="6">
        <f t="shared" si="4"/>
        <v>135648</v>
      </c>
      <c r="F18" s="6">
        <f t="shared" si="4"/>
        <v>106470</v>
      </c>
      <c r="G18" s="6">
        <f t="shared" si="4"/>
        <v>82879</v>
      </c>
      <c r="H18" s="6">
        <f t="shared" si="4"/>
        <v>74509</v>
      </c>
      <c r="I18" s="6">
        <f t="shared" si="4"/>
        <v>153591</v>
      </c>
      <c r="J18" s="6">
        <f t="shared" si="4"/>
        <v>226198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</row>
    <row r="21" ht="15.75" customHeight="1">
      <c r="A21" s="7"/>
    </row>
    <row r="22" ht="15.75" customHeight="1">
      <c r="A22" s="7" t="s">
        <v>18</v>
      </c>
      <c r="B22" s="6">
        <f t="shared" ref="B22:J22" si="5">B18-B20</f>
        <v>62518</v>
      </c>
      <c r="C22" s="6">
        <f t="shared" si="5"/>
        <v>100438</v>
      </c>
      <c r="D22" s="6">
        <f t="shared" si="5"/>
        <v>113494</v>
      </c>
      <c r="E22" s="6">
        <f t="shared" si="5"/>
        <v>105440</v>
      </c>
      <c r="F22" s="6">
        <f t="shared" si="5"/>
        <v>71186</v>
      </c>
      <c r="G22" s="6">
        <f t="shared" si="5"/>
        <v>52538</v>
      </c>
      <c r="H22" s="6">
        <f t="shared" si="5"/>
        <v>46619</v>
      </c>
      <c r="I22" s="6">
        <f t="shared" si="5"/>
        <v>105131</v>
      </c>
      <c r="J22" s="6">
        <f t="shared" si="5"/>
        <v>173640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</row>
    <row r="25" ht="15.75" customHeight="1">
      <c r="A25" s="7"/>
    </row>
    <row r="26" ht="15.75" customHeight="1">
      <c r="A26" s="7" t="s">
        <v>23</v>
      </c>
      <c r="B26" s="6">
        <f t="shared" ref="B26:J26" si="6">B22-B24</f>
        <v>61581</v>
      </c>
      <c r="C26" s="6">
        <f t="shared" si="6"/>
        <v>99544</v>
      </c>
      <c r="D26" s="6">
        <f t="shared" si="6"/>
        <v>110036</v>
      </c>
      <c r="E26" s="6">
        <f t="shared" si="6"/>
        <v>104681</v>
      </c>
      <c r="F26" s="6">
        <f t="shared" si="6"/>
        <v>69844</v>
      </c>
      <c r="G26" s="6">
        <f t="shared" si="6"/>
        <v>51520</v>
      </c>
      <c r="H26" s="6">
        <f t="shared" si="6"/>
        <v>45353</v>
      </c>
      <c r="I26" s="6">
        <f t="shared" si="6"/>
        <v>102608</v>
      </c>
      <c r="J26" s="6">
        <f t="shared" si="6"/>
        <v>171704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</row>
    <row r="28" ht="15.75" customHeight="1">
      <c r="A28" s="7" t="s">
        <v>25</v>
      </c>
      <c r="B28" s="6">
        <f t="shared" ref="B28:J28" si="7">SUM(B26:B27)</f>
        <v>66296</v>
      </c>
      <c r="C28" s="6">
        <f t="shared" si="7"/>
        <v>101272</v>
      </c>
      <c r="D28" s="6">
        <f t="shared" si="7"/>
        <v>111669</v>
      </c>
      <c r="E28" s="6">
        <f t="shared" si="7"/>
        <v>102651</v>
      </c>
      <c r="F28" s="6">
        <f t="shared" si="7"/>
        <v>65427</v>
      </c>
      <c r="G28" s="6">
        <f t="shared" si="7"/>
        <v>56656</v>
      </c>
      <c r="H28" s="6">
        <f t="shared" si="7"/>
        <v>48482</v>
      </c>
      <c r="I28" s="6">
        <f t="shared" si="7"/>
        <v>103194</v>
      </c>
      <c r="J28" s="6">
        <f t="shared" si="7"/>
        <v>174373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</row>
    <row r="31" ht="15.75" customHeight="1">
      <c r="A31" s="7"/>
    </row>
    <row r="32" ht="15.75" customHeight="1">
      <c r="A32" s="7" t="s">
        <v>27</v>
      </c>
      <c r="B32" s="6">
        <f t="shared" ref="B32:J32" si="8">B28-B30</f>
        <v>46309</v>
      </c>
      <c r="C32" s="6">
        <f t="shared" si="8"/>
        <v>75110</v>
      </c>
      <c r="D32" s="6">
        <f t="shared" si="8"/>
        <v>78807</v>
      </c>
      <c r="E32" s="6">
        <f t="shared" si="8"/>
        <v>72919</v>
      </c>
      <c r="F32" s="6">
        <f t="shared" si="8"/>
        <v>51175</v>
      </c>
      <c r="G32" s="6">
        <f t="shared" si="8"/>
        <v>47337</v>
      </c>
      <c r="H32" s="6">
        <f t="shared" si="8"/>
        <v>40305</v>
      </c>
      <c r="I32" s="6">
        <f t="shared" si="8"/>
        <v>81449</v>
      </c>
      <c r="J32" s="6">
        <f t="shared" si="8"/>
        <v>135010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9">B32+B33</f>
        <v>46988</v>
      </c>
      <c r="C36" s="9">
        <f t="shared" si="9"/>
        <v>77326</v>
      </c>
      <c r="D36" s="9">
        <f t="shared" si="9"/>
        <v>82118</v>
      </c>
      <c r="E36" s="9">
        <f>E32+F33</f>
        <v>74103</v>
      </c>
      <c r="F36" s="9">
        <f t="shared" ref="F36:J36" si="10">F32+F33</f>
        <v>52359</v>
      </c>
      <c r="G36" s="9">
        <f t="shared" si="10"/>
        <v>49027</v>
      </c>
      <c r="H36" s="9">
        <f t="shared" si="10"/>
        <v>41924</v>
      </c>
      <c r="I36" s="9">
        <f t="shared" si="10"/>
        <v>83223</v>
      </c>
      <c r="J36" s="9">
        <f t="shared" si="10"/>
        <v>137551</v>
      </c>
      <c r="K36" s="10"/>
      <c r="L36" s="10"/>
      <c r="M36" s="10"/>
      <c r="N36" s="10"/>
      <c r="O36" s="10"/>
      <c r="P36" s="10"/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</row>
    <row r="42" ht="15.75" customHeight="1">
      <c r="A42" s="1" t="s">
        <v>32</v>
      </c>
    </row>
    <row r="43" ht="15.75" customHeight="1">
      <c r="A43" s="1" t="s">
        <v>33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</row>
    <row r="47" ht="15.75" customHeight="1">
      <c r="A47" s="7" t="s">
        <v>36</v>
      </c>
    </row>
    <row r="48" ht="15.75" customHeight="1">
      <c r="A48" s="7"/>
    </row>
    <row r="49" ht="15.75" customHeight="1">
      <c r="A49" s="7" t="s">
        <v>37</v>
      </c>
    </row>
    <row r="50" ht="15.75" customHeight="1">
      <c r="A50" s="1" t="s">
        <v>38</v>
      </c>
    </row>
    <row r="51" ht="15.75" customHeight="1">
      <c r="A51" s="1" t="s">
        <v>39</v>
      </c>
    </row>
    <row r="52" ht="15.75" customHeight="1">
      <c r="A52" s="1" t="s">
        <v>40</v>
      </c>
    </row>
    <row r="53" ht="15.75" customHeight="1">
      <c r="A53" s="1" t="s">
        <v>41</v>
      </c>
    </row>
    <row r="54" ht="15.75" customHeight="1">
      <c r="A54" s="7"/>
    </row>
    <row r="55" ht="15.75" customHeight="1">
      <c r="A55" s="1" t="s">
        <v>42</v>
      </c>
    </row>
    <row r="56" ht="15.75" customHeight="1">
      <c r="A56" s="1" t="s">
        <v>43</v>
      </c>
    </row>
    <row r="57" ht="15.75" customHeight="1">
      <c r="A57" s="1" t="s">
        <v>44</v>
      </c>
    </row>
    <row r="58" ht="15.75" customHeight="1">
      <c r="A58" s="1" t="s">
        <v>45</v>
      </c>
    </row>
    <row r="59" ht="15.75" customHeight="1">
      <c r="A59" s="1" t="s">
        <v>46</v>
      </c>
    </row>
    <row r="60" ht="15.75" customHeight="1">
      <c r="A60" s="1" t="s">
        <v>47</v>
      </c>
    </row>
    <row r="61" ht="15.75" customHeight="1">
      <c r="A61" s="1" t="s">
        <v>48</v>
      </c>
    </row>
    <row r="62" ht="15.75" customHeight="1">
      <c r="A62" s="8" t="s">
        <v>49</v>
      </c>
    </row>
    <row r="63" ht="15.75" customHeight="1">
      <c r="A63" s="7"/>
    </row>
    <row r="64" ht="15.75" customHeight="1">
      <c r="A64" s="7"/>
    </row>
    <row r="65" ht="15.75" customHeight="1">
      <c r="A65" s="4" t="s">
        <v>50</v>
      </c>
    </row>
    <row r="66" ht="15.75" customHeight="1">
      <c r="A66" s="7"/>
    </row>
    <row r="67" ht="15.75" customHeight="1">
      <c r="A67" s="1" t="s">
        <v>51</v>
      </c>
    </row>
    <row r="68" ht="15.75" customHeight="1">
      <c r="A68" s="16" t="s">
        <v>52</v>
      </c>
    </row>
    <row r="69" ht="15.75" customHeight="1">
      <c r="A69" s="16" t="s">
        <v>53</v>
      </c>
    </row>
    <row r="70" ht="15.75" customHeight="1">
      <c r="A70" s="16" t="s">
        <v>54</v>
      </c>
    </row>
    <row r="71" ht="15.75" customHeight="1">
      <c r="A71" s="16" t="s">
        <v>55</v>
      </c>
    </row>
    <row r="72" ht="15.75" customHeight="1">
      <c r="A72" s="1"/>
    </row>
    <row r="73" ht="15.75" customHeight="1">
      <c r="A73" s="1" t="s">
        <v>56</v>
      </c>
    </row>
    <row r="74" ht="15.75" customHeight="1">
      <c r="A74" s="1" t="s">
        <v>57</v>
      </c>
    </row>
    <row r="75" ht="15.75" customHeight="1">
      <c r="A75" s="1" t="s">
        <v>58</v>
      </c>
    </row>
    <row r="76" ht="15.75" customHeight="1">
      <c r="A76" s="1" t="s">
        <v>59</v>
      </c>
    </row>
    <row r="77" ht="15.75" customHeight="1">
      <c r="A77" s="1"/>
    </row>
    <row r="78" ht="15.75" customHeight="1">
      <c r="A78" s="1" t="s">
        <v>60</v>
      </c>
    </row>
    <row r="79" ht="15.75" customHeight="1">
      <c r="A79" s="1"/>
    </row>
    <row r="80" ht="15.75" customHeight="1">
      <c r="A80" s="16" t="s">
        <v>61</v>
      </c>
    </row>
    <row r="81" ht="15.75" customHeight="1">
      <c r="A81" s="16" t="s">
        <v>62</v>
      </c>
    </row>
    <row r="82" ht="15.75" customHeight="1">
      <c r="A82" s="16" t="s">
        <v>63</v>
      </c>
    </row>
    <row r="83" ht="15.75" customHeight="1">
      <c r="A83" s="16" t="s">
        <v>64</v>
      </c>
    </row>
    <row r="84" ht="15.75" customHeight="1">
      <c r="A84" s="16" t="s">
        <v>65</v>
      </c>
    </row>
    <row r="85" ht="15.75" customHeight="1">
      <c r="A85" s="16" t="s">
        <v>66</v>
      </c>
    </row>
    <row r="86" ht="15.75" customHeight="1">
      <c r="A86" s="16" t="s">
        <v>67</v>
      </c>
    </row>
    <row r="87" ht="15.75" customHeight="1">
      <c r="A87" s="1" t="s">
        <v>57</v>
      </c>
    </row>
    <row r="88" ht="15.75" customHeight="1">
      <c r="A88" s="8" t="s">
        <v>49</v>
      </c>
    </row>
    <row r="89" ht="15.75" customHeight="1">
      <c r="A89" s="1"/>
    </row>
    <row r="90" ht="15.75" customHeight="1">
      <c r="A90" s="5" t="s">
        <v>68</v>
      </c>
    </row>
    <row r="91" ht="15.75" customHeight="1">
      <c r="A91" s="5" t="s">
        <v>69</v>
      </c>
    </row>
    <row r="92" ht="15.75" customHeight="1">
      <c r="A92" s="5"/>
    </row>
    <row r="93" ht="15.75" customHeight="1">
      <c r="A93" s="5" t="s">
        <v>70</v>
      </c>
    </row>
    <row r="94" ht="15.75" customHeight="1">
      <c r="A94" s="5" t="s">
        <v>71</v>
      </c>
    </row>
    <row r="95" ht="15.75" customHeight="1">
      <c r="A95" s="5" t="s">
        <v>49</v>
      </c>
    </row>
    <row r="96" ht="15.75" customHeight="1">
      <c r="A96" s="5"/>
    </row>
    <row r="97" ht="15.75" customHeight="1">
      <c r="A97" s="5" t="s">
        <v>72</v>
      </c>
    </row>
    <row r="98" ht="15.75" customHeight="1">
      <c r="A98" s="5"/>
    </row>
    <row r="99" ht="15.75" customHeight="1">
      <c r="A99" s="17" t="s">
        <v>73</v>
      </c>
    </row>
    <row r="100" ht="15.75" customHeight="1">
      <c r="A100" s="5" t="s">
        <v>74</v>
      </c>
    </row>
    <row r="101" ht="15.75" customHeight="1">
      <c r="A101" s="5" t="s">
        <v>75</v>
      </c>
    </row>
    <row r="102" ht="15.75" customHeight="1">
      <c r="A102" s="5"/>
    </row>
    <row r="103" ht="15.75" customHeight="1">
      <c r="A103" s="17" t="s">
        <v>76</v>
      </c>
    </row>
    <row r="104" ht="15.75" customHeight="1">
      <c r="A104" s="5" t="s">
        <v>77</v>
      </c>
    </row>
    <row r="105" ht="15.75" customHeight="1">
      <c r="A105" s="5" t="s">
        <v>71</v>
      </c>
    </row>
    <row r="106" ht="15.75" customHeight="1">
      <c r="A106" s="5" t="s">
        <v>49</v>
      </c>
    </row>
    <row r="107" ht="15.75" customHeight="1">
      <c r="A107" s="5" t="s">
        <v>78</v>
      </c>
    </row>
    <row r="108" ht="15.75" customHeight="1">
      <c r="A108" s="5" t="s">
        <v>79</v>
      </c>
    </row>
    <row r="109" ht="15.75" customHeight="1">
      <c r="A109" s="5"/>
    </row>
    <row r="110" ht="15.75" customHeight="1">
      <c r="A110" s="17" t="s">
        <v>80</v>
      </c>
    </row>
    <row r="111" ht="15.75" customHeight="1">
      <c r="A111" s="5" t="s">
        <v>70</v>
      </c>
    </row>
    <row r="112" ht="15.75" customHeight="1">
      <c r="A112" s="5" t="s">
        <v>71</v>
      </c>
    </row>
    <row r="113" ht="15.75" customHeight="1">
      <c r="A113" s="5" t="s">
        <v>81</v>
      </c>
    </row>
    <row r="114" ht="15.75" customHeight="1">
      <c r="A114" s="5"/>
    </row>
    <row r="115" ht="15.75" customHeight="1">
      <c r="A115" s="5"/>
    </row>
    <row r="116" ht="15.75" customHeight="1">
      <c r="A116" s="5" t="s">
        <v>82</v>
      </c>
    </row>
    <row r="117" ht="15.75" customHeight="1">
      <c r="A117" s="5" t="s">
        <v>83</v>
      </c>
    </row>
    <row r="118" ht="15.75" customHeight="1">
      <c r="A118" s="5"/>
    </row>
    <row r="119" ht="15.75" customHeight="1">
      <c r="A119" s="17" t="s">
        <v>84</v>
      </c>
    </row>
    <row r="120" ht="15.75" customHeight="1">
      <c r="A120" s="5"/>
    </row>
    <row r="121" ht="15.75" customHeight="1">
      <c r="A121" s="1" t="s">
        <v>5</v>
      </c>
    </row>
    <row r="122" ht="15.75" customHeight="1">
      <c r="A122" s="1" t="s">
        <v>6</v>
      </c>
    </row>
    <row r="123" ht="15.75" customHeight="1">
      <c r="A123" s="1" t="s">
        <v>8</v>
      </c>
    </row>
    <row r="124" ht="15.75" customHeight="1">
      <c r="A124" s="1" t="s">
        <v>10</v>
      </c>
    </row>
    <row r="125" ht="15.75" customHeight="1">
      <c r="A125" s="1" t="s">
        <v>12</v>
      </c>
    </row>
    <row r="126" ht="15.75" customHeight="1">
      <c r="A126" s="1" t="s">
        <v>85</v>
      </c>
    </row>
    <row r="127" ht="15.75" customHeight="1">
      <c r="A127" s="5"/>
    </row>
    <row r="128" ht="15.75" customHeight="1">
      <c r="A128" s="5"/>
    </row>
    <row r="129" ht="15.75" customHeight="1">
      <c r="A129" s="18" t="s">
        <v>86</v>
      </c>
    </row>
    <row r="130" ht="15.75" customHeight="1">
      <c r="A130" s="5"/>
    </row>
    <row r="131" ht="15.75" customHeight="1">
      <c r="A131" s="1" t="s">
        <v>5</v>
      </c>
    </row>
    <row r="132" ht="15.75" customHeight="1">
      <c r="A132" s="1" t="s">
        <v>6</v>
      </c>
    </row>
    <row r="133" ht="15.75" customHeight="1">
      <c r="A133" s="1" t="s">
        <v>8</v>
      </c>
    </row>
    <row r="134" ht="15.75" customHeight="1">
      <c r="A134" s="1" t="s">
        <v>10</v>
      </c>
    </row>
    <row r="135" ht="15.75" customHeight="1">
      <c r="A135" s="1" t="s">
        <v>12</v>
      </c>
    </row>
    <row r="136" ht="15.75" customHeight="1">
      <c r="A136" s="1" t="s">
        <v>85</v>
      </c>
    </row>
    <row r="137" ht="15.75" customHeight="1">
      <c r="A137" s="5"/>
    </row>
    <row r="138" ht="15.75" customHeight="1">
      <c r="A138" s="1" t="s">
        <v>83</v>
      </c>
    </row>
    <row r="139" ht="15.75" customHeight="1">
      <c r="A139" s="1" t="s">
        <v>5</v>
      </c>
    </row>
    <row r="140" ht="15.75" customHeight="1">
      <c r="A140" s="1" t="s">
        <v>6</v>
      </c>
    </row>
    <row r="141" ht="15.75" customHeight="1">
      <c r="A141" s="1" t="s">
        <v>8</v>
      </c>
    </row>
    <row r="142" ht="15.75" customHeight="1">
      <c r="A142" s="1" t="s">
        <v>10</v>
      </c>
    </row>
    <row r="143" ht="15.75" customHeight="1">
      <c r="A143" s="1" t="s">
        <v>12</v>
      </c>
    </row>
    <row r="144" ht="15.75" customHeight="1">
      <c r="A144" s="1" t="s">
        <v>85</v>
      </c>
    </row>
    <row r="145" ht="15.75" customHeight="1">
      <c r="A145" s="5"/>
    </row>
    <row r="146" ht="15.75" customHeight="1">
      <c r="A146" s="5"/>
    </row>
    <row r="147" ht="15.75" customHeight="1">
      <c r="A147" s="5"/>
    </row>
    <row r="148" ht="15.75" customHeight="1">
      <c r="A148" s="18" t="s">
        <v>87</v>
      </c>
    </row>
    <row r="149" ht="15.75" customHeight="1">
      <c r="A149" s="5"/>
    </row>
    <row r="150" ht="15.75" customHeight="1">
      <c r="A150" s="5" t="s">
        <v>60</v>
      </c>
    </row>
    <row r="151" ht="15.75" customHeight="1">
      <c r="A151" s="16" t="s">
        <v>61</v>
      </c>
    </row>
    <row r="152" ht="15.75" customHeight="1">
      <c r="A152" s="16" t="s">
        <v>62</v>
      </c>
    </row>
    <row r="153" ht="15.75" customHeight="1">
      <c r="A153" s="16" t="s">
        <v>64</v>
      </c>
    </row>
    <row r="154" ht="15.75" customHeight="1">
      <c r="A154" s="16" t="s">
        <v>65</v>
      </c>
    </row>
    <row r="155" ht="15.75" customHeight="1">
      <c r="A155" s="16" t="s">
        <v>66</v>
      </c>
    </row>
    <row r="156" ht="15.75" customHeight="1">
      <c r="A156" s="1" t="s">
        <v>57</v>
      </c>
    </row>
    <row r="157" ht="15.75" customHeight="1">
      <c r="A157" s="5"/>
    </row>
    <row r="158" ht="15.75" customHeight="1">
      <c r="A158" s="5" t="s">
        <v>42</v>
      </c>
    </row>
    <row r="159" ht="15.75" customHeight="1">
      <c r="A159" s="1" t="s">
        <v>43</v>
      </c>
    </row>
    <row r="160" ht="15.75" customHeight="1">
      <c r="A160" s="1" t="s">
        <v>44</v>
      </c>
    </row>
    <row r="161" ht="15.75" customHeight="1">
      <c r="A161" s="1" t="s">
        <v>45</v>
      </c>
    </row>
    <row r="162" ht="15.75" customHeight="1">
      <c r="A162" s="1" t="s">
        <v>46</v>
      </c>
    </row>
    <row r="163" ht="15.75" customHeight="1">
      <c r="A163" s="1" t="s">
        <v>47</v>
      </c>
    </row>
    <row r="164" ht="15.75" customHeight="1">
      <c r="A164" s="1" t="s">
        <v>48</v>
      </c>
    </row>
    <row r="165" ht="15.75" customHeight="1">
      <c r="A165" s="5"/>
    </row>
    <row r="166" ht="15.75" customHeight="1">
      <c r="A166" s="1" t="s">
        <v>88</v>
      </c>
    </row>
    <row r="167" ht="15.75" customHeight="1">
      <c r="A167" s="5"/>
    </row>
    <row r="168" ht="15.75" customHeight="1">
      <c r="A168" s="18" t="s">
        <v>89</v>
      </c>
    </row>
    <row r="169" ht="15.75" customHeight="1">
      <c r="A169" s="5" t="s">
        <v>60</v>
      </c>
    </row>
    <row r="170" ht="15.75" customHeight="1">
      <c r="A170" s="16" t="s">
        <v>61</v>
      </c>
    </row>
    <row r="171" ht="15.75" customHeight="1">
      <c r="A171" s="16" t="s">
        <v>62</v>
      </c>
    </row>
    <row r="172" ht="15.75" customHeight="1">
      <c r="A172" s="16" t="s">
        <v>64</v>
      </c>
    </row>
    <row r="173" ht="15.75" customHeight="1">
      <c r="A173" s="16" t="s">
        <v>65</v>
      </c>
    </row>
    <row r="174" ht="15.75" customHeight="1">
      <c r="A174" s="16" t="s">
        <v>66</v>
      </c>
    </row>
    <row r="175" ht="15.75" customHeight="1">
      <c r="A175" s="1" t="s">
        <v>57</v>
      </c>
    </row>
    <row r="176" ht="15.75" customHeight="1">
      <c r="A176" s="5"/>
    </row>
    <row r="177" ht="15.75" customHeight="1">
      <c r="A177" s="5" t="s">
        <v>42</v>
      </c>
    </row>
    <row r="178" ht="15.75" customHeight="1">
      <c r="A178" s="1" t="s">
        <v>43</v>
      </c>
    </row>
    <row r="179" ht="15.75" customHeight="1">
      <c r="A179" s="1" t="s">
        <v>44</v>
      </c>
    </row>
    <row r="180" ht="15.75" customHeight="1">
      <c r="A180" s="1" t="s">
        <v>45</v>
      </c>
    </row>
    <row r="181" ht="15.75" customHeight="1">
      <c r="A181" s="1" t="s">
        <v>46</v>
      </c>
    </row>
    <row r="182" ht="15.75" customHeight="1">
      <c r="A182" s="1" t="s">
        <v>47</v>
      </c>
    </row>
    <row r="183" ht="15.75" customHeight="1">
      <c r="A183" s="1" t="s">
        <v>48</v>
      </c>
    </row>
    <row r="184" ht="15.75" customHeight="1">
      <c r="A184" s="5"/>
    </row>
    <row r="185" ht="15.75" customHeight="1">
      <c r="A185" s="1" t="s">
        <v>90</v>
      </c>
    </row>
    <row r="186" ht="15.75" customHeight="1">
      <c r="A186" s="1" t="s">
        <v>91</v>
      </c>
    </row>
    <row r="187" ht="15.75" customHeight="1">
      <c r="A187" s="5"/>
    </row>
    <row r="188" ht="15.75" customHeight="1">
      <c r="A188" s="5"/>
    </row>
    <row r="189" ht="15.75" customHeight="1">
      <c r="A189" s="5"/>
    </row>
    <row r="190" ht="15.75" customHeight="1">
      <c r="A190" s="18" t="s">
        <v>92</v>
      </c>
    </row>
    <row r="191" ht="15.75" customHeight="1">
      <c r="A191" s="5" t="s">
        <v>93</v>
      </c>
    </row>
    <row r="192" ht="15.75" customHeight="1">
      <c r="A192" s="5" t="s">
        <v>94</v>
      </c>
    </row>
    <row r="193" ht="15.75" customHeight="1">
      <c r="A193" s="5" t="s">
        <v>49</v>
      </c>
    </row>
    <row r="194" ht="15.75" customHeight="1">
      <c r="A194" s="5"/>
    </row>
    <row r="195" ht="15.75" customHeight="1">
      <c r="A195" s="5" t="s">
        <v>95</v>
      </c>
    </row>
    <row r="196" ht="15.75" customHeight="1">
      <c r="A196" s="5"/>
    </row>
    <row r="197" ht="15.75" customHeight="1">
      <c r="A197" s="5" t="s">
        <v>96</v>
      </c>
    </row>
    <row r="198" ht="15.75" customHeight="1">
      <c r="A198" s="5" t="s">
        <v>97</v>
      </c>
    </row>
    <row r="199" ht="15.75" customHeight="1">
      <c r="A199" s="5" t="s">
        <v>98</v>
      </c>
    </row>
    <row r="200" ht="15.75" customHeight="1">
      <c r="A200" s="5"/>
    </row>
    <row r="201" ht="15.75" customHeight="1">
      <c r="A201" s="5" t="s">
        <v>99</v>
      </c>
    </row>
    <row r="202" ht="15.75" customHeight="1">
      <c r="A202" s="5" t="s">
        <v>100</v>
      </c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4.38"/>
  </cols>
  <sheetData>
    <row r="1">
      <c r="A1" s="29" t="s">
        <v>176</v>
      </c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>
      <c r="A2" s="4" t="s">
        <v>0</v>
      </c>
      <c r="B2" s="5"/>
      <c r="C2" s="5"/>
      <c r="D2" s="5"/>
      <c r="E2" s="5"/>
      <c r="F2" s="5"/>
      <c r="G2" s="5"/>
      <c r="H2" s="5"/>
      <c r="I2" s="5"/>
    </row>
    <row r="3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  <c r="K3" s="19">
        <f t="shared" ref="K3:P3" si="2">(K100*K120)/10^6</f>
        <v>1745621.281</v>
      </c>
      <c r="L3" s="19">
        <f t="shared" si="2"/>
        <v>2039535.594</v>
      </c>
      <c r="M3" s="19">
        <f t="shared" si="2"/>
        <v>2383801.008</v>
      </c>
      <c r="N3" s="19">
        <f t="shared" si="2"/>
        <v>2787144.105</v>
      </c>
      <c r="O3" s="19">
        <f t="shared" si="2"/>
        <v>3259815.476</v>
      </c>
      <c r="P3" s="19">
        <f t="shared" si="2"/>
        <v>3813857.181</v>
      </c>
    </row>
    <row r="4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  <c r="K4" s="20">
        <v>20000.0</v>
      </c>
      <c r="L4" s="21">
        <f t="shared" ref="L4:P4" si="3">K4</f>
        <v>20000</v>
      </c>
      <c r="M4" s="21">
        <f t="shared" si="3"/>
        <v>20000</v>
      </c>
      <c r="N4" s="21">
        <f t="shared" si="3"/>
        <v>20000</v>
      </c>
      <c r="O4" s="21">
        <f t="shared" si="3"/>
        <v>20000</v>
      </c>
      <c r="P4" s="21">
        <f t="shared" si="3"/>
        <v>20000</v>
      </c>
    </row>
    <row r="5">
      <c r="A5" s="7"/>
    </row>
    <row r="6">
      <c r="A6" s="8" t="s">
        <v>3</v>
      </c>
      <c r="B6" s="9">
        <f t="shared" ref="B6:P6" si="4">SUM(B3:B4)</f>
        <v>586120</v>
      </c>
      <c r="C6" s="9">
        <f t="shared" si="4"/>
        <v>703746</v>
      </c>
      <c r="D6" s="9">
        <f t="shared" si="4"/>
        <v>818552</v>
      </c>
      <c r="E6" s="9">
        <f t="shared" si="4"/>
        <v>886301</v>
      </c>
      <c r="F6" s="9">
        <f t="shared" si="4"/>
        <v>789944</v>
      </c>
      <c r="G6" s="9">
        <f t="shared" si="4"/>
        <v>733083</v>
      </c>
      <c r="H6" s="9">
        <f t="shared" si="4"/>
        <v>900745</v>
      </c>
      <c r="I6" s="9">
        <f t="shared" si="4"/>
        <v>1206746</v>
      </c>
      <c r="J6" s="9">
        <f t="shared" si="4"/>
        <v>1459517</v>
      </c>
      <c r="K6" s="9">
        <f t="shared" si="4"/>
        <v>1765621.281</v>
      </c>
      <c r="L6" s="9">
        <f t="shared" si="4"/>
        <v>2059535.594</v>
      </c>
      <c r="M6" s="9">
        <f t="shared" si="4"/>
        <v>2403801.008</v>
      </c>
      <c r="N6" s="9">
        <f t="shared" si="4"/>
        <v>2807144.105</v>
      </c>
      <c r="O6" s="9">
        <f t="shared" si="4"/>
        <v>3279815.476</v>
      </c>
      <c r="P6" s="9">
        <f t="shared" si="4"/>
        <v>3833857.181</v>
      </c>
    </row>
    <row r="7">
      <c r="A7" s="7"/>
    </row>
    <row r="8">
      <c r="A8" s="4" t="s">
        <v>4</v>
      </c>
    </row>
    <row r="9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  <c r="K9" s="22">
        <f t="shared" ref="K9:P9" si="5">K$3*K125</f>
        <v>1047372.768</v>
      </c>
      <c r="L9" s="22">
        <f t="shared" si="5"/>
        <v>1223721.356</v>
      </c>
      <c r="M9" s="22">
        <f t="shared" si="5"/>
        <v>1430280.605</v>
      </c>
      <c r="N9" s="22">
        <f t="shared" si="5"/>
        <v>1672286.463</v>
      </c>
      <c r="O9" s="22">
        <f t="shared" si="5"/>
        <v>1955889.286</v>
      </c>
      <c r="P9" s="22">
        <f t="shared" si="5"/>
        <v>2288314.309</v>
      </c>
    </row>
    <row r="10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  <c r="K10" s="22">
        <f t="shared" ref="K10:P10" si="6">K$3*K126</f>
        <v>139649.7024</v>
      </c>
      <c r="L10" s="22">
        <f t="shared" si="6"/>
        <v>163162.8475</v>
      </c>
      <c r="M10" s="22">
        <f t="shared" si="6"/>
        <v>190704.0806</v>
      </c>
      <c r="N10" s="22">
        <f t="shared" si="6"/>
        <v>222971.5284</v>
      </c>
      <c r="O10" s="22">
        <f t="shared" si="6"/>
        <v>260785.2381</v>
      </c>
      <c r="P10" s="22">
        <f t="shared" si="6"/>
        <v>305108.5745</v>
      </c>
    </row>
    <row r="1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  <c r="K11" s="22">
        <f t="shared" ref="K11:P11" si="7">K$3*K127</f>
        <v>-4658.822802</v>
      </c>
      <c r="L11" s="22">
        <f t="shared" si="7"/>
        <v>-5443.239628</v>
      </c>
      <c r="M11" s="22">
        <f t="shared" si="7"/>
        <v>-6362.036607</v>
      </c>
      <c r="N11" s="22">
        <f t="shared" si="7"/>
        <v>-7438.503788</v>
      </c>
      <c r="O11" s="22">
        <f t="shared" si="7"/>
        <v>-8699.998584</v>
      </c>
      <c r="P11" s="22">
        <f t="shared" si="7"/>
        <v>-10178.6596</v>
      </c>
    </row>
    <row r="12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  <c r="K12" s="22">
        <f t="shared" ref="K12:P12" si="8">K$3*K128</f>
        <v>69824.85122</v>
      </c>
      <c r="L12" s="22">
        <f t="shared" si="8"/>
        <v>81581.42375</v>
      </c>
      <c r="M12" s="22">
        <f t="shared" si="8"/>
        <v>95352.0403</v>
      </c>
      <c r="N12" s="22">
        <f t="shared" si="8"/>
        <v>111485.7642</v>
      </c>
      <c r="O12" s="22">
        <f t="shared" si="8"/>
        <v>130392.619</v>
      </c>
      <c r="P12" s="22">
        <f t="shared" si="8"/>
        <v>152554.2873</v>
      </c>
    </row>
    <row r="13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  <c r="K13" s="22">
        <f t="shared" ref="K13:P13" si="9">K$3*K129</f>
        <v>215960.9246</v>
      </c>
      <c r="L13" s="22">
        <f t="shared" si="9"/>
        <v>252322.7675</v>
      </c>
      <c r="M13" s="22">
        <f t="shared" si="9"/>
        <v>294913.8369</v>
      </c>
      <c r="N13" s="22">
        <f t="shared" si="9"/>
        <v>344813.7489</v>
      </c>
      <c r="O13" s="22">
        <f t="shared" si="9"/>
        <v>403290.6634</v>
      </c>
      <c r="P13" s="22">
        <f t="shared" si="9"/>
        <v>471834.3735</v>
      </c>
    </row>
    <row r="14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  <c r="K14" s="22">
        <f t="shared" ref="K14:P14" si="10">K$3*K130</f>
        <v>-3208.016652</v>
      </c>
      <c r="L14" s="22">
        <f t="shared" si="10"/>
        <v>-3748.157874</v>
      </c>
      <c r="M14" s="22">
        <f t="shared" si="10"/>
        <v>-4380.831864</v>
      </c>
      <c r="N14" s="22">
        <f t="shared" si="10"/>
        <v>-5122.075905</v>
      </c>
      <c r="O14" s="22">
        <f t="shared" si="10"/>
        <v>-5990.728027</v>
      </c>
      <c r="P14" s="22">
        <f t="shared" si="10"/>
        <v>-7008.918534</v>
      </c>
    </row>
    <row r="15">
      <c r="A15" s="7"/>
    </row>
    <row r="16">
      <c r="A16" s="45" t="s">
        <v>109</v>
      </c>
      <c r="B16" s="13">
        <f t="shared" ref="B16:P16" si="11">SUM(B9:B14)</f>
        <v>494932</v>
      </c>
      <c r="C16" s="13">
        <f t="shared" si="11"/>
        <v>577269</v>
      </c>
      <c r="D16" s="13">
        <f t="shared" si="11"/>
        <v>677460</v>
      </c>
      <c r="E16" s="13">
        <f t="shared" si="11"/>
        <v>750653</v>
      </c>
      <c r="F16" s="13">
        <f t="shared" si="11"/>
        <v>683474</v>
      </c>
      <c r="G16" s="13">
        <f t="shared" si="11"/>
        <v>650204</v>
      </c>
      <c r="H16" s="13">
        <f t="shared" si="11"/>
        <v>826236</v>
      </c>
      <c r="I16" s="13">
        <f t="shared" si="11"/>
        <v>1053155</v>
      </c>
      <c r="J16" s="13">
        <f t="shared" si="11"/>
        <v>1233319</v>
      </c>
      <c r="K16" s="13">
        <f t="shared" si="11"/>
        <v>1464941.407</v>
      </c>
      <c r="L16" s="13">
        <f t="shared" si="11"/>
        <v>1711596.997</v>
      </c>
      <c r="M16" s="13">
        <f t="shared" si="11"/>
        <v>2000507.694</v>
      </c>
      <c r="N16" s="13">
        <f t="shared" si="11"/>
        <v>2338996.925</v>
      </c>
      <c r="O16" s="13">
        <f t="shared" si="11"/>
        <v>2735667.079</v>
      </c>
      <c r="P16" s="13">
        <f t="shared" si="11"/>
        <v>3200623.966</v>
      </c>
    </row>
    <row r="17">
      <c r="A17" s="7"/>
    </row>
    <row r="18">
      <c r="A18" s="113" t="s">
        <v>177</v>
      </c>
      <c r="B18" s="23">
        <f t="shared" ref="B18:P18" si="12">B6-B16</f>
        <v>91188</v>
      </c>
      <c r="C18" s="23">
        <f t="shared" si="12"/>
        <v>126477</v>
      </c>
      <c r="D18" s="23">
        <f t="shared" si="12"/>
        <v>141092</v>
      </c>
      <c r="E18" s="23">
        <f t="shared" si="12"/>
        <v>135648</v>
      </c>
      <c r="F18" s="23">
        <f t="shared" si="12"/>
        <v>106470</v>
      </c>
      <c r="G18" s="23">
        <f t="shared" si="12"/>
        <v>82879</v>
      </c>
      <c r="H18" s="23">
        <f t="shared" si="12"/>
        <v>74509</v>
      </c>
      <c r="I18" s="23">
        <f t="shared" si="12"/>
        <v>153591</v>
      </c>
      <c r="J18" s="23">
        <f t="shared" si="12"/>
        <v>226198</v>
      </c>
      <c r="K18" s="23">
        <f t="shared" si="12"/>
        <v>300679.8734</v>
      </c>
      <c r="L18" s="23">
        <f t="shared" si="12"/>
        <v>347938.5962</v>
      </c>
      <c r="M18" s="23">
        <f t="shared" si="12"/>
        <v>403293.3137</v>
      </c>
      <c r="N18" s="23">
        <f t="shared" si="12"/>
        <v>468147.1802</v>
      </c>
      <c r="O18" s="23">
        <f t="shared" si="12"/>
        <v>544148.3965</v>
      </c>
      <c r="P18" s="23">
        <f t="shared" si="12"/>
        <v>633233.2155</v>
      </c>
    </row>
    <row r="19">
      <c r="A19" s="7"/>
    </row>
    <row r="20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  <c r="K20" s="24"/>
      <c r="L20" s="24"/>
      <c r="M20" s="24"/>
      <c r="N20" s="24"/>
      <c r="O20" s="24"/>
      <c r="P20" s="24"/>
    </row>
    <row r="21">
      <c r="A21" s="7"/>
    </row>
    <row r="22">
      <c r="A22" s="113" t="s">
        <v>178</v>
      </c>
      <c r="B22" s="23">
        <f t="shared" ref="B22:P22" si="13">B18-B20</f>
        <v>62518</v>
      </c>
      <c r="C22" s="23">
        <f t="shared" si="13"/>
        <v>100438</v>
      </c>
      <c r="D22" s="23">
        <f t="shared" si="13"/>
        <v>113494</v>
      </c>
      <c r="E22" s="23">
        <f t="shared" si="13"/>
        <v>105440</v>
      </c>
      <c r="F22" s="23">
        <f t="shared" si="13"/>
        <v>71186</v>
      </c>
      <c r="G22" s="23">
        <f t="shared" si="13"/>
        <v>52538</v>
      </c>
      <c r="H22" s="23">
        <f t="shared" si="13"/>
        <v>46619</v>
      </c>
      <c r="I22" s="23">
        <f t="shared" si="13"/>
        <v>105131</v>
      </c>
      <c r="J22" s="23">
        <f t="shared" si="13"/>
        <v>173640</v>
      </c>
      <c r="K22" s="23">
        <f t="shared" si="13"/>
        <v>300679.8734</v>
      </c>
      <c r="L22" s="23">
        <f t="shared" si="13"/>
        <v>347938.5962</v>
      </c>
      <c r="M22" s="23">
        <f t="shared" si="13"/>
        <v>403293.3137</v>
      </c>
      <c r="N22" s="23">
        <f t="shared" si="13"/>
        <v>468147.1802</v>
      </c>
      <c r="O22" s="23">
        <f t="shared" si="13"/>
        <v>544148.3965</v>
      </c>
      <c r="P22" s="23">
        <f t="shared" si="13"/>
        <v>633233.2155</v>
      </c>
    </row>
    <row r="23">
      <c r="A23" s="7"/>
    </row>
    <row r="24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  <c r="K24" s="20">
        <f t="shared" ref="K24:P24" si="14">J24</f>
        <v>1936</v>
      </c>
      <c r="L24" s="21">
        <f t="shared" si="14"/>
        <v>1936</v>
      </c>
      <c r="M24" s="21">
        <f t="shared" si="14"/>
        <v>1936</v>
      </c>
      <c r="N24" s="21">
        <f t="shared" si="14"/>
        <v>1936</v>
      </c>
      <c r="O24" s="21">
        <f t="shared" si="14"/>
        <v>1936</v>
      </c>
      <c r="P24" s="21">
        <f t="shared" si="14"/>
        <v>1936</v>
      </c>
    </row>
    <row r="25">
      <c r="A25" s="7"/>
    </row>
    <row r="26">
      <c r="A26" s="7" t="s">
        <v>23</v>
      </c>
      <c r="B26" s="6">
        <f t="shared" ref="B26:P26" si="15">B22-B24</f>
        <v>61581</v>
      </c>
      <c r="C26" s="6">
        <f t="shared" si="15"/>
        <v>99544</v>
      </c>
      <c r="D26" s="6">
        <f t="shared" si="15"/>
        <v>110036</v>
      </c>
      <c r="E26" s="6">
        <f t="shared" si="15"/>
        <v>104681</v>
      </c>
      <c r="F26" s="6">
        <f t="shared" si="15"/>
        <v>69844</v>
      </c>
      <c r="G26" s="6">
        <f t="shared" si="15"/>
        <v>51520</v>
      </c>
      <c r="H26" s="6">
        <f t="shared" si="15"/>
        <v>45353</v>
      </c>
      <c r="I26" s="6">
        <f t="shared" si="15"/>
        <v>102608</v>
      </c>
      <c r="J26" s="6">
        <f t="shared" si="15"/>
        <v>171704</v>
      </c>
      <c r="K26" s="6">
        <f t="shared" si="15"/>
        <v>298743.8734</v>
      </c>
      <c r="L26" s="6">
        <f t="shared" si="15"/>
        <v>346002.5962</v>
      </c>
      <c r="M26" s="6">
        <f t="shared" si="15"/>
        <v>401357.3137</v>
      </c>
      <c r="N26" s="6">
        <f t="shared" si="15"/>
        <v>466211.1802</v>
      </c>
      <c r="O26" s="6">
        <f t="shared" si="15"/>
        <v>542212.3965</v>
      </c>
      <c r="P26" s="6">
        <f t="shared" si="15"/>
        <v>631297.2155</v>
      </c>
    </row>
    <row r="27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  <c r="K27" s="20">
        <f t="shared" ref="K27:P27" si="16">J27</f>
        <v>2669</v>
      </c>
      <c r="L27" s="21">
        <f t="shared" si="16"/>
        <v>2669</v>
      </c>
      <c r="M27" s="21">
        <f t="shared" si="16"/>
        <v>2669</v>
      </c>
      <c r="N27" s="21">
        <f t="shared" si="16"/>
        <v>2669</v>
      </c>
      <c r="O27" s="21">
        <f t="shared" si="16"/>
        <v>2669</v>
      </c>
      <c r="P27" s="21">
        <f t="shared" si="16"/>
        <v>2669</v>
      </c>
    </row>
    <row r="28">
      <c r="A28" s="113" t="s">
        <v>179</v>
      </c>
      <c r="B28" s="23">
        <f t="shared" ref="B28:P28" si="17">SUM(B26:B27)</f>
        <v>66296</v>
      </c>
      <c r="C28" s="23">
        <f t="shared" si="17"/>
        <v>101272</v>
      </c>
      <c r="D28" s="23">
        <f t="shared" si="17"/>
        <v>111669</v>
      </c>
      <c r="E28" s="23">
        <f t="shared" si="17"/>
        <v>102651</v>
      </c>
      <c r="F28" s="23">
        <f t="shared" si="17"/>
        <v>65427</v>
      </c>
      <c r="G28" s="23">
        <f t="shared" si="17"/>
        <v>56656</v>
      </c>
      <c r="H28" s="23">
        <f t="shared" si="17"/>
        <v>48482</v>
      </c>
      <c r="I28" s="23">
        <f t="shared" si="17"/>
        <v>103194</v>
      </c>
      <c r="J28" s="23">
        <f t="shared" si="17"/>
        <v>174373</v>
      </c>
      <c r="K28" s="23">
        <f t="shared" si="17"/>
        <v>301412.8734</v>
      </c>
      <c r="L28" s="23">
        <f t="shared" si="17"/>
        <v>348671.5962</v>
      </c>
      <c r="M28" s="23">
        <f t="shared" si="17"/>
        <v>404026.3137</v>
      </c>
      <c r="N28" s="23">
        <f t="shared" si="17"/>
        <v>468880.1802</v>
      </c>
      <c r="O28" s="23">
        <f t="shared" si="17"/>
        <v>544881.3965</v>
      </c>
      <c r="P28" s="23">
        <f t="shared" si="17"/>
        <v>633966.2155</v>
      </c>
    </row>
    <row r="29">
      <c r="A29" s="7"/>
    </row>
    <row r="30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  <c r="K30" s="19">
        <f t="shared" ref="K30:P30" si="18">K28*K31</f>
        <v>90423.86202</v>
      </c>
      <c r="L30" s="19">
        <f t="shared" si="18"/>
        <v>104601.4789</v>
      </c>
      <c r="M30" s="19">
        <f t="shared" si="18"/>
        <v>121207.8941</v>
      </c>
      <c r="N30" s="19">
        <f t="shared" si="18"/>
        <v>140664.054</v>
      </c>
      <c r="O30" s="19">
        <f t="shared" si="18"/>
        <v>163464.4189</v>
      </c>
      <c r="P30" s="19">
        <f t="shared" si="18"/>
        <v>190189.8646</v>
      </c>
    </row>
    <row r="31">
      <c r="A31" s="7"/>
      <c r="B31" s="57"/>
      <c r="C31" s="57"/>
      <c r="D31" s="57"/>
      <c r="E31" s="57"/>
      <c r="F31" s="57"/>
      <c r="G31" s="57"/>
      <c r="H31" s="57"/>
      <c r="I31" s="57"/>
      <c r="J31" s="57"/>
      <c r="K31" s="37">
        <v>0.3</v>
      </c>
      <c r="L31" s="38">
        <f t="shared" ref="L31:P31" si="19">K31</f>
        <v>0.3</v>
      </c>
      <c r="M31" s="38">
        <f t="shared" si="19"/>
        <v>0.3</v>
      </c>
      <c r="N31" s="38">
        <f t="shared" si="19"/>
        <v>0.3</v>
      </c>
      <c r="O31" s="38">
        <f t="shared" si="19"/>
        <v>0.3</v>
      </c>
      <c r="P31" s="38">
        <f t="shared" si="19"/>
        <v>0.3</v>
      </c>
    </row>
    <row r="32">
      <c r="A32" s="7" t="s">
        <v>27</v>
      </c>
      <c r="B32" s="6">
        <f t="shared" ref="B32:P32" si="20">B28-B30</f>
        <v>46309</v>
      </c>
      <c r="C32" s="6">
        <f t="shared" si="20"/>
        <v>75110</v>
      </c>
      <c r="D32" s="6">
        <f t="shared" si="20"/>
        <v>78807</v>
      </c>
      <c r="E32" s="6">
        <f t="shared" si="20"/>
        <v>72919</v>
      </c>
      <c r="F32" s="6">
        <f t="shared" si="20"/>
        <v>51175</v>
      </c>
      <c r="G32" s="6">
        <f t="shared" si="20"/>
        <v>47337</v>
      </c>
      <c r="H32" s="6">
        <f t="shared" si="20"/>
        <v>40305</v>
      </c>
      <c r="I32" s="6">
        <f t="shared" si="20"/>
        <v>81449</v>
      </c>
      <c r="J32" s="6">
        <f t="shared" si="20"/>
        <v>135010</v>
      </c>
      <c r="K32" s="6">
        <f t="shared" si="20"/>
        <v>210989.0114</v>
      </c>
      <c r="L32" s="6">
        <f t="shared" si="20"/>
        <v>244070.1173</v>
      </c>
      <c r="M32" s="6">
        <f t="shared" si="20"/>
        <v>282818.4196</v>
      </c>
      <c r="N32" s="6">
        <f t="shared" si="20"/>
        <v>328216.1261</v>
      </c>
      <c r="O32" s="6">
        <f t="shared" si="20"/>
        <v>381416.9775</v>
      </c>
      <c r="P32" s="6">
        <f t="shared" si="20"/>
        <v>443776.3508</v>
      </c>
    </row>
    <row r="33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  <c r="K33" s="20">
        <f t="shared" ref="K33:P33" si="21">J33</f>
        <v>2541</v>
      </c>
      <c r="L33" s="21">
        <f t="shared" si="21"/>
        <v>2541</v>
      </c>
      <c r="M33" s="21">
        <f t="shared" si="21"/>
        <v>2541</v>
      </c>
      <c r="N33" s="21">
        <f t="shared" si="21"/>
        <v>2541</v>
      </c>
      <c r="O33" s="21">
        <f t="shared" si="21"/>
        <v>2541</v>
      </c>
      <c r="P33" s="21">
        <f t="shared" si="21"/>
        <v>2541</v>
      </c>
    </row>
    <row r="34">
      <c r="A34" s="1"/>
    </row>
    <row r="35">
      <c r="A35" s="1"/>
    </row>
    <row r="36">
      <c r="A36" s="45" t="s">
        <v>180</v>
      </c>
      <c r="B36" s="9">
        <f t="shared" ref="B36:D36" si="22">B32+B33</f>
        <v>46988</v>
      </c>
      <c r="C36" s="9">
        <f t="shared" si="22"/>
        <v>77326</v>
      </c>
      <c r="D36" s="9">
        <f t="shared" si="22"/>
        <v>82118</v>
      </c>
      <c r="E36" s="9">
        <f>E32+F33</f>
        <v>74103</v>
      </c>
      <c r="F36" s="9">
        <f t="shared" ref="F36:P36" si="23">F32+F33</f>
        <v>52359</v>
      </c>
      <c r="G36" s="9">
        <f t="shared" si="23"/>
        <v>49027</v>
      </c>
      <c r="H36" s="9">
        <f t="shared" si="23"/>
        <v>41924</v>
      </c>
      <c r="I36" s="9">
        <f t="shared" si="23"/>
        <v>83223</v>
      </c>
      <c r="J36" s="9">
        <f t="shared" si="23"/>
        <v>137551</v>
      </c>
      <c r="K36" s="9">
        <f t="shared" si="23"/>
        <v>213530.0114</v>
      </c>
      <c r="L36" s="9">
        <f t="shared" si="23"/>
        <v>246611.1173</v>
      </c>
      <c r="M36" s="9">
        <f t="shared" si="23"/>
        <v>285359.4196</v>
      </c>
      <c r="N36" s="9">
        <f t="shared" si="23"/>
        <v>330757.1261</v>
      </c>
      <c r="O36" s="9">
        <f t="shared" si="23"/>
        <v>383957.9775</v>
      </c>
      <c r="P36" s="9">
        <f t="shared" si="23"/>
        <v>446317.3508</v>
      </c>
    </row>
    <row r="37">
      <c r="A37" s="1"/>
    </row>
    <row r="38">
      <c r="A38" s="1"/>
    </row>
    <row r="39">
      <c r="A39" s="4" t="s">
        <v>30</v>
      </c>
    </row>
    <row r="40">
      <c r="A40" s="7"/>
    </row>
    <row r="41">
      <c r="A41" s="4" t="s">
        <v>31</v>
      </c>
      <c r="B41" s="27">
        <f t="shared" ref="B41:P41" si="24">SUM(B42:B47)</f>
        <v>306304</v>
      </c>
      <c r="C41" s="27">
        <f t="shared" si="24"/>
        <v>370905</v>
      </c>
      <c r="D41" s="27">
        <f t="shared" si="24"/>
        <v>425755</v>
      </c>
      <c r="E41" s="27">
        <f t="shared" si="24"/>
        <v>471097</v>
      </c>
      <c r="F41" s="27">
        <f t="shared" si="24"/>
        <v>494322</v>
      </c>
      <c r="G41" s="27">
        <f t="shared" si="24"/>
        <v>525006</v>
      </c>
      <c r="H41" s="27">
        <f t="shared" si="24"/>
        <v>553335</v>
      </c>
      <c r="I41" s="27">
        <f t="shared" si="24"/>
        <v>746002</v>
      </c>
      <c r="J41" s="27">
        <f t="shared" si="24"/>
        <v>856360</v>
      </c>
      <c r="K41" s="27">
        <f t="shared" si="24"/>
        <v>1069890.011</v>
      </c>
      <c r="L41" s="27">
        <f t="shared" si="24"/>
        <v>1316501.129</v>
      </c>
      <c r="M41" s="27">
        <f t="shared" si="24"/>
        <v>1601860.548</v>
      </c>
      <c r="N41" s="27">
        <f t="shared" si="24"/>
        <v>1932617.674</v>
      </c>
      <c r="O41" s="27">
        <f t="shared" si="24"/>
        <v>2316575.652</v>
      </c>
      <c r="P41" s="27">
        <f t="shared" si="24"/>
        <v>2762893.003</v>
      </c>
    </row>
    <row r="42">
      <c r="A42" s="1" t="s">
        <v>32</v>
      </c>
      <c r="B42" s="22">
        <v>1510.0</v>
      </c>
      <c r="C42" s="22">
        <v>1510.0</v>
      </c>
      <c r="D42" s="22">
        <v>1510.0</v>
      </c>
      <c r="E42" s="22">
        <v>1510.0</v>
      </c>
      <c r="F42" s="22">
        <v>1510.0</v>
      </c>
      <c r="G42" s="22">
        <v>1510.0</v>
      </c>
      <c r="H42" s="22">
        <v>1510.0</v>
      </c>
      <c r="I42" s="22">
        <v>1572.0</v>
      </c>
      <c r="J42" s="22">
        <v>1572.0</v>
      </c>
      <c r="K42" s="21">
        <f t="shared" ref="K42:P42" si="25">J42</f>
        <v>1572</v>
      </c>
      <c r="L42" s="21">
        <f t="shared" si="25"/>
        <v>1572</v>
      </c>
      <c r="M42" s="21">
        <f t="shared" si="25"/>
        <v>1572</v>
      </c>
      <c r="N42" s="21">
        <f t="shared" si="25"/>
        <v>1572</v>
      </c>
      <c r="O42" s="21">
        <f t="shared" si="25"/>
        <v>1572</v>
      </c>
      <c r="P42" s="21">
        <f t="shared" si="25"/>
        <v>1572</v>
      </c>
    </row>
    <row r="43">
      <c r="A43" s="1" t="s">
        <v>33</v>
      </c>
      <c r="B43" s="22">
        <v>304650.0</v>
      </c>
      <c r="C43" s="22">
        <v>369241.0</v>
      </c>
      <c r="D43" s="22">
        <v>424084.0</v>
      </c>
      <c r="E43" s="22">
        <v>469411.0</v>
      </c>
      <c r="F43" s="22">
        <v>492620.0</v>
      </c>
      <c r="G43" s="22">
        <v>523496.0</v>
      </c>
      <c r="H43" s="22">
        <v>551825.0</v>
      </c>
      <c r="I43" s="22">
        <v>744430.0</v>
      </c>
      <c r="J43" s="22">
        <v>854788.0</v>
      </c>
      <c r="K43" s="19">
        <f t="shared" ref="K43:P43" si="26">J43+K36</f>
        <v>1068318.011</v>
      </c>
      <c r="L43" s="19">
        <f t="shared" si="26"/>
        <v>1314929.129</v>
      </c>
      <c r="M43" s="19">
        <f t="shared" si="26"/>
        <v>1600288.548</v>
      </c>
      <c r="N43" s="19">
        <f t="shared" si="26"/>
        <v>1931045.674</v>
      </c>
      <c r="O43" s="19">
        <f t="shared" si="26"/>
        <v>2315003.652</v>
      </c>
      <c r="P43" s="19">
        <f t="shared" si="26"/>
        <v>2761321.003</v>
      </c>
    </row>
    <row r="44">
      <c r="A44" s="1" t="s">
        <v>34</v>
      </c>
      <c r="B44" s="22">
        <v>0.0</v>
      </c>
      <c r="C44" s="22">
        <v>0.0</v>
      </c>
      <c r="D44" s="22">
        <v>0.0</v>
      </c>
      <c r="E44" s="22">
        <v>0.0</v>
      </c>
      <c r="F44" s="22">
        <v>0.0</v>
      </c>
      <c r="G44" s="22">
        <v>0.0</v>
      </c>
      <c r="H44" s="22">
        <v>0.0</v>
      </c>
      <c r="I44" s="22">
        <v>0.0</v>
      </c>
      <c r="J44" s="22">
        <v>0.0</v>
      </c>
      <c r="K44" s="21">
        <f t="shared" ref="K44:P44" si="27">J44</f>
        <v>0</v>
      </c>
      <c r="L44" s="21">
        <f t="shared" si="27"/>
        <v>0</v>
      </c>
      <c r="M44" s="21">
        <f t="shared" si="27"/>
        <v>0</v>
      </c>
      <c r="N44" s="21">
        <f t="shared" si="27"/>
        <v>0</v>
      </c>
      <c r="O44" s="21">
        <f t="shared" si="27"/>
        <v>0</v>
      </c>
      <c r="P44" s="21">
        <f t="shared" si="27"/>
        <v>0</v>
      </c>
    </row>
    <row r="45">
      <c r="A45" s="7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>
      <c r="A46" s="7" t="s">
        <v>35</v>
      </c>
      <c r="B46" s="22">
        <v>144.0</v>
      </c>
      <c r="C46" s="22">
        <v>154.0</v>
      </c>
      <c r="D46" s="22">
        <v>161.0</v>
      </c>
      <c r="E46" s="22">
        <v>176.0</v>
      </c>
      <c r="F46" s="22">
        <v>192.0</v>
      </c>
      <c r="G46" s="22">
        <v>0.0</v>
      </c>
      <c r="H46" s="22">
        <v>0.0</v>
      </c>
      <c r="I46" s="22">
        <v>0.0</v>
      </c>
      <c r="J46" s="22">
        <v>0.0</v>
      </c>
      <c r="K46" s="21">
        <f t="shared" ref="K46:P46" si="28">J46</f>
        <v>0</v>
      </c>
      <c r="L46" s="21">
        <f t="shared" si="28"/>
        <v>0</v>
      </c>
      <c r="M46" s="21">
        <f t="shared" si="28"/>
        <v>0</v>
      </c>
      <c r="N46" s="21">
        <f t="shared" si="28"/>
        <v>0</v>
      </c>
      <c r="O46" s="21">
        <f t="shared" si="28"/>
        <v>0</v>
      </c>
      <c r="P46" s="21">
        <f t="shared" si="28"/>
        <v>0</v>
      </c>
    </row>
    <row r="47">
      <c r="A47" s="7" t="s">
        <v>36</v>
      </c>
      <c r="B47" s="22">
        <v>0.0</v>
      </c>
      <c r="C47" s="22">
        <v>0.0</v>
      </c>
      <c r="D47" s="22">
        <v>0.0</v>
      </c>
      <c r="E47" s="22">
        <v>0.0</v>
      </c>
      <c r="F47" s="22">
        <v>0.0</v>
      </c>
      <c r="G47" s="22">
        <v>0.0</v>
      </c>
      <c r="H47" s="22">
        <v>0.0</v>
      </c>
      <c r="I47" s="22">
        <v>0.0</v>
      </c>
      <c r="J47" s="22">
        <v>0.0</v>
      </c>
      <c r="K47" s="21">
        <f t="shared" ref="K47:P47" si="29">J47</f>
        <v>0</v>
      </c>
      <c r="L47" s="21">
        <f t="shared" si="29"/>
        <v>0</v>
      </c>
      <c r="M47" s="21">
        <f t="shared" si="29"/>
        <v>0</v>
      </c>
      <c r="N47" s="21">
        <f t="shared" si="29"/>
        <v>0</v>
      </c>
      <c r="O47" s="21">
        <f t="shared" si="29"/>
        <v>0</v>
      </c>
      <c r="P47" s="21">
        <f t="shared" si="29"/>
        <v>0</v>
      </c>
    </row>
    <row r="48">
      <c r="A48" s="7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</row>
    <row r="49">
      <c r="A49" s="4" t="s">
        <v>37</v>
      </c>
      <c r="B49" s="27">
        <f t="shared" ref="B49:P49" si="30">SUM(B50:B54)</f>
        <v>10510</v>
      </c>
      <c r="C49" s="27">
        <f t="shared" si="30"/>
        <v>16332</v>
      </c>
      <c r="D49" s="27">
        <f t="shared" si="30"/>
        <v>22244</v>
      </c>
      <c r="E49" s="27">
        <f t="shared" si="30"/>
        <v>26985</v>
      </c>
      <c r="F49" s="27">
        <f t="shared" si="30"/>
        <v>28901</v>
      </c>
      <c r="G49" s="27">
        <f t="shared" si="30"/>
        <v>26616</v>
      </c>
      <c r="H49" s="27">
        <f t="shared" si="30"/>
        <v>22985</v>
      </c>
      <c r="I49" s="27">
        <f t="shared" si="30"/>
        <v>30185</v>
      </c>
      <c r="J49" s="27">
        <f t="shared" si="30"/>
        <v>37630</v>
      </c>
      <c r="K49" s="27">
        <f t="shared" si="30"/>
        <v>37630</v>
      </c>
      <c r="L49" s="27">
        <f t="shared" si="30"/>
        <v>37630</v>
      </c>
      <c r="M49" s="27">
        <f t="shared" si="30"/>
        <v>37630</v>
      </c>
      <c r="N49" s="27">
        <f t="shared" si="30"/>
        <v>37630</v>
      </c>
      <c r="O49" s="27">
        <f t="shared" si="30"/>
        <v>37630</v>
      </c>
      <c r="P49" s="27">
        <f t="shared" si="30"/>
        <v>37630</v>
      </c>
    </row>
    <row r="50">
      <c r="A50" s="1" t="s">
        <v>38</v>
      </c>
      <c r="B50" s="22">
        <v>0.0</v>
      </c>
      <c r="C50" s="22">
        <v>0.0</v>
      </c>
      <c r="D50" s="22">
        <v>100.0</v>
      </c>
      <c r="E50" s="22">
        <v>80.0</v>
      </c>
      <c r="F50" s="22">
        <v>652.0</v>
      </c>
      <c r="G50" s="22">
        <v>420.0</v>
      </c>
      <c r="H50" s="22">
        <v>329.0</v>
      </c>
      <c r="I50" s="22">
        <v>250.0</v>
      </c>
      <c r="J50" s="22">
        <v>677.0</v>
      </c>
      <c r="K50" s="21">
        <f t="shared" ref="K50:P50" si="31">J50</f>
        <v>677</v>
      </c>
      <c r="L50" s="21">
        <f t="shared" si="31"/>
        <v>677</v>
      </c>
      <c r="M50" s="21">
        <f t="shared" si="31"/>
        <v>677</v>
      </c>
      <c r="N50" s="21">
        <f t="shared" si="31"/>
        <v>677</v>
      </c>
      <c r="O50" s="21">
        <f t="shared" si="31"/>
        <v>677</v>
      </c>
      <c r="P50" s="21">
        <f t="shared" si="31"/>
        <v>677</v>
      </c>
    </row>
    <row r="51">
      <c r="A51" s="1" t="s">
        <v>39</v>
      </c>
      <c r="B51" s="22">
        <v>8075.0</v>
      </c>
      <c r="C51" s="22">
        <v>11055.0</v>
      </c>
      <c r="D51" s="22">
        <v>15859.0</v>
      </c>
      <c r="E51" s="22">
        <v>20371.0</v>
      </c>
      <c r="F51" s="22">
        <v>21158.0</v>
      </c>
      <c r="G51" s="22">
        <v>21295.0</v>
      </c>
      <c r="H51" s="22">
        <v>21812.0</v>
      </c>
      <c r="I51" s="22">
        <v>25850.0</v>
      </c>
      <c r="J51" s="22">
        <v>31617.0</v>
      </c>
      <c r="K51" s="21">
        <f t="shared" ref="K51:P51" si="32">J51</f>
        <v>31617</v>
      </c>
      <c r="L51" s="21">
        <f t="shared" si="32"/>
        <v>31617</v>
      </c>
      <c r="M51" s="21">
        <f t="shared" si="32"/>
        <v>31617</v>
      </c>
      <c r="N51" s="21">
        <f t="shared" si="32"/>
        <v>31617</v>
      </c>
      <c r="O51" s="21">
        <f t="shared" si="32"/>
        <v>31617</v>
      </c>
      <c r="P51" s="21">
        <f t="shared" si="32"/>
        <v>31617</v>
      </c>
    </row>
    <row r="52">
      <c r="A52" s="1" t="s">
        <v>40</v>
      </c>
      <c r="B52" s="22">
        <v>148.0</v>
      </c>
      <c r="C52" s="22">
        <v>219.0</v>
      </c>
      <c r="D52" s="22">
        <v>265.0</v>
      </c>
      <c r="E52" s="22">
        <v>395.0</v>
      </c>
      <c r="F52" s="22">
        <v>516.0</v>
      </c>
      <c r="G52" s="22">
        <v>447.0</v>
      </c>
      <c r="H52" s="22">
        <v>844.0</v>
      </c>
      <c r="I52" s="22">
        <v>875.0</v>
      </c>
      <c r="J52" s="22">
        <v>1448.0</v>
      </c>
      <c r="K52" s="21">
        <f t="shared" ref="K52:P52" si="33">J52</f>
        <v>1448</v>
      </c>
      <c r="L52" s="21">
        <f t="shared" si="33"/>
        <v>1448</v>
      </c>
      <c r="M52" s="21">
        <f t="shared" si="33"/>
        <v>1448</v>
      </c>
      <c r="N52" s="21">
        <f t="shared" si="33"/>
        <v>1448</v>
      </c>
      <c r="O52" s="21">
        <f t="shared" si="33"/>
        <v>1448</v>
      </c>
      <c r="P52" s="21">
        <f t="shared" si="33"/>
        <v>1448</v>
      </c>
    </row>
    <row r="53">
      <c r="A53" s="1" t="s">
        <v>41</v>
      </c>
      <c r="B53" s="22">
        <v>2287.0</v>
      </c>
      <c r="C53" s="22">
        <v>5058.0</v>
      </c>
      <c r="D53" s="22">
        <v>6020.0</v>
      </c>
      <c r="E53" s="22">
        <v>6139.0</v>
      </c>
      <c r="F53" s="22">
        <v>6575.0</v>
      </c>
      <c r="G53" s="22">
        <v>4454.0</v>
      </c>
      <c r="H53" s="22">
        <v>0.0</v>
      </c>
      <c r="I53" s="22">
        <v>3210.0</v>
      </c>
      <c r="J53" s="22">
        <v>3888.0</v>
      </c>
      <c r="K53" s="21">
        <f t="shared" ref="K53:P53" si="34">J53</f>
        <v>3888</v>
      </c>
      <c r="L53" s="21">
        <f t="shared" si="34"/>
        <v>3888</v>
      </c>
      <c r="M53" s="21">
        <f t="shared" si="34"/>
        <v>3888</v>
      </c>
      <c r="N53" s="21">
        <f t="shared" si="34"/>
        <v>3888</v>
      </c>
      <c r="O53" s="21">
        <f t="shared" si="34"/>
        <v>3888</v>
      </c>
      <c r="P53" s="21">
        <f t="shared" si="34"/>
        <v>3888</v>
      </c>
    </row>
    <row r="54">
      <c r="A54" s="7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</row>
    <row r="55">
      <c r="A55" s="18" t="s">
        <v>42</v>
      </c>
      <c r="B55" s="27">
        <f t="shared" ref="B55:P55" si="35">SUM(B56:B62)</f>
        <v>110441</v>
      </c>
      <c r="C55" s="27">
        <f t="shared" si="35"/>
        <v>132368</v>
      </c>
      <c r="D55" s="27">
        <f t="shared" si="35"/>
        <v>154485</v>
      </c>
      <c r="E55" s="27">
        <f t="shared" si="35"/>
        <v>141605</v>
      </c>
      <c r="F55" s="27">
        <f t="shared" si="35"/>
        <v>113054</v>
      </c>
      <c r="G55" s="27">
        <f t="shared" si="35"/>
        <v>162139</v>
      </c>
      <c r="H55" s="27">
        <f t="shared" si="35"/>
        <v>170235</v>
      </c>
      <c r="I55" s="27">
        <f t="shared" si="35"/>
        <v>227667</v>
      </c>
      <c r="J55" s="27">
        <f t="shared" si="35"/>
        <v>259518</v>
      </c>
      <c r="K55" s="27">
        <f t="shared" si="35"/>
        <v>333413.6646</v>
      </c>
      <c r="L55" s="27">
        <f t="shared" si="35"/>
        <v>389551.2984</v>
      </c>
      <c r="M55" s="27">
        <f t="shared" si="35"/>
        <v>455305.9924</v>
      </c>
      <c r="N55" s="27">
        <f t="shared" si="35"/>
        <v>532344.524</v>
      </c>
      <c r="O55" s="27">
        <f t="shared" si="35"/>
        <v>622624.7559</v>
      </c>
      <c r="P55" s="27">
        <f t="shared" si="35"/>
        <v>728446.7217</v>
      </c>
    </row>
    <row r="56">
      <c r="A56" s="1" t="s">
        <v>43</v>
      </c>
      <c r="B56" s="22">
        <v>7956.0</v>
      </c>
      <c r="C56" s="22">
        <v>8036.0</v>
      </c>
      <c r="D56" s="22">
        <v>8541.0</v>
      </c>
      <c r="E56" s="22">
        <v>6729.0</v>
      </c>
      <c r="F56" s="22">
        <v>6962.0</v>
      </c>
      <c r="G56" s="22">
        <v>8547.0</v>
      </c>
      <c r="H56" s="22">
        <v>11113.0</v>
      </c>
      <c r="I56" s="22">
        <v>11584.0</v>
      </c>
      <c r="J56" s="22">
        <v>12030.0</v>
      </c>
      <c r="K56" s="19">
        <f t="shared" ref="K56:P56" si="36">K163</f>
        <v>17456.21281</v>
      </c>
      <c r="L56" s="19">
        <f t="shared" si="36"/>
        <v>20395.35594</v>
      </c>
      <c r="M56" s="19">
        <f t="shared" si="36"/>
        <v>23838.01008</v>
      </c>
      <c r="N56" s="19">
        <f t="shared" si="36"/>
        <v>27871.44105</v>
      </c>
      <c r="O56" s="19">
        <f t="shared" si="36"/>
        <v>32598.15476</v>
      </c>
      <c r="P56" s="19">
        <f t="shared" si="36"/>
        <v>38138.57181</v>
      </c>
    </row>
    <row r="57">
      <c r="A57" s="1" t="s">
        <v>44</v>
      </c>
      <c r="B57" s="22">
        <v>774.0</v>
      </c>
      <c r="C57" s="22">
        <v>4838.0</v>
      </c>
      <c r="D57" s="22">
        <v>1108.0</v>
      </c>
      <c r="E57" s="22">
        <v>1496.0</v>
      </c>
      <c r="F57" s="22">
        <v>1063.0</v>
      </c>
      <c r="G57" s="22">
        <v>4962.0</v>
      </c>
      <c r="H57" s="22">
        <v>3819.0</v>
      </c>
      <c r="I57" s="22">
        <v>12226.0</v>
      </c>
      <c r="J57" s="22">
        <v>509.0</v>
      </c>
      <c r="K57" s="19">
        <f t="shared" ref="K57:P57" si="37">K164</f>
        <v>1745.621281</v>
      </c>
      <c r="L57" s="19">
        <f t="shared" si="37"/>
        <v>2039.535594</v>
      </c>
      <c r="M57" s="19">
        <f t="shared" si="37"/>
        <v>2383.801008</v>
      </c>
      <c r="N57" s="19">
        <f t="shared" si="37"/>
        <v>2787.144105</v>
      </c>
      <c r="O57" s="19">
        <f t="shared" si="37"/>
        <v>3259.815476</v>
      </c>
      <c r="P57" s="19">
        <f t="shared" si="37"/>
        <v>3813.857181</v>
      </c>
    </row>
    <row r="58">
      <c r="A58" s="29" t="s">
        <v>110</v>
      </c>
      <c r="B58" s="22">
        <v>74089.0</v>
      </c>
      <c r="C58" s="22">
        <v>83692.0</v>
      </c>
      <c r="D58" s="22">
        <v>104993.0</v>
      </c>
      <c r="E58" s="22">
        <v>96377.0</v>
      </c>
      <c r="F58" s="22">
        <v>75091.0</v>
      </c>
      <c r="G58" s="22">
        <v>101681.0</v>
      </c>
      <c r="H58" s="22">
        <v>97732.0</v>
      </c>
      <c r="I58" s="22">
        <v>1947.0</v>
      </c>
      <c r="J58" s="22">
        <v>2070.0</v>
      </c>
      <c r="K58" s="19">
        <f t="shared" ref="K58:P58" si="38">K165</f>
        <v>209474.5537</v>
      </c>
      <c r="L58" s="19">
        <f t="shared" si="38"/>
        <v>244744.2712</v>
      </c>
      <c r="M58" s="19">
        <f t="shared" si="38"/>
        <v>286056.1209</v>
      </c>
      <c r="N58" s="19">
        <f t="shared" si="38"/>
        <v>334457.2926</v>
      </c>
      <c r="O58" s="19">
        <f t="shared" si="38"/>
        <v>391177.8571</v>
      </c>
      <c r="P58" s="19">
        <f t="shared" si="38"/>
        <v>457662.8618</v>
      </c>
    </row>
    <row r="59">
      <c r="A59" s="1" t="s">
        <v>45</v>
      </c>
      <c r="B59" s="22">
        <v>0.0</v>
      </c>
      <c r="C59" s="22">
        <v>0.0</v>
      </c>
      <c r="D59" s="22">
        <v>0.0</v>
      </c>
      <c r="E59" s="22">
        <v>0.0</v>
      </c>
      <c r="F59" s="22">
        <v>0.0</v>
      </c>
      <c r="G59" s="22">
        <v>0.0</v>
      </c>
      <c r="H59" s="22">
        <v>0.0</v>
      </c>
      <c r="I59" s="22">
        <v>134808.0</v>
      </c>
      <c r="J59" s="22">
        <v>167814.0</v>
      </c>
      <c r="K59" s="114"/>
      <c r="L59" s="114"/>
      <c r="M59" s="114"/>
      <c r="N59" s="114"/>
      <c r="O59" s="114"/>
      <c r="P59" s="114"/>
    </row>
    <row r="60">
      <c r="A60" s="1" t="s">
        <v>46</v>
      </c>
      <c r="B60" s="22">
        <v>11650.0</v>
      </c>
      <c r="C60" s="22">
        <v>18278.0</v>
      </c>
      <c r="D60" s="22">
        <v>20896.0</v>
      </c>
      <c r="E60" s="22">
        <v>16329.0</v>
      </c>
      <c r="F60" s="22">
        <v>14091.0</v>
      </c>
      <c r="G60" s="22">
        <v>26801.0</v>
      </c>
      <c r="H60" s="22">
        <v>28686.0</v>
      </c>
      <c r="I60" s="22">
        <v>33372.0</v>
      </c>
      <c r="J60" s="22">
        <v>41739.0</v>
      </c>
      <c r="K60" s="19">
        <f t="shared" ref="K60:P60" si="39">K166</f>
        <v>52368.63842</v>
      </c>
      <c r="L60" s="19">
        <f t="shared" si="39"/>
        <v>61186.06781</v>
      </c>
      <c r="M60" s="19">
        <f t="shared" si="39"/>
        <v>71514.03023</v>
      </c>
      <c r="N60" s="19">
        <f t="shared" si="39"/>
        <v>83614.32315</v>
      </c>
      <c r="O60" s="19">
        <f t="shared" si="39"/>
        <v>97794.46428</v>
      </c>
      <c r="P60" s="19">
        <f t="shared" si="39"/>
        <v>114415.7154</v>
      </c>
    </row>
    <row r="61">
      <c r="A61" s="1" t="s">
        <v>47</v>
      </c>
      <c r="B61" s="22">
        <v>3994.0</v>
      </c>
      <c r="C61" s="22">
        <v>4496.0</v>
      </c>
      <c r="D61" s="22">
        <v>5609.0</v>
      </c>
      <c r="E61" s="22">
        <v>6254.0</v>
      </c>
      <c r="F61" s="22">
        <v>6807.0</v>
      </c>
      <c r="G61" s="22">
        <v>7428.0</v>
      </c>
      <c r="H61" s="22">
        <v>8613.0</v>
      </c>
      <c r="I61" s="22">
        <v>10830.0</v>
      </c>
      <c r="J61" s="22">
        <v>13119.0</v>
      </c>
      <c r="K61" s="19">
        <f t="shared" ref="K61:P61" si="40">K167</f>
        <v>17456.21281</v>
      </c>
      <c r="L61" s="19">
        <f t="shared" si="40"/>
        <v>20395.35594</v>
      </c>
      <c r="M61" s="19">
        <f t="shared" si="40"/>
        <v>23838.01008</v>
      </c>
      <c r="N61" s="19">
        <f t="shared" si="40"/>
        <v>27871.44105</v>
      </c>
      <c r="O61" s="19">
        <f t="shared" si="40"/>
        <v>32598.15476</v>
      </c>
      <c r="P61" s="19">
        <f t="shared" si="40"/>
        <v>38138.57181</v>
      </c>
    </row>
    <row r="62">
      <c r="A62" s="1" t="s">
        <v>48</v>
      </c>
      <c r="B62" s="22">
        <v>11978.0</v>
      </c>
      <c r="C62" s="22">
        <v>13028.0</v>
      </c>
      <c r="D62" s="22">
        <v>13338.0</v>
      </c>
      <c r="E62" s="22">
        <v>14420.0</v>
      </c>
      <c r="F62" s="22">
        <v>9040.0</v>
      </c>
      <c r="G62" s="22">
        <v>12720.0</v>
      </c>
      <c r="H62" s="22">
        <v>20272.0</v>
      </c>
      <c r="I62" s="22">
        <v>22900.0</v>
      </c>
      <c r="J62" s="22">
        <v>22237.0</v>
      </c>
      <c r="K62" s="19">
        <f t="shared" ref="K62:P62" si="41">K168</f>
        <v>34912.42561</v>
      </c>
      <c r="L62" s="19">
        <f t="shared" si="41"/>
        <v>40790.71187</v>
      </c>
      <c r="M62" s="19">
        <f t="shared" si="41"/>
        <v>47676.02015</v>
      </c>
      <c r="N62" s="19">
        <f t="shared" si="41"/>
        <v>55742.8821</v>
      </c>
      <c r="O62" s="19">
        <f t="shared" si="41"/>
        <v>65196.30952</v>
      </c>
      <c r="P62" s="19">
        <f t="shared" si="41"/>
        <v>76277.14363</v>
      </c>
    </row>
    <row r="63">
      <c r="A63" s="8" t="s">
        <v>49</v>
      </c>
      <c r="B63" s="30">
        <f t="shared" ref="B63:P63" si="42">sum(B41,B49,B55)</f>
        <v>427255</v>
      </c>
      <c r="C63" s="30">
        <f t="shared" si="42"/>
        <v>519605</v>
      </c>
      <c r="D63" s="30">
        <f t="shared" si="42"/>
        <v>602484</v>
      </c>
      <c r="E63" s="30">
        <f t="shared" si="42"/>
        <v>639687</v>
      </c>
      <c r="F63" s="30">
        <f t="shared" si="42"/>
        <v>636277</v>
      </c>
      <c r="G63" s="30">
        <f t="shared" si="42"/>
        <v>713761</v>
      </c>
      <c r="H63" s="30">
        <f t="shared" si="42"/>
        <v>746555</v>
      </c>
      <c r="I63" s="30">
        <f t="shared" si="42"/>
        <v>1003854</v>
      </c>
      <c r="J63" s="30">
        <f t="shared" si="42"/>
        <v>1153508</v>
      </c>
      <c r="K63" s="30">
        <f t="shared" si="42"/>
        <v>1440933.676</v>
      </c>
      <c r="L63" s="30">
        <f t="shared" si="42"/>
        <v>1743682.427</v>
      </c>
      <c r="M63" s="30">
        <f t="shared" si="42"/>
        <v>2094796.541</v>
      </c>
      <c r="N63" s="30">
        <f t="shared" si="42"/>
        <v>2502592.198</v>
      </c>
      <c r="O63" s="30">
        <f t="shared" si="42"/>
        <v>2976830.408</v>
      </c>
      <c r="P63" s="30">
        <f t="shared" si="42"/>
        <v>3528969.724</v>
      </c>
    </row>
    <row r="64">
      <c r="A64" s="7"/>
    </row>
    <row r="65">
      <c r="A65" s="7"/>
    </row>
    <row r="66">
      <c r="A66" s="4" t="s">
        <v>50</v>
      </c>
    </row>
    <row r="67">
      <c r="A67" s="7"/>
    </row>
    <row r="68">
      <c r="A68" s="18" t="s">
        <v>51</v>
      </c>
      <c r="B68" s="27">
        <f t="shared" ref="B68:P68" si="43">SUM(B69:B80)</f>
        <v>347744</v>
      </c>
      <c r="C68" s="27">
        <f t="shared" si="43"/>
        <v>431625</v>
      </c>
      <c r="D68" s="27">
        <f t="shared" si="43"/>
        <v>523184</v>
      </c>
      <c r="E68" s="27">
        <f t="shared" si="43"/>
        <v>515960</v>
      </c>
      <c r="F68" s="27">
        <f t="shared" si="43"/>
        <v>551871</v>
      </c>
      <c r="G68" s="27">
        <f t="shared" si="43"/>
        <v>532791</v>
      </c>
      <c r="H68" s="27">
        <f t="shared" si="43"/>
        <v>578621</v>
      </c>
      <c r="I68" s="27">
        <f t="shared" si="43"/>
        <v>847162</v>
      </c>
      <c r="J68" s="27">
        <f t="shared" si="43"/>
        <v>927170</v>
      </c>
      <c r="K68" s="27">
        <f t="shared" si="43"/>
        <v>571174</v>
      </c>
      <c r="L68" s="27">
        <f t="shared" si="43"/>
        <v>571174</v>
      </c>
      <c r="M68" s="27">
        <f t="shared" si="43"/>
        <v>571174</v>
      </c>
      <c r="N68" s="27">
        <f t="shared" si="43"/>
        <v>571174</v>
      </c>
      <c r="O68" s="27">
        <f t="shared" si="43"/>
        <v>571174</v>
      </c>
      <c r="P68" s="27">
        <f t="shared" si="43"/>
        <v>571174</v>
      </c>
    </row>
    <row r="69">
      <c r="A69" s="28" t="s">
        <v>101</v>
      </c>
      <c r="B69" s="22">
        <v>121827.0</v>
      </c>
      <c r="C69" s="22">
        <v>129377.0</v>
      </c>
      <c r="D69" s="22">
        <v>130771.0</v>
      </c>
      <c r="E69" s="22">
        <v>149862.0</v>
      </c>
      <c r="F69" s="22">
        <v>147905.0</v>
      </c>
      <c r="G69" s="22">
        <v>141785.0</v>
      </c>
      <c r="H69" s="22">
        <v>128261.0</v>
      </c>
      <c r="I69" s="22">
        <v>268028.0</v>
      </c>
      <c r="J69" s="22">
        <v>267982.0</v>
      </c>
      <c r="K69" s="19"/>
      <c r="L69" s="19"/>
      <c r="M69" s="19"/>
      <c r="N69" s="19"/>
      <c r="O69" s="19"/>
      <c r="P69" s="19"/>
    </row>
    <row r="70">
      <c r="A70" s="16" t="s">
        <v>53</v>
      </c>
      <c r="B70" s="22">
        <v>3469.0</v>
      </c>
      <c r="C70" s="22">
        <v>3730.0</v>
      </c>
      <c r="D70" s="22">
        <v>3117.0</v>
      </c>
      <c r="E70" s="22">
        <v>4511.0</v>
      </c>
      <c r="F70" s="22">
        <v>4067.0</v>
      </c>
      <c r="G70" s="22">
        <v>2242.0</v>
      </c>
      <c r="H70" s="22">
        <v>3499.0</v>
      </c>
      <c r="I70" s="22">
        <v>5479.0</v>
      </c>
      <c r="J70" s="22">
        <v>4537.0</v>
      </c>
      <c r="K70" s="115"/>
      <c r="L70" s="115"/>
      <c r="M70" s="115"/>
      <c r="N70" s="115"/>
      <c r="O70" s="115"/>
      <c r="P70" s="115"/>
    </row>
    <row r="71">
      <c r="A71" s="16" t="s">
        <v>54</v>
      </c>
      <c r="B71" s="22">
        <v>10069.0</v>
      </c>
      <c r="C71" s="22">
        <v>12523.0</v>
      </c>
      <c r="D71" s="22">
        <v>21321.0</v>
      </c>
      <c r="E71" s="22">
        <v>16069.0</v>
      </c>
      <c r="F71" s="22">
        <v>13443.0</v>
      </c>
      <c r="G71" s="22">
        <v>11993.0</v>
      </c>
      <c r="H71" s="22">
        <v>26462.0</v>
      </c>
      <c r="I71" s="22">
        <v>40541.0</v>
      </c>
      <c r="J71" s="22">
        <v>75043.0</v>
      </c>
      <c r="K71" s="115"/>
      <c r="L71" s="115"/>
      <c r="M71" s="115"/>
      <c r="N71" s="115"/>
      <c r="O71" s="115"/>
      <c r="P71" s="115"/>
    </row>
    <row r="72">
      <c r="A72" s="16" t="s">
        <v>55</v>
      </c>
      <c r="B72" s="22">
        <v>0.0</v>
      </c>
      <c r="C72" s="22">
        <v>0.0</v>
      </c>
      <c r="D72" s="22">
        <v>0.0</v>
      </c>
      <c r="E72" s="22">
        <v>0.0</v>
      </c>
      <c r="F72" s="22">
        <v>0.0</v>
      </c>
      <c r="G72" s="22">
        <v>2975.0</v>
      </c>
      <c r="H72" s="22">
        <v>2903.0</v>
      </c>
      <c r="I72" s="15">
        <v>889.0</v>
      </c>
      <c r="J72" s="22">
        <v>2305.0</v>
      </c>
      <c r="K72" s="115"/>
      <c r="L72" s="115"/>
      <c r="M72" s="115"/>
      <c r="N72" s="115"/>
      <c r="O72" s="115"/>
      <c r="P72" s="115"/>
    </row>
    <row r="73">
      <c r="A73" s="29" t="s">
        <v>102</v>
      </c>
      <c r="B73" s="22">
        <v>0.0</v>
      </c>
      <c r="C73" s="22">
        <v>0.0</v>
      </c>
      <c r="D73" s="22">
        <v>0.0</v>
      </c>
      <c r="E73" s="22">
        <v>0.0</v>
      </c>
      <c r="F73" s="22">
        <v>6181.0</v>
      </c>
      <c r="G73" s="22">
        <v>5860.0</v>
      </c>
      <c r="H73" s="22">
        <v>5712.0</v>
      </c>
      <c r="I73" s="22">
        <v>5907.0</v>
      </c>
      <c r="J73" s="22">
        <v>6129.0</v>
      </c>
      <c r="K73" s="115"/>
      <c r="L73" s="115"/>
      <c r="M73" s="115"/>
      <c r="N73" s="115"/>
      <c r="O73" s="115"/>
      <c r="P73" s="115"/>
    </row>
    <row r="74">
      <c r="A74" s="1" t="s">
        <v>56</v>
      </c>
      <c r="B74" s="22">
        <v>195345.0</v>
      </c>
      <c r="C74" s="22">
        <v>269718.0</v>
      </c>
      <c r="D74" s="22">
        <v>349058.0</v>
      </c>
      <c r="E74" s="22">
        <v>324581.0</v>
      </c>
      <c r="F74" s="22">
        <v>362692.0</v>
      </c>
      <c r="G74" s="22">
        <v>345291.0</v>
      </c>
      <c r="H74" s="22">
        <v>379348.0</v>
      </c>
      <c r="I74" s="22">
        <v>491843.0</v>
      </c>
      <c r="J74" s="22">
        <v>533838.0</v>
      </c>
      <c r="K74" s="21">
        <f t="shared" ref="K74:P74" si="44">J74</f>
        <v>533838</v>
      </c>
      <c r="L74" s="21">
        <f t="shared" si="44"/>
        <v>533838</v>
      </c>
      <c r="M74" s="21">
        <f t="shared" si="44"/>
        <v>533838</v>
      </c>
      <c r="N74" s="21">
        <f t="shared" si="44"/>
        <v>533838</v>
      </c>
      <c r="O74" s="21">
        <f t="shared" si="44"/>
        <v>533838</v>
      </c>
      <c r="P74" s="21">
        <f t="shared" si="44"/>
        <v>533838</v>
      </c>
    </row>
    <row r="75">
      <c r="A75" s="1" t="s">
        <v>57</v>
      </c>
      <c r="B75" s="22">
        <v>234.0</v>
      </c>
      <c r="C75" s="22">
        <v>241.0</v>
      </c>
      <c r="D75" s="22">
        <v>328.0</v>
      </c>
      <c r="E75" s="22">
        <v>344.0</v>
      </c>
      <c r="F75" s="22">
        <v>365.0</v>
      </c>
      <c r="G75" s="22">
        <v>369.0</v>
      </c>
      <c r="H75" s="22">
        <v>375.0</v>
      </c>
      <c r="I75" s="22">
        <v>2398.0</v>
      </c>
      <c r="J75" s="22">
        <v>2981.0</v>
      </c>
      <c r="K75" s="21">
        <f t="shared" ref="K75:P75" si="45">J75</f>
        <v>2981</v>
      </c>
      <c r="L75" s="21">
        <f t="shared" si="45"/>
        <v>2981</v>
      </c>
      <c r="M75" s="21">
        <f t="shared" si="45"/>
        <v>2981</v>
      </c>
      <c r="N75" s="21">
        <f t="shared" si="45"/>
        <v>2981</v>
      </c>
      <c r="O75" s="21">
        <f t="shared" si="45"/>
        <v>2981</v>
      </c>
      <c r="P75" s="21">
        <f t="shared" si="45"/>
        <v>2981</v>
      </c>
    </row>
    <row r="76">
      <c r="A76" s="1" t="s">
        <v>58</v>
      </c>
      <c r="B76" s="22">
        <v>4.0</v>
      </c>
      <c r="C76" s="22">
        <v>3.0</v>
      </c>
      <c r="D76" s="22">
        <v>2.0</v>
      </c>
      <c r="E76" s="22">
        <v>2.0</v>
      </c>
      <c r="F76" s="22">
        <v>2.0</v>
      </c>
      <c r="G76" s="22">
        <v>2.0</v>
      </c>
      <c r="H76" s="22">
        <v>5446.0</v>
      </c>
      <c r="I76" s="22">
        <v>2.0</v>
      </c>
      <c r="J76" s="22">
        <v>1.0</v>
      </c>
      <c r="K76" s="21">
        <f t="shared" ref="K76:P76" si="46">J76</f>
        <v>1</v>
      </c>
      <c r="L76" s="21">
        <f t="shared" si="46"/>
        <v>1</v>
      </c>
      <c r="M76" s="21">
        <f t="shared" si="46"/>
        <v>1</v>
      </c>
      <c r="N76" s="21">
        <f t="shared" si="46"/>
        <v>1</v>
      </c>
      <c r="O76" s="21">
        <f t="shared" si="46"/>
        <v>1</v>
      </c>
      <c r="P76" s="21">
        <f t="shared" si="46"/>
        <v>1</v>
      </c>
    </row>
    <row r="77">
      <c r="A77" s="1" t="s">
        <v>59</v>
      </c>
      <c r="B77" s="22">
        <v>16796.0</v>
      </c>
      <c r="C77" s="22">
        <v>16033.0</v>
      </c>
      <c r="D77" s="22">
        <v>18587.0</v>
      </c>
      <c r="E77" s="22">
        <v>20591.0</v>
      </c>
      <c r="F77" s="22">
        <v>17216.0</v>
      </c>
      <c r="G77" s="22">
        <v>16867.0</v>
      </c>
      <c r="H77" s="22">
        <v>1411.0</v>
      </c>
      <c r="I77" s="22">
        <v>23226.0</v>
      </c>
      <c r="J77" s="22">
        <v>28049.0</v>
      </c>
      <c r="K77" s="21">
        <f t="shared" ref="K77:P77" si="47">J77</f>
        <v>28049</v>
      </c>
      <c r="L77" s="21">
        <f t="shared" si="47"/>
        <v>28049</v>
      </c>
      <c r="M77" s="21">
        <f t="shared" si="47"/>
        <v>28049</v>
      </c>
      <c r="N77" s="21">
        <f t="shared" si="47"/>
        <v>28049</v>
      </c>
      <c r="O77" s="21">
        <f t="shared" si="47"/>
        <v>28049</v>
      </c>
      <c r="P77" s="21">
        <f t="shared" si="47"/>
        <v>28049</v>
      </c>
    </row>
    <row r="78">
      <c r="A78" s="29" t="s">
        <v>103</v>
      </c>
      <c r="B78" s="22">
        <v>0.0</v>
      </c>
      <c r="C78" s="22">
        <v>0.0</v>
      </c>
      <c r="D78" s="22">
        <v>0.0</v>
      </c>
      <c r="E78" s="22">
        <v>0.0</v>
      </c>
      <c r="F78" s="22">
        <v>0.0</v>
      </c>
      <c r="G78" s="22">
        <v>0.0</v>
      </c>
      <c r="H78" s="22">
        <v>0.0</v>
      </c>
      <c r="I78" s="22">
        <v>6055.0</v>
      </c>
      <c r="J78" s="22">
        <v>5838.0</v>
      </c>
      <c r="K78" s="21">
        <f t="shared" ref="K78:P78" si="48">J78</f>
        <v>5838</v>
      </c>
      <c r="L78" s="21">
        <f t="shared" si="48"/>
        <v>5838</v>
      </c>
      <c r="M78" s="21">
        <f t="shared" si="48"/>
        <v>5838</v>
      </c>
      <c r="N78" s="21">
        <f t="shared" si="48"/>
        <v>5838</v>
      </c>
      <c r="O78" s="21">
        <f t="shared" si="48"/>
        <v>5838</v>
      </c>
      <c r="P78" s="21">
        <f t="shared" si="48"/>
        <v>5838</v>
      </c>
    </row>
    <row r="79">
      <c r="A79" s="29" t="s">
        <v>104</v>
      </c>
      <c r="B79" s="22">
        <v>0.0</v>
      </c>
      <c r="C79" s="22">
        <v>0.0</v>
      </c>
      <c r="D79" s="22">
        <v>0.0</v>
      </c>
      <c r="E79" s="22">
        <v>0.0</v>
      </c>
      <c r="F79" s="22">
        <v>0.0</v>
      </c>
      <c r="G79" s="22">
        <v>5407.0</v>
      </c>
      <c r="H79" s="22">
        <v>25204.0</v>
      </c>
      <c r="I79" s="22">
        <v>2794.0</v>
      </c>
      <c r="J79" s="22">
        <v>467.0</v>
      </c>
      <c r="K79" s="21">
        <f t="shared" ref="K79:P79" si="49">J79</f>
        <v>467</v>
      </c>
      <c r="L79" s="21">
        <f t="shared" si="49"/>
        <v>467</v>
      </c>
      <c r="M79" s="21">
        <f t="shared" si="49"/>
        <v>467</v>
      </c>
      <c r="N79" s="21">
        <f t="shared" si="49"/>
        <v>467</v>
      </c>
      <c r="O79" s="21">
        <f t="shared" si="49"/>
        <v>467</v>
      </c>
      <c r="P79" s="21">
        <f t="shared" si="49"/>
        <v>467</v>
      </c>
    </row>
    <row r="80">
      <c r="A80" s="18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</row>
    <row r="81">
      <c r="A81" s="18" t="s">
        <v>60</v>
      </c>
      <c r="B81" s="27">
        <f t="shared" ref="B81:P81" si="50">SUM(B82:B91)</f>
        <v>79511</v>
      </c>
      <c r="C81" s="27">
        <f t="shared" si="50"/>
        <v>87980</v>
      </c>
      <c r="D81" s="27">
        <f t="shared" si="50"/>
        <v>79300</v>
      </c>
      <c r="E81" s="27">
        <f t="shared" si="50"/>
        <v>123727</v>
      </c>
      <c r="F81" s="27">
        <f t="shared" si="50"/>
        <v>84406</v>
      </c>
      <c r="G81" s="27">
        <f t="shared" si="50"/>
        <v>180970</v>
      </c>
      <c r="H81" s="27">
        <f t="shared" si="50"/>
        <v>167934</v>
      </c>
      <c r="I81" s="27">
        <f t="shared" si="50"/>
        <v>156692</v>
      </c>
      <c r="J81" s="27">
        <f t="shared" si="50"/>
        <v>226338</v>
      </c>
      <c r="K81" s="27">
        <f t="shared" si="50"/>
        <v>209876.9401</v>
      </c>
      <c r="L81" s="27">
        <f t="shared" si="50"/>
        <v>245214.4084</v>
      </c>
      <c r="M81" s="27">
        <f t="shared" si="50"/>
        <v>286605.6154</v>
      </c>
      <c r="N81" s="27">
        <f t="shared" si="50"/>
        <v>335099.7624</v>
      </c>
      <c r="O81" s="27">
        <f t="shared" si="50"/>
        <v>391929.2833</v>
      </c>
      <c r="P81" s="27">
        <f t="shared" si="50"/>
        <v>458542.0012</v>
      </c>
    </row>
    <row r="82">
      <c r="A82" s="1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</row>
    <row r="83">
      <c r="A83" s="16" t="s">
        <v>61</v>
      </c>
      <c r="B83" s="22">
        <v>31326.0</v>
      </c>
      <c r="C83" s="22">
        <v>32637.0</v>
      </c>
      <c r="D83" s="22">
        <v>31602.0</v>
      </c>
      <c r="E83" s="22">
        <v>33226.0</v>
      </c>
      <c r="F83" s="22">
        <v>32139.0</v>
      </c>
      <c r="G83" s="22">
        <v>30490.0</v>
      </c>
      <c r="H83" s="22">
        <v>35323.0</v>
      </c>
      <c r="I83" s="22">
        <v>54435.0</v>
      </c>
      <c r="J83" s="22">
        <v>53181.0</v>
      </c>
      <c r="K83" s="19">
        <f t="shared" ref="K83:P83" si="51">K155</f>
        <v>69824.85122</v>
      </c>
      <c r="L83" s="19">
        <f t="shared" si="51"/>
        <v>81581.42375</v>
      </c>
      <c r="M83" s="19">
        <f t="shared" si="51"/>
        <v>95352.0403</v>
      </c>
      <c r="N83" s="19">
        <f t="shared" si="51"/>
        <v>111485.7642</v>
      </c>
      <c r="O83" s="19">
        <f t="shared" si="51"/>
        <v>130392.619</v>
      </c>
      <c r="P83" s="19">
        <f t="shared" si="51"/>
        <v>152554.2873</v>
      </c>
    </row>
    <row r="84">
      <c r="A84" s="16" t="s">
        <v>62</v>
      </c>
      <c r="B84" s="22">
        <v>13234.0</v>
      </c>
      <c r="C84" s="22">
        <v>12026.0</v>
      </c>
      <c r="D84" s="22">
        <v>14654.0</v>
      </c>
      <c r="E84" s="22">
        <v>23128.0</v>
      </c>
      <c r="F84" s="22">
        <v>21298.0</v>
      </c>
      <c r="G84" s="22">
        <v>12799.0</v>
      </c>
      <c r="H84" s="22">
        <v>20345.0</v>
      </c>
      <c r="I84" s="22">
        <v>32848.0</v>
      </c>
      <c r="J84" s="22">
        <v>45968.0</v>
      </c>
      <c r="K84" s="19">
        <f t="shared" ref="K84:P84" si="52">K156</f>
        <v>52368.63842</v>
      </c>
      <c r="L84" s="19">
        <f t="shared" si="52"/>
        <v>61186.06781</v>
      </c>
      <c r="M84" s="19">
        <f t="shared" si="52"/>
        <v>71514.03023</v>
      </c>
      <c r="N84" s="19">
        <f t="shared" si="52"/>
        <v>83614.32315</v>
      </c>
      <c r="O84" s="19">
        <f t="shared" si="52"/>
        <v>97794.46428</v>
      </c>
      <c r="P84" s="19">
        <f t="shared" si="52"/>
        <v>114415.7154</v>
      </c>
    </row>
    <row r="85">
      <c r="A85" s="16" t="s">
        <v>63</v>
      </c>
      <c r="B85" s="22">
        <v>507.0</v>
      </c>
      <c r="C85" s="22">
        <v>235.0</v>
      </c>
      <c r="D85" s="22">
        <v>740.0</v>
      </c>
      <c r="E85" s="22">
        <v>1878.0</v>
      </c>
      <c r="F85" s="22">
        <v>290.0</v>
      </c>
      <c r="G85" s="22">
        <v>30471.0</v>
      </c>
      <c r="H85" s="22">
        <v>30422.0</v>
      </c>
      <c r="I85" s="22">
        <v>27485.0</v>
      </c>
      <c r="J85" s="22">
        <v>28274.0</v>
      </c>
      <c r="K85" s="128"/>
      <c r="L85" s="128"/>
      <c r="M85" s="128"/>
      <c r="N85" s="128"/>
      <c r="O85" s="128"/>
      <c r="P85" s="128"/>
    </row>
    <row r="86">
      <c r="A86" s="16" t="s">
        <v>64</v>
      </c>
      <c r="B86" s="22">
        <v>31.0</v>
      </c>
      <c r="C86" s="22">
        <v>25.0</v>
      </c>
      <c r="D86" s="22">
        <v>30.0</v>
      </c>
      <c r="E86" s="22">
        <v>161.0</v>
      </c>
      <c r="F86" s="22">
        <v>170.0</v>
      </c>
      <c r="G86" s="22">
        <v>230.0</v>
      </c>
      <c r="H86" s="22">
        <v>305.0</v>
      </c>
      <c r="I86" s="22">
        <v>297.0</v>
      </c>
      <c r="J86" s="22">
        <v>327.0</v>
      </c>
      <c r="K86" s="19">
        <f t="shared" ref="K86:P86" si="53">K157</f>
        <v>402.3864385</v>
      </c>
      <c r="L86" s="19">
        <f t="shared" si="53"/>
        <v>470.1371786</v>
      </c>
      <c r="M86" s="19">
        <f t="shared" si="53"/>
        <v>549.4944455</v>
      </c>
      <c r="N86" s="19">
        <f t="shared" si="53"/>
        <v>642.4698201</v>
      </c>
      <c r="O86" s="19">
        <f t="shared" si="53"/>
        <v>751.4261852</v>
      </c>
      <c r="P86" s="19">
        <f t="shared" si="53"/>
        <v>879.1393789</v>
      </c>
    </row>
    <row r="87">
      <c r="A87" s="16" t="s">
        <v>65</v>
      </c>
      <c r="B87" s="22">
        <v>16611.0</v>
      </c>
      <c r="C87" s="22">
        <v>15408.0</v>
      </c>
      <c r="D87" s="22">
        <v>13140.0</v>
      </c>
      <c r="E87" s="22">
        <v>5638.0</v>
      </c>
      <c r="F87" s="22">
        <v>7974.0</v>
      </c>
      <c r="G87" s="22">
        <v>9581.0</v>
      </c>
      <c r="H87" s="22">
        <v>14608.0</v>
      </c>
      <c r="I87" s="22">
        <v>15602.0</v>
      </c>
      <c r="J87" s="22">
        <v>25077.0</v>
      </c>
      <c r="K87" s="19">
        <f t="shared" ref="K87:P87" si="54">K158</f>
        <v>34912.42561</v>
      </c>
      <c r="L87" s="19">
        <f t="shared" si="54"/>
        <v>40790.71187</v>
      </c>
      <c r="M87" s="19">
        <f t="shared" si="54"/>
        <v>47676.02015</v>
      </c>
      <c r="N87" s="19">
        <f t="shared" si="54"/>
        <v>55742.8821</v>
      </c>
      <c r="O87" s="19">
        <f t="shared" si="54"/>
        <v>65196.30952</v>
      </c>
      <c r="P87" s="19">
        <f t="shared" si="54"/>
        <v>76277.14363</v>
      </c>
    </row>
    <row r="88">
      <c r="A88" s="16" t="s">
        <v>66</v>
      </c>
      <c r="B88" s="22">
        <v>4906.0</v>
      </c>
      <c r="C88" s="22">
        <v>4910.0</v>
      </c>
      <c r="D88" s="22">
        <v>4115.0</v>
      </c>
      <c r="E88" s="22">
        <v>4277.0</v>
      </c>
      <c r="F88" s="22">
        <v>5272.0</v>
      </c>
      <c r="G88" s="22">
        <v>0.0</v>
      </c>
      <c r="H88" s="22">
        <v>0.0</v>
      </c>
      <c r="I88" s="22">
        <v>0.0</v>
      </c>
      <c r="J88" s="22">
        <v>0.0</v>
      </c>
      <c r="K88" s="19">
        <f t="shared" ref="K88:P88" si="55">K159</f>
        <v>0</v>
      </c>
      <c r="L88" s="19">
        <f t="shared" si="55"/>
        <v>0</v>
      </c>
      <c r="M88" s="19">
        <f t="shared" si="55"/>
        <v>0</v>
      </c>
      <c r="N88" s="19">
        <f t="shared" si="55"/>
        <v>0</v>
      </c>
      <c r="O88" s="19">
        <f t="shared" si="55"/>
        <v>0</v>
      </c>
      <c r="P88" s="19">
        <f t="shared" si="55"/>
        <v>0</v>
      </c>
    </row>
    <row r="89">
      <c r="A89" s="16" t="s">
        <v>67</v>
      </c>
      <c r="B89" s="22">
        <v>11413.0</v>
      </c>
      <c r="C89" s="22">
        <v>21788.0</v>
      </c>
      <c r="D89" s="22">
        <v>12173.0</v>
      </c>
      <c r="E89" s="22">
        <v>50455.0</v>
      </c>
      <c r="F89" s="22">
        <v>12188.0</v>
      </c>
      <c r="G89" s="22">
        <v>84157.0</v>
      </c>
      <c r="H89" s="22">
        <v>41001.0</v>
      </c>
      <c r="I89" s="22">
        <v>0.0</v>
      </c>
      <c r="J89" s="22">
        <v>39122.0</v>
      </c>
      <c r="K89" s="19">
        <f t="shared" ref="K89:P89" si="56">K160</f>
        <v>52368.63842</v>
      </c>
      <c r="L89" s="19">
        <f t="shared" si="56"/>
        <v>61186.06781</v>
      </c>
      <c r="M89" s="19">
        <f t="shared" si="56"/>
        <v>71514.03023</v>
      </c>
      <c r="N89" s="19">
        <f t="shared" si="56"/>
        <v>83614.32315</v>
      </c>
      <c r="O89" s="19">
        <f t="shared" si="56"/>
        <v>97794.46428</v>
      </c>
      <c r="P89" s="19">
        <f t="shared" si="56"/>
        <v>114415.7154</v>
      </c>
    </row>
    <row r="90">
      <c r="A90" s="1" t="s">
        <v>57</v>
      </c>
      <c r="B90" s="22">
        <v>1483.0</v>
      </c>
      <c r="C90" s="22">
        <v>951.0</v>
      </c>
      <c r="D90" s="22">
        <v>2846.0</v>
      </c>
      <c r="E90" s="22">
        <v>4964.0</v>
      </c>
      <c r="F90" s="22">
        <v>5075.0</v>
      </c>
      <c r="G90" s="22">
        <v>13242.0</v>
      </c>
      <c r="H90" s="22">
        <v>25930.0</v>
      </c>
      <c r="I90" s="22">
        <v>26025.0</v>
      </c>
      <c r="J90" s="22">
        <v>34186.0</v>
      </c>
      <c r="K90" s="115"/>
      <c r="L90" s="115"/>
      <c r="M90" s="115"/>
      <c r="N90" s="115"/>
      <c r="O90" s="115"/>
      <c r="P90" s="115"/>
    </row>
    <row r="91">
      <c r="A91" s="29" t="s">
        <v>105</v>
      </c>
      <c r="B91" s="22">
        <v>0.0</v>
      </c>
      <c r="C91" s="22">
        <v>0.0</v>
      </c>
      <c r="D91" s="22">
        <v>0.0</v>
      </c>
      <c r="E91" s="22">
        <v>0.0</v>
      </c>
      <c r="F91" s="22">
        <v>0.0</v>
      </c>
      <c r="G91" s="22">
        <v>0.0</v>
      </c>
      <c r="H91" s="22">
        <v>0.0</v>
      </c>
      <c r="I91" s="22">
        <v>0.0</v>
      </c>
      <c r="J91" s="22">
        <v>203.0</v>
      </c>
      <c r="K91" s="115"/>
      <c r="L91" s="115"/>
      <c r="M91" s="115"/>
      <c r="N91" s="115"/>
      <c r="O91" s="115"/>
      <c r="P91" s="115"/>
    </row>
    <row r="92">
      <c r="A92" s="8" t="s">
        <v>49</v>
      </c>
      <c r="B92" s="30">
        <f t="shared" ref="B92:P92" si="57">SUM(B68,B81)</f>
        <v>427255</v>
      </c>
      <c r="C92" s="30">
        <f t="shared" si="57"/>
        <v>519605</v>
      </c>
      <c r="D92" s="30">
        <f t="shared" si="57"/>
        <v>602484</v>
      </c>
      <c r="E92" s="30">
        <f t="shared" si="57"/>
        <v>639687</v>
      </c>
      <c r="F92" s="30">
        <f t="shared" si="57"/>
        <v>636277</v>
      </c>
      <c r="G92" s="30">
        <f t="shared" si="57"/>
        <v>713761</v>
      </c>
      <c r="H92" s="30">
        <f t="shared" si="57"/>
        <v>746555</v>
      </c>
      <c r="I92" s="30">
        <f t="shared" si="57"/>
        <v>1003854</v>
      </c>
      <c r="J92" s="30">
        <f t="shared" si="57"/>
        <v>1153508</v>
      </c>
      <c r="K92" s="30">
        <f t="shared" si="57"/>
        <v>781050.9401</v>
      </c>
      <c r="L92" s="30">
        <f t="shared" si="57"/>
        <v>816388.4084</v>
      </c>
      <c r="M92" s="30">
        <f t="shared" si="57"/>
        <v>857779.6154</v>
      </c>
      <c r="N92" s="30">
        <f t="shared" si="57"/>
        <v>906273.7624</v>
      </c>
      <c r="O92" s="30">
        <f t="shared" si="57"/>
        <v>963103.2833</v>
      </c>
      <c r="P92" s="30">
        <f t="shared" si="57"/>
        <v>1029716.001</v>
      </c>
    </row>
    <row r="93">
      <c r="A93" s="32" t="s">
        <v>106</v>
      </c>
      <c r="B93" s="33">
        <f t="shared" ref="B93:P93" si="58">B63-B92</f>
        <v>0</v>
      </c>
      <c r="C93" s="33">
        <f t="shared" si="58"/>
        <v>0</v>
      </c>
      <c r="D93" s="33">
        <f t="shared" si="58"/>
        <v>0</v>
      </c>
      <c r="E93" s="33">
        <f t="shared" si="58"/>
        <v>0</v>
      </c>
      <c r="F93" s="33">
        <f t="shared" si="58"/>
        <v>0</v>
      </c>
      <c r="G93" s="33">
        <f t="shared" si="58"/>
        <v>0</v>
      </c>
      <c r="H93" s="33">
        <f t="shared" si="58"/>
        <v>0</v>
      </c>
      <c r="I93" s="33">
        <f t="shared" si="58"/>
        <v>0</v>
      </c>
      <c r="J93" s="33">
        <f t="shared" si="58"/>
        <v>0</v>
      </c>
      <c r="K93" s="33">
        <f t="shared" si="58"/>
        <v>659882.7359</v>
      </c>
      <c r="L93" s="33">
        <f t="shared" si="58"/>
        <v>927294.0187</v>
      </c>
      <c r="M93" s="33">
        <f t="shared" si="58"/>
        <v>1237016.925</v>
      </c>
      <c r="N93" s="33">
        <f t="shared" si="58"/>
        <v>1596318.436</v>
      </c>
      <c r="O93" s="33">
        <f t="shared" si="58"/>
        <v>2013727.125</v>
      </c>
      <c r="P93" s="33">
        <f t="shared" si="58"/>
        <v>2499253.723</v>
      </c>
    </row>
    <row r="94">
      <c r="A94" s="5"/>
      <c r="B94" s="22"/>
      <c r="C94" s="22"/>
      <c r="D94" s="22"/>
      <c r="E94" s="22"/>
      <c r="F94" s="22"/>
      <c r="G94" s="22"/>
      <c r="H94" s="22"/>
      <c r="I94" s="22"/>
      <c r="J94" s="22"/>
    </row>
    <row r="95">
      <c r="A95" s="5" t="s">
        <v>68</v>
      </c>
      <c r="B95" s="22">
        <v>1500000.0</v>
      </c>
      <c r="C95" s="22">
        <v>1550000.0</v>
      </c>
      <c r="D95" s="22">
        <v>1560000.0</v>
      </c>
      <c r="E95" s="22">
        <v>1580000.0</v>
      </c>
      <c r="F95" s="22">
        <v>2000000.0</v>
      </c>
      <c r="G95" s="22">
        <v>2250000.0</v>
      </c>
      <c r="H95" s="22">
        <v>2250000.0</v>
      </c>
      <c r="I95" s="22">
        <v>2250000.0</v>
      </c>
      <c r="J95" s="22">
        <v>2250000.0</v>
      </c>
      <c r="K95" s="19">
        <f t="shared" ref="K95:P95" si="59">J95+K96</f>
        <v>2550000</v>
      </c>
      <c r="L95" s="19">
        <f t="shared" si="59"/>
        <v>2850000</v>
      </c>
      <c r="M95" s="19">
        <f t="shared" si="59"/>
        <v>3150000</v>
      </c>
      <c r="N95" s="19">
        <f t="shared" si="59"/>
        <v>3450000</v>
      </c>
      <c r="O95" s="19">
        <f t="shared" si="59"/>
        <v>3750000</v>
      </c>
      <c r="P95" s="19">
        <f t="shared" si="59"/>
        <v>4050000</v>
      </c>
    </row>
    <row r="96">
      <c r="A96" s="5" t="s">
        <v>69</v>
      </c>
      <c r="C96" s="19">
        <f t="shared" ref="C96:J96" si="60">C95-B95</f>
        <v>50000</v>
      </c>
      <c r="D96" s="19">
        <f t="shared" si="60"/>
        <v>10000</v>
      </c>
      <c r="E96" s="19">
        <f t="shared" si="60"/>
        <v>20000</v>
      </c>
      <c r="F96" s="19">
        <f t="shared" si="60"/>
        <v>420000</v>
      </c>
      <c r="G96" s="19">
        <f t="shared" si="60"/>
        <v>250000</v>
      </c>
      <c r="H96" s="19">
        <f t="shared" si="60"/>
        <v>0</v>
      </c>
      <c r="I96" s="19">
        <f t="shared" si="60"/>
        <v>0</v>
      </c>
      <c r="J96" s="19">
        <f t="shared" si="60"/>
        <v>0</v>
      </c>
      <c r="K96" s="20">
        <v>300000.0</v>
      </c>
      <c r="L96" s="116">
        <f t="shared" ref="L96:P96" si="61">K96</f>
        <v>300000</v>
      </c>
      <c r="M96" s="116">
        <f t="shared" si="61"/>
        <v>300000</v>
      </c>
      <c r="N96" s="116">
        <f t="shared" si="61"/>
        <v>300000</v>
      </c>
      <c r="O96" s="116">
        <f t="shared" si="61"/>
        <v>300000</v>
      </c>
      <c r="P96" s="116">
        <f t="shared" si="61"/>
        <v>300000</v>
      </c>
    </row>
    <row r="97">
      <c r="A97" s="5"/>
    </row>
    <row r="98">
      <c r="A98" s="5" t="s">
        <v>70</v>
      </c>
      <c r="B98" s="22">
        <v>1305351.0</v>
      </c>
      <c r="C98" s="22">
        <v>1444541.0</v>
      </c>
      <c r="D98" s="22">
        <v>1653500.0</v>
      </c>
      <c r="E98" s="22">
        <v>1753700.0</v>
      </c>
      <c r="F98" s="22">
        <v>1461126.0</v>
      </c>
      <c r="G98" s="22">
        <v>1361722.0</v>
      </c>
      <c r="H98" s="22">
        <v>1414277.0</v>
      </c>
      <c r="I98" s="22">
        <v>1706831.0</v>
      </c>
      <c r="J98" s="22">
        <v>1852256.0</v>
      </c>
      <c r="K98" s="114"/>
      <c r="L98" s="114"/>
      <c r="M98" s="114"/>
      <c r="N98" s="114"/>
      <c r="O98" s="114"/>
      <c r="P98" s="114"/>
    </row>
    <row r="99">
      <c r="A99" s="15" t="s">
        <v>181</v>
      </c>
      <c r="B99" s="22">
        <v>123897.0</v>
      </c>
      <c r="C99" s="22">
        <v>124062.0</v>
      </c>
      <c r="D99" s="22">
        <v>126074.0</v>
      </c>
      <c r="E99" s="22">
        <v>108749.0</v>
      </c>
      <c r="F99" s="22">
        <v>102171.0</v>
      </c>
      <c r="G99" s="22">
        <v>96139.0</v>
      </c>
      <c r="H99" s="22">
        <v>238376.0</v>
      </c>
      <c r="I99" s="22">
        <v>259333.0</v>
      </c>
      <c r="J99" s="22">
        <v>283067.0</v>
      </c>
      <c r="K99" s="114"/>
      <c r="L99" s="114"/>
      <c r="M99" s="114"/>
      <c r="N99" s="114"/>
      <c r="O99" s="114"/>
      <c r="P99" s="114"/>
    </row>
    <row r="100">
      <c r="A100" s="17" t="s">
        <v>49</v>
      </c>
      <c r="B100" s="27">
        <f t="shared" ref="B100:J100" si="62">SUM(B98:B99)</f>
        <v>1429248</v>
      </c>
      <c r="C100" s="27">
        <f t="shared" si="62"/>
        <v>1568603</v>
      </c>
      <c r="D100" s="27">
        <f t="shared" si="62"/>
        <v>1779574</v>
      </c>
      <c r="E100" s="27">
        <f t="shared" si="62"/>
        <v>1862449</v>
      </c>
      <c r="F100" s="27">
        <f t="shared" si="62"/>
        <v>1563297</v>
      </c>
      <c r="G100" s="27">
        <f t="shared" si="62"/>
        <v>1457861</v>
      </c>
      <c r="H100" s="27">
        <f t="shared" si="62"/>
        <v>1652653</v>
      </c>
      <c r="I100" s="27">
        <f t="shared" si="62"/>
        <v>1966164</v>
      </c>
      <c r="J100" s="27">
        <f t="shared" si="62"/>
        <v>2135323</v>
      </c>
      <c r="K100" s="52">
        <f t="shared" ref="K100:P100" si="63">K111*K118</f>
        <v>2388726.764</v>
      </c>
      <c r="L100" s="52">
        <f t="shared" si="63"/>
        <v>2537202.039</v>
      </c>
      <c r="M100" s="52">
        <f t="shared" si="63"/>
        <v>2695883.226</v>
      </c>
      <c r="N100" s="52">
        <f t="shared" si="63"/>
        <v>2865482.868</v>
      </c>
      <c r="O100" s="52">
        <f t="shared" si="63"/>
        <v>3046763.362</v>
      </c>
      <c r="P100" s="52">
        <f t="shared" si="63"/>
        <v>3240540.458</v>
      </c>
    </row>
    <row r="101">
      <c r="A101" s="5"/>
    </row>
    <row r="102">
      <c r="A102" s="5" t="s">
        <v>72</v>
      </c>
      <c r="B102" s="35">
        <f t="shared" ref="B102:P102" si="64">B100/B95</f>
        <v>0.952832</v>
      </c>
      <c r="C102" s="35">
        <f t="shared" si="64"/>
        <v>1.012001935</v>
      </c>
      <c r="D102" s="35">
        <f t="shared" si="64"/>
        <v>1.140752564</v>
      </c>
      <c r="E102" s="35">
        <f t="shared" si="64"/>
        <v>1.17876519</v>
      </c>
      <c r="F102" s="35">
        <f t="shared" si="64"/>
        <v>0.7816485</v>
      </c>
      <c r="G102" s="35">
        <f t="shared" si="64"/>
        <v>0.6479382222</v>
      </c>
      <c r="H102" s="35">
        <f t="shared" si="64"/>
        <v>0.7345124444</v>
      </c>
      <c r="I102" s="35">
        <f t="shared" si="64"/>
        <v>0.8738506667</v>
      </c>
      <c r="J102" s="35">
        <f t="shared" si="64"/>
        <v>0.9490324444</v>
      </c>
      <c r="K102" s="35">
        <f t="shared" si="64"/>
        <v>0.9367555938</v>
      </c>
      <c r="L102" s="35">
        <f t="shared" si="64"/>
        <v>0.8902463294</v>
      </c>
      <c r="M102" s="35">
        <f t="shared" si="64"/>
        <v>0.8558359449</v>
      </c>
      <c r="N102" s="35">
        <f t="shared" si="64"/>
        <v>0.8305747443</v>
      </c>
      <c r="O102" s="35">
        <f t="shared" si="64"/>
        <v>0.8124702299</v>
      </c>
      <c r="P102" s="35">
        <f t="shared" si="64"/>
        <v>0.8001334464</v>
      </c>
    </row>
    <row r="103">
      <c r="A103" s="5"/>
      <c r="L103" s="117"/>
    </row>
    <row r="104">
      <c r="A104" s="5" t="s">
        <v>73</v>
      </c>
      <c r="C104" s="35">
        <f t="shared" ref="C104:J104" si="65">C98/B98-1</f>
        <v>0.106630324</v>
      </c>
      <c r="D104" s="35">
        <f t="shared" si="65"/>
        <v>0.1446542535</v>
      </c>
      <c r="E104" s="35">
        <f t="shared" si="65"/>
        <v>0.06059872997</v>
      </c>
      <c r="F104" s="35">
        <f t="shared" si="65"/>
        <v>-0.1668324115</v>
      </c>
      <c r="G104" s="35">
        <f t="shared" si="65"/>
        <v>-0.06803246263</v>
      </c>
      <c r="H104" s="35">
        <f t="shared" si="65"/>
        <v>0.03859451489</v>
      </c>
      <c r="I104" s="35">
        <f t="shared" si="65"/>
        <v>0.2068576382</v>
      </c>
      <c r="J104" s="35">
        <f t="shared" si="65"/>
        <v>0.08520175694</v>
      </c>
    </row>
    <row r="105">
      <c r="A105" s="5" t="s">
        <v>74</v>
      </c>
      <c r="C105" s="35">
        <f t="shared" ref="C105:J105" si="66">C99/B99-1</f>
        <v>0.001331751374</v>
      </c>
      <c r="D105" s="35">
        <f t="shared" si="66"/>
        <v>0.0162176976</v>
      </c>
      <c r="E105" s="35">
        <f t="shared" si="66"/>
        <v>-0.1374192934</v>
      </c>
      <c r="F105" s="35">
        <f t="shared" si="66"/>
        <v>-0.06048791253</v>
      </c>
      <c r="G105" s="35">
        <f t="shared" si="66"/>
        <v>-0.05903827896</v>
      </c>
      <c r="H105" s="35">
        <f t="shared" si="66"/>
        <v>1.479493234</v>
      </c>
      <c r="I105" s="35">
        <f t="shared" si="66"/>
        <v>0.08791572977</v>
      </c>
      <c r="J105" s="35">
        <f t="shared" si="66"/>
        <v>0.09151939784</v>
      </c>
    </row>
    <row r="106">
      <c r="A106" s="17" t="s">
        <v>75</v>
      </c>
      <c r="B106" s="34"/>
      <c r="C106" s="36">
        <f t="shared" ref="C106:J106" si="67">C100/B100-1</f>
        <v>0.0975023229</v>
      </c>
      <c r="D106" s="36">
        <f t="shared" si="67"/>
        <v>0.134496109</v>
      </c>
      <c r="E106" s="36">
        <f t="shared" si="67"/>
        <v>0.0465701342</v>
      </c>
      <c r="F106" s="36">
        <f t="shared" si="67"/>
        <v>-0.1606229218</v>
      </c>
      <c r="G106" s="36">
        <f t="shared" si="67"/>
        <v>-0.06744463784</v>
      </c>
      <c r="H106" s="36">
        <f t="shared" si="67"/>
        <v>0.1336149331</v>
      </c>
      <c r="I106" s="36">
        <f t="shared" si="67"/>
        <v>0.1897016494</v>
      </c>
      <c r="J106" s="36">
        <f t="shared" si="67"/>
        <v>0.08603504082</v>
      </c>
      <c r="K106" s="34"/>
      <c r="L106" s="34"/>
      <c r="M106" s="34"/>
      <c r="N106" s="34"/>
      <c r="O106" s="34"/>
      <c r="P106" s="34"/>
    </row>
    <row r="107">
      <c r="A107" s="5"/>
    </row>
    <row r="108">
      <c r="A108" s="17" t="s">
        <v>76</v>
      </c>
    </row>
    <row r="109">
      <c r="A109" s="5" t="s">
        <v>77</v>
      </c>
      <c r="B109" s="22">
        <v>2789208.0</v>
      </c>
      <c r="C109" s="22">
        <v>3047582.0</v>
      </c>
      <c r="D109" s="22">
        <v>3288581.0</v>
      </c>
      <c r="E109" s="22">
        <v>3377389.0</v>
      </c>
      <c r="F109" s="22">
        <v>2773519.0</v>
      </c>
      <c r="G109" s="22">
        <v>2711457.0</v>
      </c>
      <c r="H109" s="22">
        <v>3069523.0</v>
      </c>
      <c r="I109" s="22">
        <v>3890114.0</v>
      </c>
      <c r="J109" s="22">
        <v>4218746.0</v>
      </c>
      <c r="K109" s="19">
        <f t="shared" ref="K109:P109" si="68">J109*(1+K112)</f>
        <v>4514058.22</v>
      </c>
      <c r="L109" s="19">
        <f t="shared" si="68"/>
        <v>4830042.295</v>
      </c>
      <c r="M109" s="19">
        <f t="shared" si="68"/>
        <v>5168145.256</v>
      </c>
      <c r="N109" s="19">
        <f t="shared" si="68"/>
        <v>5529915.424</v>
      </c>
      <c r="O109" s="19">
        <f t="shared" si="68"/>
        <v>5917009.504</v>
      </c>
      <c r="P109" s="19">
        <f t="shared" si="68"/>
        <v>6331200.169</v>
      </c>
    </row>
    <row r="110">
      <c r="A110" s="5" t="s">
        <v>71</v>
      </c>
      <c r="B110" s="22">
        <v>653053.0</v>
      </c>
      <c r="C110" s="22">
        <v>758727.0</v>
      </c>
      <c r="D110" s="22">
        <v>748366.0</v>
      </c>
      <c r="E110" s="22">
        <v>676192.0</v>
      </c>
      <c r="F110" s="22">
        <v>662118.0</v>
      </c>
      <c r="G110" s="22">
        <v>404397.0</v>
      </c>
      <c r="H110" s="22">
        <v>577875.0</v>
      </c>
      <c r="I110" s="22">
        <v>662891.0</v>
      </c>
      <c r="J110" s="22">
        <v>672105.0</v>
      </c>
      <c r="K110" s="19">
        <f t="shared" ref="K110:P110" si="69">J110*(1+K113)</f>
        <v>678826.05</v>
      </c>
      <c r="L110" s="19">
        <f t="shared" si="69"/>
        <v>685614.3105</v>
      </c>
      <c r="M110" s="19">
        <f t="shared" si="69"/>
        <v>692470.4536</v>
      </c>
      <c r="N110" s="19">
        <f t="shared" si="69"/>
        <v>699395.1581</v>
      </c>
      <c r="O110" s="19">
        <f t="shared" si="69"/>
        <v>706389.1097</v>
      </c>
      <c r="P110" s="19">
        <f t="shared" si="69"/>
        <v>713453.0008</v>
      </c>
    </row>
    <row r="111">
      <c r="A111" s="17" t="s">
        <v>49</v>
      </c>
      <c r="B111" s="27">
        <f t="shared" ref="B111:P111" si="70">SUM(B109:B110)</f>
        <v>3442261</v>
      </c>
      <c r="C111" s="27">
        <f t="shared" si="70"/>
        <v>3806309</v>
      </c>
      <c r="D111" s="27">
        <f t="shared" si="70"/>
        <v>4036947</v>
      </c>
      <c r="E111" s="27">
        <f t="shared" si="70"/>
        <v>4053581</v>
      </c>
      <c r="F111" s="27">
        <f t="shared" si="70"/>
        <v>3435637</v>
      </c>
      <c r="G111" s="27">
        <f t="shared" si="70"/>
        <v>3115854</v>
      </c>
      <c r="H111" s="27">
        <f t="shared" si="70"/>
        <v>3647398</v>
      </c>
      <c r="I111" s="27">
        <f t="shared" si="70"/>
        <v>4553005</v>
      </c>
      <c r="J111" s="27">
        <f t="shared" si="70"/>
        <v>4890851</v>
      </c>
      <c r="K111" s="27">
        <f t="shared" si="70"/>
        <v>5192884.27</v>
      </c>
      <c r="L111" s="27">
        <f t="shared" si="70"/>
        <v>5515656.606</v>
      </c>
      <c r="M111" s="27">
        <f t="shared" si="70"/>
        <v>5860615.71</v>
      </c>
      <c r="N111" s="27">
        <f t="shared" si="70"/>
        <v>6229310.582</v>
      </c>
      <c r="O111" s="27">
        <f t="shared" si="70"/>
        <v>6623398.613</v>
      </c>
      <c r="P111" s="27">
        <f t="shared" si="70"/>
        <v>7044653.17</v>
      </c>
    </row>
    <row r="112">
      <c r="A112" s="5" t="s">
        <v>78</v>
      </c>
      <c r="C112" s="35">
        <f t="shared" ref="C112:J112" si="71">C109/B109-1</f>
        <v>0.09263346441</v>
      </c>
      <c r="D112" s="35">
        <f t="shared" si="71"/>
        <v>0.07907875818</v>
      </c>
      <c r="E112" s="35">
        <f t="shared" si="71"/>
        <v>0.0270049605</v>
      </c>
      <c r="F112" s="35">
        <f t="shared" si="71"/>
        <v>-0.178797882</v>
      </c>
      <c r="G112" s="35">
        <f t="shared" si="71"/>
        <v>-0.02237662695</v>
      </c>
      <c r="H112" s="35">
        <f t="shared" si="71"/>
        <v>0.1320566765</v>
      </c>
      <c r="I112" s="35">
        <f t="shared" si="71"/>
        <v>0.2673350224</v>
      </c>
      <c r="J112" s="35">
        <f t="shared" si="71"/>
        <v>0.08447875821</v>
      </c>
      <c r="K112" s="37">
        <v>0.07</v>
      </c>
      <c r="L112" s="38">
        <f t="shared" ref="L112:P112" si="72">K112</f>
        <v>0.07</v>
      </c>
      <c r="M112" s="38">
        <f t="shared" si="72"/>
        <v>0.07</v>
      </c>
      <c r="N112" s="38">
        <f t="shared" si="72"/>
        <v>0.07</v>
      </c>
      <c r="O112" s="38">
        <f t="shared" si="72"/>
        <v>0.07</v>
      </c>
      <c r="P112" s="38">
        <f t="shared" si="72"/>
        <v>0.07</v>
      </c>
    </row>
    <row r="113">
      <c r="A113" s="5" t="s">
        <v>79</v>
      </c>
      <c r="C113" s="35">
        <f t="shared" ref="C113:J113" si="73">C110/B110-1</f>
        <v>0.1618153504</v>
      </c>
      <c r="D113" s="35">
        <f t="shared" si="73"/>
        <v>-0.01365576815</v>
      </c>
      <c r="E113" s="35">
        <f t="shared" si="73"/>
        <v>-0.09644211522</v>
      </c>
      <c r="F113" s="35">
        <f t="shared" si="73"/>
        <v>-0.02081361507</v>
      </c>
      <c r="G113" s="35">
        <f t="shared" si="73"/>
        <v>-0.3892372659</v>
      </c>
      <c r="H113" s="35">
        <f t="shared" si="73"/>
        <v>0.4289794435</v>
      </c>
      <c r="I113" s="35">
        <f t="shared" si="73"/>
        <v>0.1471183214</v>
      </c>
      <c r="J113" s="35">
        <f t="shared" si="73"/>
        <v>0.01389972107</v>
      </c>
      <c r="K113" s="37">
        <v>0.01</v>
      </c>
      <c r="L113" s="38">
        <f t="shared" ref="L113:P113" si="74">K113</f>
        <v>0.01</v>
      </c>
      <c r="M113" s="38">
        <f t="shared" si="74"/>
        <v>0.01</v>
      </c>
      <c r="N113" s="38">
        <f t="shared" si="74"/>
        <v>0.01</v>
      </c>
      <c r="O113" s="38">
        <f t="shared" si="74"/>
        <v>0.01</v>
      </c>
      <c r="P113" s="38">
        <f t="shared" si="74"/>
        <v>0.01</v>
      </c>
    </row>
    <row r="114">
      <c r="A114" s="5"/>
    </row>
    <row r="115">
      <c r="A115" s="17" t="s">
        <v>80</v>
      </c>
    </row>
    <row r="116">
      <c r="A116" s="5" t="s">
        <v>70</v>
      </c>
      <c r="B116" s="35">
        <f t="shared" ref="B116:J116" si="75">B98/B109</f>
        <v>0.4680005937</v>
      </c>
      <c r="C116" s="35">
        <f t="shared" si="75"/>
        <v>0.4739957776</v>
      </c>
      <c r="D116" s="35">
        <f t="shared" si="75"/>
        <v>0.502800448</v>
      </c>
      <c r="E116" s="35">
        <f t="shared" si="75"/>
        <v>0.5192472647</v>
      </c>
      <c r="F116" s="35">
        <f t="shared" si="75"/>
        <v>0.5268130487</v>
      </c>
      <c r="G116" s="35">
        <f t="shared" si="75"/>
        <v>0.5022104352</v>
      </c>
      <c r="H116" s="35">
        <f t="shared" si="75"/>
        <v>0.4607481358</v>
      </c>
      <c r="I116" s="35">
        <f t="shared" si="75"/>
        <v>0.4387611777</v>
      </c>
      <c r="J116" s="35">
        <f t="shared" si="75"/>
        <v>0.4390536904</v>
      </c>
    </row>
    <row r="117">
      <c r="A117" s="5" t="s">
        <v>71</v>
      </c>
      <c r="B117" s="35">
        <f t="shared" ref="B117:J117" si="76">B99/B110</f>
        <v>0.1897196705</v>
      </c>
      <c r="C117" s="35">
        <f t="shared" si="76"/>
        <v>0.1635133586</v>
      </c>
      <c r="D117" s="35">
        <f t="shared" si="76"/>
        <v>0.1684656973</v>
      </c>
      <c r="E117" s="35">
        <f t="shared" si="76"/>
        <v>0.1608256235</v>
      </c>
      <c r="F117" s="35">
        <f t="shared" si="76"/>
        <v>0.1543093527</v>
      </c>
      <c r="G117" s="35">
        <f t="shared" si="76"/>
        <v>0.2377342067</v>
      </c>
      <c r="H117" s="35">
        <f t="shared" si="76"/>
        <v>0.4125044343</v>
      </c>
      <c r="I117" s="35">
        <f t="shared" si="76"/>
        <v>0.391215147</v>
      </c>
      <c r="J117" s="35">
        <f t="shared" si="76"/>
        <v>0.4211648478</v>
      </c>
    </row>
    <row r="118">
      <c r="A118" s="17" t="s">
        <v>81</v>
      </c>
      <c r="B118" s="36">
        <f t="shared" ref="B118:J118" si="77">B100/B111</f>
        <v>0.4152061683</v>
      </c>
      <c r="C118" s="36">
        <f t="shared" si="77"/>
        <v>0.4121060587</v>
      </c>
      <c r="D118" s="36">
        <f t="shared" si="77"/>
        <v>0.4408217398</v>
      </c>
      <c r="E118" s="36">
        <f t="shared" si="77"/>
        <v>0.4594576993</v>
      </c>
      <c r="F118" s="36">
        <f t="shared" si="77"/>
        <v>0.4550239155</v>
      </c>
      <c r="G118" s="36">
        <f t="shared" si="77"/>
        <v>0.4678848881</v>
      </c>
      <c r="H118" s="36">
        <f t="shared" si="77"/>
        <v>0.4531046516</v>
      </c>
      <c r="I118" s="36">
        <f t="shared" si="77"/>
        <v>0.4318387526</v>
      </c>
      <c r="J118" s="36">
        <f t="shared" si="77"/>
        <v>0.43659539</v>
      </c>
      <c r="K118" s="118">
        <v>0.46</v>
      </c>
      <c r="L118" s="119">
        <f t="shared" ref="L118:P118" si="78">K118</f>
        <v>0.46</v>
      </c>
      <c r="M118" s="119">
        <f t="shared" si="78"/>
        <v>0.46</v>
      </c>
      <c r="N118" s="119">
        <f t="shared" si="78"/>
        <v>0.46</v>
      </c>
      <c r="O118" s="119">
        <f t="shared" si="78"/>
        <v>0.46</v>
      </c>
      <c r="P118" s="119">
        <f t="shared" si="78"/>
        <v>0.46</v>
      </c>
    </row>
    <row r="119">
      <c r="A119" s="5"/>
    </row>
    <row r="120">
      <c r="A120" s="5" t="s">
        <v>82</v>
      </c>
      <c r="B120" s="19">
        <f t="shared" ref="B120:J120" si="79">(B3/B100)*10^6</f>
        <v>399241.4193</v>
      </c>
      <c r="C120" s="19">
        <f t="shared" si="79"/>
        <v>434048.6407</v>
      </c>
      <c r="D120" s="19">
        <f t="shared" si="79"/>
        <v>448474.7473</v>
      </c>
      <c r="E120" s="19">
        <f t="shared" si="79"/>
        <v>462125.4059</v>
      </c>
      <c r="F120" s="19">
        <f t="shared" si="79"/>
        <v>483977.1329</v>
      </c>
      <c r="G120" s="19">
        <f t="shared" si="79"/>
        <v>482707.1991</v>
      </c>
      <c r="H120" s="19">
        <f t="shared" si="79"/>
        <v>534472.7538</v>
      </c>
      <c r="I120" s="19">
        <f t="shared" si="79"/>
        <v>602238.1653</v>
      </c>
      <c r="J120" s="19">
        <f t="shared" si="79"/>
        <v>664340.711</v>
      </c>
      <c r="K120" s="19">
        <f t="shared" ref="K120:P120" si="80">J120*(1+K121)</f>
        <v>730774.7821</v>
      </c>
      <c r="L120" s="19">
        <f t="shared" si="80"/>
        <v>803852.2603</v>
      </c>
      <c r="M120" s="19">
        <f t="shared" si="80"/>
        <v>884237.4863</v>
      </c>
      <c r="N120" s="19">
        <f t="shared" si="80"/>
        <v>972661.235</v>
      </c>
      <c r="O120" s="19">
        <f t="shared" si="80"/>
        <v>1069927.358</v>
      </c>
      <c r="P120" s="19">
        <f t="shared" si="80"/>
        <v>1176920.094</v>
      </c>
    </row>
    <row r="121">
      <c r="A121" s="5" t="s">
        <v>83</v>
      </c>
      <c r="C121" s="35">
        <f t="shared" ref="C121:J121" si="81">C120/B120-1</f>
        <v>0.08718339278</v>
      </c>
      <c r="D121" s="35">
        <f t="shared" si="81"/>
        <v>0.03323615199</v>
      </c>
      <c r="E121" s="35">
        <f t="shared" si="81"/>
        <v>0.03043796469</v>
      </c>
      <c r="F121" s="35">
        <f t="shared" si="81"/>
        <v>0.04728527542</v>
      </c>
      <c r="G121" s="35">
        <f t="shared" si="81"/>
        <v>-0.002623954209</v>
      </c>
      <c r="H121" s="35">
        <f t="shared" si="81"/>
        <v>0.1072400718</v>
      </c>
      <c r="I121" s="35">
        <f t="shared" si="81"/>
        <v>0.1267892722</v>
      </c>
      <c r="J121" s="35">
        <f t="shared" si="81"/>
        <v>0.1031195784</v>
      </c>
      <c r="K121" s="37">
        <v>0.1</v>
      </c>
      <c r="L121" s="38">
        <f t="shared" ref="L121:P121" si="82">K121</f>
        <v>0.1</v>
      </c>
      <c r="M121" s="38">
        <f t="shared" si="82"/>
        <v>0.1</v>
      </c>
      <c r="N121" s="38">
        <f t="shared" si="82"/>
        <v>0.1</v>
      </c>
      <c r="O121" s="38">
        <f t="shared" si="82"/>
        <v>0.1</v>
      </c>
      <c r="P121" s="38">
        <f t="shared" si="82"/>
        <v>0.1</v>
      </c>
    </row>
    <row r="122">
      <c r="A122" s="5"/>
    </row>
    <row r="123">
      <c r="A123" s="17" t="s">
        <v>84</v>
      </c>
    </row>
    <row r="124">
      <c r="A124" s="5"/>
    </row>
    <row r="125">
      <c r="A125" s="1" t="s">
        <v>5</v>
      </c>
      <c r="B125" s="35">
        <f t="shared" ref="B125:J125" si="83">B9/B$3</f>
        <v>0.6344154991</v>
      </c>
      <c r="C125" s="35">
        <f t="shared" si="83"/>
        <v>0.6260982595</v>
      </c>
      <c r="D125" s="35">
        <f t="shared" si="83"/>
        <v>0.5631316612</v>
      </c>
      <c r="E125" s="35">
        <f t="shared" si="83"/>
        <v>0.5231379657</v>
      </c>
      <c r="F125" s="35">
        <f t="shared" si="83"/>
        <v>0.4577689664</v>
      </c>
      <c r="G125" s="35">
        <f t="shared" si="83"/>
        <v>0.4731484113</v>
      </c>
      <c r="H125" s="35">
        <f t="shared" si="83"/>
        <v>0.4499002602</v>
      </c>
      <c r="I125" s="35">
        <f t="shared" si="83"/>
        <v>0.6194769187</v>
      </c>
      <c r="J125" s="35">
        <f t="shared" si="83"/>
        <v>0.5562970628</v>
      </c>
      <c r="K125" s="37">
        <v>0.6</v>
      </c>
      <c r="L125" s="38">
        <f t="shared" ref="L125:P125" si="84">K125</f>
        <v>0.6</v>
      </c>
      <c r="M125" s="38">
        <f t="shared" si="84"/>
        <v>0.6</v>
      </c>
      <c r="N125" s="38">
        <f t="shared" si="84"/>
        <v>0.6</v>
      </c>
      <c r="O125" s="38">
        <f t="shared" si="84"/>
        <v>0.6</v>
      </c>
      <c r="P125" s="38">
        <f t="shared" si="84"/>
        <v>0.6</v>
      </c>
    </row>
    <row r="126">
      <c r="A126" s="1" t="s">
        <v>6</v>
      </c>
      <c r="B126" s="35">
        <f t="shared" ref="B126:J126" si="85">B10/B$3</f>
        <v>0.05558038257</v>
      </c>
      <c r="C126" s="35">
        <f t="shared" si="85"/>
        <v>0.06599985312</v>
      </c>
      <c r="D126" s="35">
        <f t="shared" si="85"/>
        <v>0.1253248364</v>
      </c>
      <c r="E126" s="35">
        <f t="shared" si="85"/>
        <v>0.1663895618</v>
      </c>
      <c r="F126" s="35">
        <f t="shared" si="85"/>
        <v>0.2480465239</v>
      </c>
      <c r="G126" s="35">
        <f t="shared" si="85"/>
        <v>0.2451841642</v>
      </c>
      <c r="H126" s="35">
        <f t="shared" si="85"/>
        <v>0.2988515767</v>
      </c>
      <c r="I126" s="35">
        <f t="shared" si="85"/>
        <v>0.1073786905</v>
      </c>
      <c r="J126" s="35">
        <f t="shared" si="85"/>
        <v>0.1494746162</v>
      </c>
      <c r="K126" s="37">
        <v>0.08</v>
      </c>
      <c r="L126" s="38">
        <f t="shared" ref="L126:P126" si="86">K126</f>
        <v>0.08</v>
      </c>
      <c r="M126" s="38">
        <f t="shared" si="86"/>
        <v>0.08</v>
      </c>
      <c r="N126" s="38">
        <f t="shared" si="86"/>
        <v>0.08</v>
      </c>
      <c r="O126" s="38">
        <f t="shared" si="86"/>
        <v>0.08</v>
      </c>
      <c r="P126" s="38">
        <f t="shared" si="86"/>
        <v>0.08</v>
      </c>
    </row>
    <row r="127">
      <c r="A127" s="1" t="s">
        <v>8</v>
      </c>
      <c r="B127" s="35">
        <f t="shared" ref="B127:J127" si="87">B11/B$3</f>
        <v>0.0001104071922</v>
      </c>
      <c r="C127" s="35">
        <f t="shared" si="87"/>
        <v>-0.005570977455</v>
      </c>
      <c r="D127" s="35">
        <f t="shared" si="87"/>
        <v>0.0005112179768</v>
      </c>
      <c r="E127" s="35">
        <f t="shared" si="87"/>
        <v>0.002458506887</v>
      </c>
      <c r="F127" s="35">
        <f t="shared" si="87"/>
        <v>-0.003154903516</v>
      </c>
      <c r="G127" s="35">
        <f t="shared" si="87"/>
        <v>0.003887909964</v>
      </c>
      <c r="H127" s="35">
        <f t="shared" si="87"/>
        <v>-0.001054004424</v>
      </c>
      <c r="I127" s="35">
        <f t="shared" si="87"/>
        <v>-0.004902461703</v>
      </c>
      <c r="J127" s="35">
        <f t="shared" si="87"/>
        <v>-0.002668862286</v>
      </c>
      <c r="K127" s="38">
        <f t="shared" ref="K127:P127" si="88">J127</f>
        <v>-0.002668862286</v>
      </c>
      <c r="L127" s="38">
        <f t="shared" si="88"/>
        <v>-0.002668862286</v>
      </c>
      <c r="M127" s="38">
        <f t="shared" si="88"/>
        <v>-0.002668862286</v>
      </c>
      <c r="N127" s="38">
        <f t="shared" si="88"/>
        <v>-0.002668862286</v>
      </c>
      <c r="O127" s="38">
        <f t="shared" si="88"/>
        <v>-0.002668862286</v>
      </c>
      <c r="P127" s="38">
        <f t="shared" si="88"/>
        <v>-0.002668862286</v>
      </c>
    </row>
    <row r="128">
      <c r="A128" s="1" t="s">
        <v>10</v>
      </c>
      <c r="B128" s="35">
        <f t="shared" ref="B128:J128" si="89">B12/B$3</f>
        <v>0.03610490436</v>
      </c>
      <c r="C128" s="35">
        <f t="shared" si="89"/>
        <v>0.03466696042</v>
      </c>
      <c r="D128" s="35">
        <f t="shared" si="89"/>
        <v>0.03587797929</v>
      </c>
      <c r="E128" s="35">
        <f t="shared" si="89"/>
        <v>0.03816727374</v>
      </c>
      <c r="F128" s="35">
        <f t="shared" si="89"/>
        <v>0.04515199577</v>
      </c>
      <c r="G128" s="35">
        <f t="shared" si="89"/>
        <v>0.04876371284</v>
      </c>
      <c r="H128" s="35">
        <f t="shared" si="89"/>
        <v>0.04586674033</v>
      </c>
      <c r="I128" s="35">
        <f t="shared" si="89"/>
        <v>0.04483155547</v>
      </c>
      <c r="J128" s="35">
        <f t="shared" si="89"/>
        <v>0.04442182405</v>
      </c>
      <c r="K128" s="37">
        <v>0.04</v>
      </c>
      <c r="L128" s="38">
        <f t="shared" ref="L128:P128" si="90">K128</f>
        <v>0.04</v>
      </c>
      <c r="M128" s="38">
        <f t="shared" si="90"/>
        <v>0.04</v>
      </c>
      <c r="N128" s="38">
        <f t="shared" si="90"/>
        <v>0.04</v>
      </c>
      <c r="O128" s="38">
        <f t="shared" si="90"/>
        <v>0.04</v>
      </c>
      <c r="P128" s="38">
        <f t="shared" si="90"/>
        <v>0.04</v>
      </c>
    </row>
    <row r="129">
      <c r="A129" s="1" t="s">
        <v>12</v>
      </c>
      <c r="B129" s="35">
        <f t="shared" ref="B129:J129" si="91">B13/B$3</f>
        <v>0.1422097211</v>
      </c>
      <c r="C129" s="35">
        <f t="shared" si="91"/>
        <v>0.1281927003</v>
      </c>
      <c r="D129" s="35">
        <f t="shared" si="91"/>
        <v>0.1252433924</v>
      </c>
      <c r="E129" s="35">
        <f t="shared" si="91"/>
        <v>0.1434229712</v>
      </c>
      <c r="F129" s="35">
        <f t="shared" si="91"/>
        <v>0.1571451229</v>
      </c>
      <c r="G129" s="35">
        <f t="shared" si="91"/>
        <v>0.1540030126</v>
      </c>
      <c r="H129" s="35">
        <f t="shared" si="91"/>
        <v>0.1434702671</v>
      </c>
      <c r="I129" s="35">
        <f t="shared" si="91"/>
        <v>0.123951629</v>
      </c>
      <c r="J129" s="35">
        <f t="shared" si="91"/>
        <v>0.1237157951</v>
      </c>
      <c r="K129" s="38">
        <f t="shared" ref="K129:P129" si="92">J129</f>
        <v>0.1237157951</v>
      </c>
      <c r="L129" s="38">
        <f t="shared" si="92"/>
        <v>0.1237157951</v>
      </c>
      <c r="M129" s="38">
        <f t="shared" si="92"/>
        <v>0.1237157951</v>
      </c>
      <c r="N129" s="38">
        <f t="shared" si="92"/>
        <v>0.1237157951</v>
      </c>
      <c r="O129" s="38">
        <f t="shared" si="92"/>
        <v>0.1237157951</v>
      </c>
      <c r="P129" s="38">
        <f t="shared" si="92"/>
        <v>0.1237157951</v>
      </c>
    </row>
    <row r="130">
      <c r="A130" s="1" t="s">
        <v>85</v>
      </c>
      <c r="B130" s="35">
        <f t="shared" ref="B130:J130" si="93">B14/B$3</f>
        <v>-0.001055002059</v>
      </c>
      <c r="C130" s="35">
        <f t="shared" si="93"/>
        <v>-0.001521627378</v>
      </c>
      <c r="D130" s="35">
        <f t="shared" si="93"/>
        <v>-0.00124170837</v>
      </c>
      <c r="E130" s="35">
        <f t="shared" si="93"/>
        <v>-0.001418637481</v>
      </c>
      <c r="F130" s="35">
        <f t="shared" si="93"/>
        <v>-0.001608511763</v>
      </c>
      <c r="G130" s="35">
        <f t="shared" si="93"/>
        <v>-0.001034502359</v>
      </c>
      <c r="H130" s="35">
        <f t="shared" si="93"/>
        <v>-0.001635914493</v>
      </c>
      <c r="I130" s="35">
        <f t="shared" si="93"/>
        <v>-0.001321680028</v>
      </c>
      <c r="J130" s="35">
        <f t="shared" si="93"/>
        <v>-0.001837750655</v>
      </c>
      <c r="K130" s="38">
        <f t="shared" ref="K130:P130" si="94">J130</f>
        <v>-0.001837750655</v>
      </c>
      <c r="L130" s="38">
        <f t="shared" si="94"/>
        <v>-0.001837750655</v>
      </c>
      <c r="M130" s="38">
        <f t="shared" si="94"/>
        <v>-0.001837750655</v>
      </c>
      <c r="N130" s="38">
        <f t="shared" si="94"/>
        <v>-0.001837750655</v>
      </c>
      <c r="O130" s="38">
        <f t="shared" si="94"/>
        <v>-0.001837750655</v>
      </c>
      <c r="P130" s="38">
        <f t="shared" si="94"/>
        <v>-0.001837750655</v>
      </c>
    </row>
    <row r="131">
      <c r="A131" s="5"/>
    </row>
    <row r="132">
      <c r="A132" s="5"/>
    </row>
    <row r="133">
      <c r="A133" s="18" t="s">
        <v>86</v>
      </c>
    </row>
    <row r="134">
      <c r="A134" s="5"/>
    </row>
    <row r="135">
      <c r="A135" s="1" t="s">
        <v>5</v>
      </c>
    </row>
    <row r="136">
      <c r="A136" s="1" t="s">
        <v>6</v>
      </c>
    </row>
    <row r="137">
      <c r="A137" s="1" t="s">
        <v>8</v>
      </c>
    </row>
    <row r="138">
      <c r="A138" s="1" t="s">
        <v>10</v>
      </c>
    </row>
    <row r="139">
      <c r="A139" s="1" t="s">
        <v>12</v>
      </c>
    </row>
    <row r="140">
      <c r="A140" s="1" t="s">
        <v>85</v>
      </c>
    </row>
    <row r="141">
      <c r="A141" s="5"/>
    </row>
    <row r="142">
      <c r="A142" s="1" t="s">
        <v>83</v>
      </c>
    </row>
    <row r="143">
      <c r="A143" s="1" t="s">
        <v>5</v>
      </c>
    </row>
    <row r="144">
      <c r="A144" s="1" t="s">
        <v>6</v>
      </c>
    </row>
    <row r="145">
      <c r="A145" s="1" t="s">
        <v>8</v>
      </c>
    </row>
    <row r="146">
      <c r="A146" s="1" t="s">
        <v>10</v>
      </c>
    </row>
    <row r="147">
      <c r="A147" s="1" t="s">
        <v>12</v>
      </c>
    </row>
    <row r="148">
      <c r="A148" s="1" t="s">
        <v>85</v>
      </c>
    </row>
    <row r="149">
      <c r="A149" s="5"/>
    </row>
    <row r="150">
      <c r="A150" s="5"/>
    </row>
    <row r="151">
      <c r="A151" s="5"/>
    </row>
    <row r="152">
      <c r="A152" s="18" t="s">
        <v>87</v>
      </c>
    </row>
    <row r="153">
      <c r="A153" s="5"/>
    </row>
    <row r="154">
      <c r="A154" s="17" t="s">
        <v>60</v>
      </c>
      <c r="B154" s="27">
        <f t="shared" ref="B154:P154" si="95">SUM(B155:B160)</f>
        <v>79004</v>
      </c>
      <c r="C154" s="27">
        <f t="shared" si="95"/>
        <v>87745</v>
      </c>
      <c r="D154" s="27">
        <f t="shared" si="95"/>
        <v>78560</v>
      </c>
      <c r="E154" s="27">
        <f t="shared" si="95"/>
        <v>121849</v>
      </c>
      <c r="F154" s="27">
        <f t="shared" si="95"/>
        <v>84116</v>
      </c>
      <c r="G154" s="27">
        <f t="shared" si="95"/>
        <v>150499</v>
      </c>
      <c r="H154" s="27">
        <f t="shared" si="95"/>
        <v>137512</v>
      </c>
      <c r="I154" s="27">
        <f t="shared" si="95"/>
        <v>129207</v>
      </c>
      <c r="J154" s="27">
        <f t="shared" si="95"/>
        <v>198064</v>
      </c>
      <c r="K154" s="27">
        <f t="shared" si="95"/>
        <v>209876.9401</v>
      </c>
      <c r="L154" s="27">
        <f t="shared" si="95"/>
        <v>245214.4084</v>
      </c>
      <c r="M154" s="27">
        <f t="shared" si="95"/>
        <v>286605.6154</v>
      </c>
      <c r="N154" s="27">
        <f t="shared" si="95"/>
        <v>335099.7624</v>
      </c>
      <c r="O154" s="27">
        <f t="shared" si="95"/>
        <v>391929.2833</v>
      </c>
      <c r="P154" s="27">
        <f t="shared" si="95"/>
        <v>458542.0012</v>
      </c>
    </row>
    <row r="155">
      <c r="A155" s="16" t="s">
        <v>61</v>
      </c>
      <c r="B155" s="19">
        <f t="shared" ref="B155:J155" si="96">B83</f>
        <v>31326</v>
      </c>
      <c r="C155" s="19">
        <f t="shared" si="96"/>
        <v>32637</v>
      </c>
      <c r="D155" s="19">
        <f t="shared" si="96"/>
        <v>31602</v>
      </c>
      <c r="E155" s="19">
        <f t="shared" si="96"/>
        <v>33226</v>
      </c>
      <c r="F155" s="19">
        <f t="shared" si="96"/>
        <v>32139</v>
      </c>
      <c r="G155" s="19">
        <f t="shared" si="96"/>
        <v>30490</v>
      </c>
      <c r="H155" s="19">
        <f t="shared" si="96"/>
        <v>35323</v>
      </c>
      <c r="I155" s="19">
        <f t="shared" si="96"/>
        <v>54435</v>
      </c>
      <c r="J155" s="19">
        <f t="shared" si="96"/>
        <v>53181</v>
      </c>
      <c r="K155" s="19">
        <f t="shared" ref="K155:P155" si="97">K$170*K174</f>
        <v>69824.85122</v>
      </c>
      <c r="L155" s="19">
        <f t="shared" si="97"/>
        <v>81581.42375</v>
      </c>
      <c r="M155" s="19">
        <f t="shared" si="97"/>
        <v>95352.0403</v>
      </c>
      <c r="N155" s="19">
        <f t="shared" si="97"/>
        <v>111485.7642</v>
      </c>
      <c r="O155" s="19">
        <f t="shared" si="97"/>
        <v>130392.619</v>
      </c>
      <c r="P155" s="19">
        <f t="shared" si="97"/>
        <v>152554.2873</v>
      </c>
    </row>
    <row r="156">
      <c r="A156" s="16" t="s">
        <v>62</v>
      </c>
      <c r="B156" s="19">
        <f t="shared" ref="B156:J156" si="98">B84</f>
        <v>13234</v>
      </c>
      <c r="C156" s="19">
        <f t="shared" si="98"/>
        <v>12026</v>
      </c>
      <c r="D156" s="19">
        <f t="shared" si="98"/>
        <v>14654</v>
      </c>
      <c r="E156" s="19">
        <f t="shared" si="98"/>
        <v>23128</v>
      </c>
      <c r="F156" s="19">
        <f t="shared" si="98"/>
        <v>21298</v>
      </c>
      <c r="G156" s="19">
        <f t="shared" si="98"/>
        <v>12799</v>
      </c>
      <c r="H156" s="19">
        <f t="shared" si="98"/>
        <v>20345</v>
      </c>
      <c r="I156" s="19">
        <f t="shared" si="98"/>
        <v>32848</v>
      </c>
      <c r="J156" s="19">
        <f t="shared" si="98"/>
        <v>45968</v>
      </c>
      <c r="K156" s="19">
        <f t="shared" ref="K156:P156" si="99">K$170*K175</f>
        <v>52368.63842</v>
      </c>
      <c r="L156" s="19">
        <f t="shared" si="99"/>
        <v>61186.06781</v>
      </c>
      <c r="M156" s="19">
        <f t="shared" si="99"/>
        <v>71514.03023</v>
      </c>
      <c r="N156" s="19">
        <f t="shared" si="99"/>
        <v>83614.32315</v>
      </c>
      <c r="O156" s="19">
        <f t="shared" si="99"/>
        <v>97794.46428</v>
      </c>
      <c r="P156" s="19">
        <f t="shared" si="99"/>
        <v>114415.7154</v>
      </c>
    </row>
    <row r="157">
      <c r="A157" s="16" t="s">
        <v>64</v>
      </c>
      <c r="B157" s="19">
        <f t="shared" ref="B157:J157" si="100">B86</f>
        <v>31</v>
      </c>
      <c r="C157" s="19">
        <f t="shared" si="100"/>
        <v>25</v>
      </c>
      <c r="D157" s="19">
        <f t="shared" si="100"/>
        <v>30</v>
      </c>
      <c r="E157" s="19">
        <f t="shared" si="100"/>
        <v>161</v>
      </c>
      <c r="F157" s="19">
        <f t="shared" si="100"/>
        <v>170</v>
      </c>
      <c r="G157" s="19">
        <f t="shared" si="100"/>
        <v>230</v>
      </c>
      <c r="H157" s="19">
        <f t="shared" si="100"/>
        <v>305</v>
      </c>
      <c r="I157" s="19">
        <f t="shared" si="100"/>
        <v>297</v>
      </c>
      <c r="J157" s="19">
        <f t="shared" si="100"/>
        <v>327</v>
      </c>
      <c r="K157" s="19">
        <f t="shared" ref="K157:P157" si="101">K$170*K176</f>
        <v>402.3864385</v>
      </c>
      <c r="L157" s="19">
        <f t="shared" si="101"/>
        <v>470.1371786</v>
      </c>
      <c r="M157" s="19">
        <f t="shared" si="101"/>
        <v>549.4944455</v>
      </c>
      <c r="N157" s="19">
        <f t="shared" si="101"/>
        <v>642.4698201</v>
      </c>
      <c r="O157" s="19">
        <f t="shared" si="101"/>
        <v>751.4261852</v>
      </c>
      <c r="P157" s="19">
        <f t="shared" si="101"/>
        <v>879.1393789</v>
      </c>
    </row>
    <row r="158">
      <c r="A158" s="16" t="s">
        <v>65</v>
      </c>
      <c r="B158" s="19">
        <f t="shared" ref="B158:J158" si="102">B87</f>
        <v>16611</v>
      </c>
      <c r="C158" s="19">
        <f t="shared" si="102"/>
        <v>15408</v>
      </c>
      <c r="D158" s="19">
        <f t="shared" si="102"/>
        <v>13140</v>
      </c>
      <c r="E158" s="19">
        <f t="shared" si="102"/>
        <v>5638</v>
      </c>
      <c r="F158" s="19">
        <f t="shared" si="102"/>
        <v>7974</v>
      </c>
      <c r="G158" s="19">
        <f t="shared" si="102"/>
        <v>9581</v>
      </c>
      <c r="H158" s="19">
        <f t="shared" si="102"/>
        <v>14608</v>
      </c>
      <c r="I158" s="19">
        <f t="shared" si="102"/>
        <v>15602</v>
      </c>
      <c r="J158" s="19">
        <f t="shared" si="102"/>
        <v>25077</v>
      </c>
      <c r="K158" s="19">
        <f t="shared" ref="K158:P158" si="103">K$170*K177</f>
        <v>34912.42561</v>
      </c>
      <c r="L158" s="19">
        <f t="shared" si="103"/>
        <v>40790.71187</v>
      </c>
      <c r="M158" s="19">
        <f t="shared" si="103"/>
        <v>47676.02015</v>
      </c>
      <c r="N158" s="19">
        <f t="shared" si="103"/>
        <v>55742.8821</v>
      </c>
      <c r="O158" s="19">
        <f t="shared" si="103"/>
        <v>65196.30952</v>
      </c>
      <c r="P158" s="19">
        <f t="shared" si="103"/>
        <v>76277.14363</v>
      </c>
    </row>
    <row r="159">
      <c r="A159" s="16" t="s">
        <v>66</v>
      </c>
      <c r="B159" s="19">
        <f t="shared" ref="B159:J159" si="104">B88</f>
        <v>4906</v>
      </c>
      <c r="C159" s="19">
        <f t="shared" si="104"/>
        <v>4910</v>
      </c>
      <c r="D159" s="19">
        <f t="shared" si="104"/>
        <v>4115</v>
      </c>
      <c r="E159" s="19">
        <f t="shared" si="104"/>
        <v>4277</v>
      </c>
      <c r="F159" s="19">
        <f t="shared" si="104"/>
        <v>5272</v>
      </c>
      <c r="G159" s="19">
        <f t="shared" si="104"/>
        <v>0</v>
      </c>
      <c r="H159" s="19">
        <f t="shared" si="104"/>
        <v>0</v>
      </c>
      <c r="I159" s="19">
        <f t="shared" si="104"/>
        <v>0</v>
      </c>
      <c r="J159" s="19">
        <f t="shared" si="104"/>
        <v>0</v>
      </c>
      <c r="K159" s="19">
        <f t="shared" ref="K159:P159" si="105">K$170*K178</f>
        <v>0</v>
      </c>
      <c r="L159" s="19">
        <f t="shared" si="105"/>
        <v>0</v>
      </c>
      <c r="M159" s="19">
        <f t="shared" si="105"/>
        <v>0</v>
      </c>
      <c r="N159" s="19">
        <f t="shared" si="105"/>
        <v>0</v>
      </c>
      <c r="O159" s="19">
        <f t="shared" si="105"/>
        <v>0</v>
      </c>
      <c r="P159" s="19">
        <f t="shared" si="105"/>
        <v>0</v>
      </c>
    </row>
    <row r="160">
      <c r="A160" s="1" t="s">
        <v>57</v>
      </c>
      <c r="B160" s="19">
        <f t="shared" ref="B160:J160" si="106">B89+B90+B91</f>
        <v>12896</v>
      </c>
      <c r="C160" s="19">
        <f t="shared" si="106"/>
        <v>22739</v>
      </c>
      <c r="D160" s="19">
        <f t="shared" si="106"/>
        <v>15019</v>
      </c>
      <c r="E160" s="19">
        <f t="shared" si="106"/>
        <v>55419</v>
      </c>
      <c r="F160" s="19">
        <f t="shared" si="106"/>
        <v>17263</v>
      </c>
      <c r="G160" s="19">
        <f t="shared" si="106"/>
        <v>97399</v>
      </c>
      <c r="H160" s="19">
        <f t="shared" si="106"/>
        <v>66931</v>
      </c>
      <c r="I160" s="19">
        <f t="shared" si="106"/>
        <v>26025</v>
      </c>
      <c r="J160" s="19">
        <f t="shared" si="106"/>
        <v>73511</v>
      </c>
      <c r="K160" s="19">
        <f t="shared" ref="K160:P160" si="107">K$170*K179</f>
        <v>52368.63842</v>
      </c>
      <c r="L160" s="19">
        <f t="shared" si="107"/>
        <v>61186.06781</v>
      </c>
      <c r="M160" s="19">
        <f t="shared" si="107"/>
        <v>71514.03023</v>
      </c>
      <c r="N160" s="19">
        <f t="shared" si="107"/>
        <v>83614.32315</v>
      </c>
      <c r="O160" s="19">
        <f t="shared" si="107"/>
        <v>97794.46428</v>
      </c>
      <c r="P160" s="19">
        <f t="shared" si="107"/>
        <v>114415.7154</v>
      </c>
    </row>
    <row r="161">
      <c r="A161" s="5"/>
    </row>
    <row r="162">
      <c r="A162" s="17" t="s">
        <v>42</v>
      </c>
      <c r="B162" s="27">
        <f t="shared" ref="B162:P162" si="108">SUM(B163:B168)</f>
        <v>110441</v>
      </c>
      <c r="C162" s="27">
        <f t="shared" si="108"/>
        <v>132368</v>
      </c>
      <c r="D162" s="27">
        <f t="shared" si="108"/>
        <v>154485</v>
      </c>
      <c r="E162" s="27">
        <f t="shared" si="108"/>
        <v>141605</v>
      </c>
      <c r="F162" s="27">
        <f t="shared" si="108"/>
        <v>113054</v>
      </c>
      <c r="G162" s="27">
        <f t="shared" si="108"/>
        <v>162139</v>
      </c>
      <c r="H162" s="27">
        <f t="shared" si="108"/>
        <v>170235</v>
      </c>
      <c r="I162" s="27">
        <f t="shared" si="108"/>
        <v>227667</v>
      </c>
      <c r="J162" s="27">
        <f t="shared" si="108"/>
        <v>259518</v>
      </c>
      <c r="K162" s="27">
        <f t="shared" si="108"/>
        <v>333413.6646</v>
      </c>
      <c r="L162" s="27">
        <f t="shared" si="108"/>
        <v>389551.2984</v>
      </c>
      <c r="M162" s="27">
        <f t="shared" si="108"/>
        <v>455305.9924</v>
      </c>
      <c r="N162" s="27">
        <f t="shared" si="108"/>
        <v>532344.524</v>
      </c>
      <c r="O162" s="27">
        <f t="shared" si="108"/>
        <v>622624.7559</v>
      </c>
      <c r="P162" s="27">
        <f t="shared" si="108"/>
        <v>728446.7217</v>
      </c>
    </row>
    <row r="163">
      <c r="A163" s="1" t="s">
        <v>43</v>
      </c>
      <c r="B163" s="120">
        <f t="shared" ref="B163:J163" si="109">B56</f>
        <v>7956</v>
      </c>
      <c r="C163" s="120">
        <f t="shared" si="109"/>
        <v>8036</v>
      </c>
      <c r="D163" s="120">
        <f t="shared" si="109"/>
        <v>8541</v>
      </c>
      <c r="E163" s="120">
        <f t="shared" si="109"/>
        <v>6729</v>
      </c>
      <c r="F163" s="120">
        <f t="shared" si="109"/>
        <v>6962</v>
      </c>
      <c r="G163" s="120">
        <f t="shared" si="109"/>
        <v>8547</v>
      </c>
      <c r="H163" s="120">
        <f t="shared" si="109"/>
        <v>11113</v>
      </c>
      <c r="I163" s="120">
        <f t="shared" si="109"/>
        <v>11584</v>
      </c>
      <c r="J163" s="120">
        <f t="shared" si="109"/>
        <v>12030</v>
      </c>
      <c r="K163" s="19">
        <f t="shared" ref="K163:P163" si="110">K$170*K182</f>
        <v>17456.21281</v>
      </c>
      <c r="L163" s="19">
        <f t="shared" si="110"/>
        <v>20395.35594</v>
      </c>
      <c r="M163" s="19">
        <f t="shared" si="110"/>
        <v>23838.01008</v>
      </c>
      <c r="N163" s="19">
        <f t="shared" si="110"/>
        <v>27871.44105</v>
      </c>
      <c r="O163" s="19">
        <f t="shared" si="110"/>
        <v>32598.15476</v>
      </c>
      <c r="P163" s="19">
        <f t="shared" si="110"/>
        <v>38138.57181</v>
      </c>
    </row>
    <row r="164">
      <c r="A164" s="1" t="s">
        <v>44</v>
      </c>
      <c r="B164" s="120">
        <f t="shared" ref="B164:J164" si="111">B57</f>
        <v>774</v>
      </c>
      <c r="C164" s="120">
        <f t="shared" si="111"/>
        <v>4838</v>
      </c>
      <c r="D164" s="120">
        <f t="shared" si="111"/>
        <v>1108</v>
      </c>
      <c r="E164" s="120">
        <f t="shared" si="111"/>
        <v>1496</v>
      </c>
      <c r="F164" s="120">
        <f t="shared" si="111"/>
        <v>1063</v>
      </c>
      <c r="G164" s="120">
        <f t="shared" si="111"/>
        <v>4962</v>
      </c>
      <c r="H164" s="120">
        <f t="shared" si="111"/>
        <v>3819</v>
      </c>
      <c r="I164" s="120">
        <f t="shared" si="111"/>
        <v>12226</v>
      </c>
      <c r="J164" s="120">
        <f t="shared" si="111"/>
        <v>509</v>
      </c>
      <c r="K164" s="19">
        <f t="shared" ref="K164:P164" si="112">K$170*K183</f>
        <v>1745.621281</v>
      </c>
      <c r="L164" s="19">
        <f t="shared" si="112"/>
        <v>2039.535594</v>
      </c>
      <c r="M164" s="19">
        <f t="shared" si="112"/>
        <v>2383.801008</v>
      </c>
      <c r="N164" s="19">
        <f t="shared" si="112"/>
        <v>2787.144105</v>
      </c>
      <c r="O164" s="19">
        <f t="shared" si="112"/>
        <v>3259.815476</v>
      </c>
      <c r="P164" s="19">
        <f t="shared" si="112"/>
        <v>3813.857181</v>
      </c>
    </row>
    <row r="165">
      <c r="A165" s="1" t="s">
        <v>45</v>
      </c>
      <c r="B165" s="120">
        <f t="shared" ref="B165:J165" si="113">B58+B59</f>
        <v>74089</v>
      </c>
      <c r="C165" s="120">
        <f t="shared" si="113"/>
        <v>83692</v>
      </c>
      <c r="D165" s="120">
        <f t="shared" si="113"/>
        <v>104993</v>
      </c>
      <c r="E165" s="120">
        <f t="shared" si="113"/>
        <v>96377</v>
      </c>
      <c r="F165" s="120">
        <f t="shared" si="113"/>
        <v>75091</v>
      </c>
      <c r="G165" s="120">
        <f t="shared" si="113"/>
        <v>101681</v>
      </c>
      <c r="H165" s="120">
        <f t="shared" si="113"/>
        <v>97732</v>
      </c>
      <c r="I165" s="120">
        <f t="shared" si="113"/>
        <v>136755</v>
      </c>
      <c r="J165" s="120">
        <f t="shared" si="113"/>
        <v>169884</v>
      </c>
      <c r="K165" s="19">
        <f t="shared" ref="K165:P165" si="114">K$170*K184</f>
        <v>209474.5537</v>
      </c>
      <c r="L165" s="19">
        <f t="shared" si="114"/>
        <v>244744.2712</v>
      </c>
      <c r="M165" s="19">
        <f t="shared" si="114"/>
        <v>286056.1209</v>
      </c>
      <c r="N165" s="19">
        <f t="shared" si="114"/>
        <v>334457.2926</v>
      </c>
      <c r="O165" s="19">
        <f t="shared" si="114"/>
        <v>391177.8571</v>
      </c>
      <c r="P165" s="19">
        <f t="shared" si="114"/>
        <v>457662.8618</v>
      </c>
    </row>
    <row r="166">
      <c r="A166" s="1" t="s">
        <v>46</v>
      </c>
      <c r="B166" s="120">
        <f t="shared" ref="B166:J166" si="115">B60</f>
        <v>11650</v>
      </c>
      <c r="C166" s="120">
        <f t="shared" si="115"/>
        <v>18278</v>
      </c>
      <c r="D166" s="120">
        <f t="shared" si="115"/>
        <v>20896</v>
      </c>
      <c r="E166" s="120">
        <f t="shared" si="115"/>
        <v>16329</v>
      </c>
      <c r="F166" s="120">
        <f t="shared" si="115"/>
        <v>14091</v>
      </c>
      <c r="G166" s="120">
        <f t="shared" si="115"/>
        <v>26801</v>
      </c>
      <c r="H166" s="120">
        <f t="shared" si="115"/>
        <v>28686</v>
      </c>
      <c r="I166" s="120">
        <f t="shared" si="115"/>
        <v>33372</v>
      </c>
      <c r="J166" s="120">
        <f t="shared" si="115"/>
        <v>41739</v>
      </c>
      <c r="K166" s="19">
        <f t="shared" ref="K166:P166" si="116">K$170*K185</f>
        <v>52368.63842</v>
      </c>
      <c r="L166" s="19">
        <f t="shared" si="116"/>
        <v>61186.06781</v>
      </c>
      <c r="M166" s="19">
        <f t="shared" si="116"/>
        <v>71514.03023</v>
      </c>
      <c r="N166" s="19">
        <f t="shared" si="116"/>
        <v>83614.32315</v>
      </c>
      <c r="O166" s="19">
        <f t="shared" si="116"/>
        <v>97794.46428</v>
      </c>
      <c r="P166" s="19">
        <f t="shared" si="116"/>
        <v>114415.7154</v>
      </c>
    </row>
    <row r="167">
      <c r="A167" s="1" t="s">
        <v>47</v>
      </c>
      <c r="B167" s="120">
        <f t="shared" ref="B167:J167" si="117">B61</f>
        <v>3994</v>
      </c>
      <c r="C167" s="120">
        <f t="shared" si="117"/>
        <v>4496</v>
      </c>
      <c r="D167" s="120">
        <f t="shared" si="117"/>
        <v>5609</v>
      </c>
      <c r="E167" s="120">
        <f t="shared" si="117"/>
        <v>6254</v>
      </c>
      <c r="F167" s="120">
        <f t="shared" si="117"/>
        <v>6807</v>
      </c>
      <c r="G167" s="120">
        <f t="shared" si="117"/>
        <v>7428</v>
      </c>
      <c r="H167" s="120">
        <f t="shared" si="117"/>
        <v>8613</v>
      </c>
      <c r="I167" s="120">
        <f t="shared" si="117"/>
        <v>10830</v>
      </c>
      <c r="J167" s="120">
        <f t="shared" si="117"/>
        <v>13119</v>
      </c>
      <c r="K167" s="19">
        <f t="shared" ref="K167:P167" si="118">K$170*K186</f>
        <v>17456.21281</v>
      </c>
      <c r="L167" s="19">
        <f t="shared" si="118"/>
        <v>20395.35594</v>
      </c>
      <c r="M167" s="19">
        <f t="shared" si="118"/>
        <v>23838.01008</v>
      </c>
      <c r="N167" s="19">
        <f t="shared" si="118"/>
        <v>27871.44105</v>
      </c>
      <c r="O167" s="19">
        <f t="shared" si="118"/>
        <v>32598.15476</v>
      </c>
      <c r="P167" s="19">
        <f t="shared" si="118"/>
        <v>38138.57181</v>
      </c>
    </row>
    <row r="168">
      <c r="A168" s="1" t="s">
        <v>48</v>
      </c>
      <c r="B168" s="120">
        <f t="shared" ref="B168:J168" si="119">B62</f>
        <v>11978</v>
      </c>
      <c r="C168" s="120">
        <f t="shared" si="119"/>
        <v>13028</v>
      </c>
      <c r="D168" s="120">
        <f t="shared" si="119"/>
        <v>13338</v>
      </c>
      <c r="E168" s="120">
        <f t="shared" si="119"/>
        <v>14420</v>
      </c>
      <c r="F168" s="120">
        <f t="shared" si="119"/>
        <v>9040</v>
      </c>
      <c r="G168" s="120">
        <f t="shared" si="119"/>
        <v>12720</v>
      </c>
      <c r="H168" s="120">
        <f t="shared" si="119"/>
        <v>20272</v>
      </c>
      <c r="I168" s="120">
        <f t="shared" si="119"/>
        <v>22900</v>
      </c>
      <c r="J168" s="120">
        <f t="shared" si="119"/>
        <v>22237</v>
      </c>
      <c r="K168" s="19">
        <f t="shared" ref="K168:P168" si="120">K$170*K187</f>
        <v>34912.42561</v>
      </c>
      <c r="L168" s="19">
        <f t="shared" si="120"/>
        <v>40790.71187</v>
      </c>
      <c r="M168" s="19">
        <f t="shared" si="120"/>
        <v>47676.02015</v>
      </c>
      <c r="N168" s="19">
        <f t="shared" si="120"/>
        <v>55742.8821</v>
      </c>
      <c r="O168" s="19">
        <f t="shared" si="120"/>
        <v>65196.30952</v>
      </c>
      <c r="P168" s="19">
        <f t="shared" si="120"/>
        <v>76277.14363</v>
      </c>
    </row>
    <row r="169">
      <c r="A169" s="5"/>
    </row>
    <row r="170">
      <c r="A170" s="18" t="s">
        <v>88</v>
      </c>
      <c r="B170" s="27">
        <f t="shared" ref="B170:P170" si="121">B3</f>
        <v>570615</v>
      </c>
      <c r="C170" s="27">
        <f t="shared" si="121"/>
        <v>680850</v>
      </c>
      <c r="D170" s="27">
        <f t="shared" si="121"/>
        <v>798094</v>
      </c>
      <c r="E170" s="27">
        <f t="shared" si="121"/>
        <v>860685</v>
      </c>
      <c r="F170" s="27">
        <f t="shared" si="121"/>
        <v>756600</v>
      </c>
      <c r="G170" s="27">
        <f t="shared" si="121"/>
        <v>703720</v>
      </c>
      <c r="H170" s="27">
        <f t="shared" si="121"/>
        <v>883298</v>
      </c>
      <c r="I170" s="27">
        <f t="shared" si="121"/>
        <v>1184099</v>
      </c>
      <c r="J170" s="27">
        <f t="shared" si="121"/>
        <v>1418582</v>
      </c>
      <c r="K170" s="27">
        <f t="shared" si="121"/>
        <v>1745621.281</v>
      </c>
      <c r="L170" s="27">
        <f t="shared" si="121"/>
        <v>2039535.594</v>
      </c>
      <c r="M170" s="27">
        <f t="shared" si="121"/>
        <v>2383801.008</v>
      </c>
      <c r="N170" s="27">
        <f t="shared" si="121"/>
        <v>2787144.105</v>
      </c>
      <c r="O170" s="27">
        <f t="shared" si="121"/>
        <v>3259815.476</v>
      </c>
      <c r="P170" s="27">
        <f t="shared" si="121"/>
        <v>3813857.181</v>
      </c>
    </row>
    <row r="171">
      <c r="A171" s="5"/>
    </row>
    <row r="172">
      <c r="A172" s="18" t="s">
        <v>89</v>
      </c>
    </row>
    <row r="173">
      <c r="A173" s="17" t="s">
        <v>60</v>
      </c>
      <c r="B173" s="36"/>
      <c r="C173" s="36"/>
      <c r="D173" s="36"/>
      <c r="E173" s="36"/>
      <c r="F173" s="36"/>
      <c r="G173" s="36"/>
      <c r="H173" s="36"/>
      <c r="I173" s="36"/>
      <c r="J173" s="36"/>
      <c r="K173" s="34"/>
      <c r="L173" s="34"/>
      <c r="M173" s="34"/>
      <c r="N173" s="34"/>
      <c r="O173" s="34"/>
      <c r="P173" s="34"/>
    </row>
    <row r="174">
      <c r="A174" s="16" t="s">
        <v>61</v>
      </c>
      <c r="B174" s="35">
        <f t="shared" ref="B174:J174" si="122">B155/B$170</f>
        <v>0.05489866197</v>
      </c>
      <c r="C174" s="35">
        <f t="shared" si="122"/>
        <v>0.04793566865</v>
      </c>
      <c r="D174" s="35">
        <f t="shared" si="122"/>
        <v>0.03959683947</v>
      </c>
      <c r="E174" s="35">
        <f t="shared" si="122"/>
        <v>0.03860413508</v>
      </c>
      <c r="F174" s="35">
        <f t="shared" si="122"/>
        <v>0.04247819191</v>
      </c>
      <c r="G174" s="35">
        <f t="shared" si="122"/>
        <v>0.04332689138</v>
      </c>
      <c r="H174" s="35">
        <f t="shared" si="122"/>
        <v>0.03998990148</v>
      </c>
      <c r="I174" s="35">
        <f t="shared" si="122"/>
        <v>0.04597166284</v>
      </c>
      <c r="J174" s="35">
        <f t="shared" si="122"/>
        <v>0.03748884449</v>
      </c>
      <c r="K174" s="37">
        <v>0.04</v>
      </c>
      <c r="L174" s="38">
        <f t="shared" ref="L174:P174" si="123">K174</f>
        <v>0.04</v>
      </c>
      <c r="M174" s="38">
        <f t="shared" si="123"/>
        <v>0.04</v>
      </c>
      <c r="N174" s="38">
        <f t="shared" si="123"/>
        <v>0.04</v>
      </c>
      <c r="O174" s="38">
        <f t="shared" si="123"/>
        <v>0.04</v>
      </c>
      <c r="P174" s="38">
        <f t="shared" si="123"/>
        <v>0.04</v>
      </c>
    </row>
    <row r="175">
      <c r="A175" s="16" t="s">
        <v>62</v>
      </c>
      <c r="B175" s="35">
        <f t="shared" ref="B175:J175" si="124">B156/B$170</f>
        <v>0.02319252035</v>
      </c>
      <c r="C175" s="35">
        <f t="shared" si="124"/>
        <v>0.0176632151</v>
      </c>
      <c r="D175" s="35">
        <f t="shared" si="124"/>
        <v>0.01836124567</v>
      </c>
      <c r="E175" s="35">
        <f t="shared" si="124"/>
        <v>0.0268716197</v>
      </c>
      <c r="F175" s="35">
        <f t="shared" si="124"/>
        <v>0.02814961671</v>
      </c>
      <c r="G175" s="35">
        <f t="shared" si="124"/>
        <v>0.01818763144</v>
      </c>
      <c r="H175" s="35">
        <f t="shared" si="124"/>
        <v>0.02303299679</v>
      </c>
      <c r="I175" s="35">
        <f t="shared" si="124"/>
        <v>0.02774092369</v>
      </c>
      <c r="J175" s="35">
        <f t="shared" si="124"/>
        <v>0.03240418954</v>
      </c>
      <c r="K175" s="37">
        <v>0.03</v>
      </c>
      <c r="L175" s="38">
        <f t="shared" ref="L175:P175" si="125">K175</f>
        <v>0.03</v>
      </c>
      <c r="M175" s="38">
        <f t="shared" si="125"/>
        <v>0.03</v>
      </c>
      <c r="N175" s="38">
        <f t="shared" si="125"/>
        <v>0.03</v>
      </c>
      <c r="O175" s="38">
        <f t="shared" si="125"/>
        <v>0.03</v>
      </c>
      <c r="P175" s="38">
        <f t="shared" si="125"/>
        <v>0.03</v>
      </c>
    </row>
    <row r="176">
      <c r="A176" s="16" t="s">
        <v>64</v>
      </c>
      <c r="B176" s="35">
        <f t="shared" ref="B176:J176" si="126">B157/B$170</f>
        <v>0.00005432734856</v>
      </c>
      <c r="C176" s="35">
        <f t="shared" si="126"/>
        <v>0.00003671880737</v>
      </c>
      <c r="D176" s="35">
        <f t="shared" si="126"/>
        <v>0.00003758955712</v>
      </c>
      <c r="E176" s="35">
        <f t="shared" si="126"/>
        <v>0.0001870603066</v>
      </c>
      <c r="F176" s="35">
        <f t="shared" si="126"/>
        <v>0.0002246893999</v>
      </c>
      <c r="G176" s="35">
        <f t="shared" si="126"/>
        <v>0.0003268345365</v>
      </c>
      <c r="H176" s="35">
        <f t="shared" si="126"/>
        <v>0.0003452968307</v>
      </c>
      <c r="I176" s="35">
        <f t="shared" si="126"/>
        <v>0.000250823622</v>
      </c>
      <c r="J176" s="35">
        <f t="shared" si="126"/>
        <v>0.0002305118774</v>
      </c>
      <c r="K176" s="38">
        <f t="shared" ref="K176:P176" si="127">J176</f>
        <v>0.0002305118774</v>
      </c>
      <c r="L176" s="38">
        <f t="shared" si="127"/>
        <v>0.0002305118774</v>
      </c>
      <c r="M176" s="38">
        <f t="shared" si="127"/>
        <v>0.0002305118774</v>
      </c>
      <c r="N176" s="38">
        <f t="shared" si="127"/>
        <v>0.0002305118774</v>
      </c>
      <c r="O176" s="38">
        <f t="shared" si="127"/>
        <v>0.0002305118774</v>
      </c>
      <c r="P176" s="38">
        <f t="shared" si="127"/>
        <v>0.0002305118774</v>
      </c>
    </row>
    <row r="177">
      <c r="A177" s="16" t="s">
        <v>65</v>
      </c>
      <c r="B177" s="35">
        <f t="shared" ref="B177:J177" si="128">B158/B$170</f>
        <v>0.02911069635</v>
      </c>
      <c r="C177" s="35">
        <f t="shared" si="128"/>
        <v>0.02263053536</v>
      </c>
      <c r="D177" s="35">
        <f t="shared" si="128"/>
        <v>0.01646422602</v>
      </c>
      <c r="E177" s="35">
        <f t="shared" si="128"/>
        <v>0.006550596327</v>
      </c>
      <c r="F177" s="35">
        <f t="shared" si="128"/>
        <v>0.01053925456</v>
      </c>
      <c r="G177" s="35">
        <f t="shared" si="128"/>
        <v>0.01361478997</v>
      </c>
      <c r="H177" s="35">
        <f t="shared" si="128"/>
        <v>0.01653802001</v>
      </c>
      <c r="I177" s="35">
        <f t="shared" si="128"/>
        <v>0.01317626313</v>
      </c>
      <c r="J177" s="35">
        <f t="shared" si="128"/>
        <v>0.01767751177</v>
      </c>
      <c r="K177" s="37">
        <v>0.02</v>
      </c>
      <c r="L177" s="38">
        <f t="shared" ref="L177:P177" si="129">K177</f>
        <v>0.02</v>
      </c>
      <c r="M177" s="38">
        <f t="shared" si="129"/>
        <v>0.02</v>
      </c>
      <c r="N177" s="38">
        <f t="shared" si="129"/>
        <v>0.02</v>
      </c>
      <c r="O177" s="38">
        <f t="shared" si="129"/>
        <v>0.02</v>
      </c>
      <c r="P177" s="38">
        <f t="shared" si="129"/>
        <v>0.02</v>
      </c>
    </row>
    <row r="178">
      <c r="A178" s="16" t="s">
        <v>66</v>
      </c>
      <c r="B178" s="35">
        <f t="shared" ref="B178:J178" si="130">B159/B$170</f>
        <v>0.008597741034</v>
      </c>
      <c r="C178" s="35">
        <f t="shared" si="130"/>
        <v>0.007211573768</v>
      </c>
      <c r="D178" s="35">
        <f t="shared" si="130"/>
        <v>0.005156034252</v>
      </c>
      <c r="E178" s="35">
        <f t="shared" si="130"/>
        <v>0.004969297711</v>
      </c>
      <c r="F178" s="35">
        <f t="shared" si="130"/>
        <v>0.006968014803</v>
      </c>
      <c r="G178" s="35">
        <f t="shared" si="130"/>
        <v>0</v>
      </c>
      <c r="H178" s="35">
        <f t="shared" si="130"/>
        <v>0</v>
      </c>
      <c r="I178" s="35">
        <f t="shared" si="130"/>
        <v>0</v>
      </c>
      <c r="J178" s="35">
        <f t="shared" si="130"/>
        <v>0</v>
      </c>
      <c r="K178" s="38">
        <f t="shared" ref="K178:P178" si="131">J178</f>
        <v>0</v>
      </c>
      <c r="L178" s="38">
        <f t="shared" si="131"/>
        <v>0</v>
      </c>
      <c r="M178" s="38">
        <f t="shared" si="131"/>
        <v>0</v>
      </c>
      <c r="N178" s="38">
        <f t="shared" si="131"/>
        <v>0</v>
      </c>
      <c r="O178" s="38">
        <f t="shared" si="131"/>
        <v>0</v>
      </c>
      <c r="P178" s="38">
        <f t="shared" si="131"/>
        <v>0</v>
      </c>
    </row>
    <row r="179">
      <c r="A179" s="1" t="s">
        <v>57</v>
      </c>
      <c r="B179" s="35">
        <f t="shared" ref="B179:J179" si="132">B160/B$170</f>
        <v>0.022600177</v>
      </c>
      <c r="C179" s="35">
        <f t="shared" si="132"/>
        <v>0.03339795843</v>
      </c>
      <c r="D179" s="35">
        <f t="shared" si="132"/>
        <v>0.01881858528</v>
      </c>
      <c r="E179" s="35">
        <f t="shared" si="132"/>
        <v>0.06438941076</v>
      </c>
      <c r="F179" s="35">
        <f t="shared" si="132"/>
        <v>0.02281654771</v>
      </c>
      <c r="G179" s="35">
        <f t="shared" si="132"/>
        <v>0.1384059001</v>
      </c>
      <c r="H179" s="35">
        <f t="shared" si="132"/>
        <v>0.07577397436</v>
      </c>
      <c r="I179" s="35">
        <f t="shared" si="132"/>
        <v>0.02197873658</v>
      </c>
      <c r="J179" s="35">
        <f t="shared" si="132"/>
        <v>0.05182005693</v>
      </c>
      <c r="K179" s="37">
        <v>0.03</v>
      </c>
      <c r="L179" s="38">
        <f t="shared" ref="L179:P179" si="133">K179</f>
        <v>0.03</v>
      </c>
      <c r="M179" s="38">
        <f t="shared" si="133"/>
        <v>0.03</v>
      </c>
      <c r="N179" s="38">
        <f t="shared" si="133"/>
        <v>0.03</v>
      </c>
      <c r="O179" s="38">
        <f t="shared" si="133"/>
        <v>0.03</v>
      </c>
      <c r="P179" s="38">
        <f t="shared" si="133"/>
        <v>0.03</v>
      </c>
    </row>
    <row r="180">
      <c r="A180" s="5"/>
    </row>
    <row r="181">
      <c r="A181" s="17" t="s">
        <v>42</v>
      </c>
      <c r="B181" s="36"/>
      <c r="C181" s="36"/>
      <c r="D181" s="36"/>
      <c r="E181" s="36"/>
      <c r="F181" s="36"/>
      <c r="G181" s="36"/>
      <c r="H181" s="36"/>
      <c r="I181" s="36"/>
      <c r="J181" s="36"/>
      <c r="K181" s="34"/>
      <c r="L181" s="34"/>
      <c r="M181" s="34"/>
      <c r="N181" s="34"/>
      <c r="O181" s="34"/>
      <c r="P181" s="34"/>
    </row>
    <row r="182">
      <c r="A182" s="1" t="s">
        <v>43</v>
      </c>
      <c r="B182" s="35">
        <f t="shared" ref="B182:J182" si="134">B163/B$170</f>
        <v>0.01394285113</v>
      </c>
      <c r="C182" s="35">
        <f t="shared" si="134"/>
        <v>0.01180289344</v>
      </c>
      <c r="D182" s="35">
        <f t="shared" si="134"/>
        <v>0.01070174691</v>
      </c>
      <c r="E182" s="35">
        <f t="shared" si="134"/>
        <v>0.007818191324</v>
      </c>
      <c r="F182" s="35">
        <f t="shared" si="134"/>
        <v>0.009201691779</v>
      </c>
      <c r="G182" s="35">
        <f t="shared" si="134"/>
        <v>0.01214545558</v>
      </c>
      <c r="H182" s="35">
        <f t="shared" si="134"/>
        <v>0.01258125797</v>
      </c>
      <c r="I182" s="35">
        <f t="shared" si="134"/>
        <v>0.009782965782</v>
      </c>
      <c r="J182" s="35">
        <f t="shared" si="134"/>
        <v>0.008480299341</v>
      </c>
      <c r="K182" s="37">
        <v>0.01</v>
      </c>
      <c r="L182" s="38">
        <f t="shared" ref="L182:P182" si="135">K182</f>
        <v>0.01</v>
      </c>
      <c r="M182" s="38">
        <f t="shared" si="135"/>
        <v>0.01</v>
      </c>
      <c r="N182" s="38">
        <f t="shared" si="135"/>
        <v>0.01</v>
      </c>
      <c r="O182" s="38">
        <f t="shared" si="135"/>
        <v>0.01</v>
      </c>
      <c r="P182" s="38">
        <f t="shared" si="135"/>
        <v>0.01</v>
      </c>
    </row>
    <row r="183">
      <c r="A183" s="1" t="s">
        <v>44</v>
      </c>
      <c r="B183" s="35">
        <f t="shared" ref="B183:J183" si="136">B164/B$170</f>
        <v>0.001356431219</v>
      </c>
      <c r="C183" s="35">
        <f t="shared" si="136"/>
        <v>0.007105823603</v>
      </c>
      <c r="D183" s="35">
        <f t="shared" si="136"/>
        <v>0.001388307643</v>
      </c>
      <c r="E183" s="35">
        <f t="shared" si="136"/>
        <v>0.001738150427</v>
      </c>
      <c r="F183" s="35">
        <f t="shared" si="136"/>
        <v>0.001404969601</v>
      </c>
      <c r="G183" s="35">
        <f t="shared" si="136"/>
        <v>0.007051099869</v>
      </c>
      <c r="H183" s="35">
        <f t="shared" si="136"/>
        <v>0.004323569169</v>
      </c>
      <c r="I183" s="35">
        <f t="shared" si="136"/>
        <v>0.01032515018</v>
      </c>
      <c r="J183" s="35">
        <f t="shared" si="136"/>
        <v>0.0003588090079</v>
      </c>
      <c r="K183" s="37">
        <v>0.001</v>
      </c>
      <c r="L183" s="38">
        <f t="shared" ref="L183:P183" si="137">K183</f>
        <v>0.001</v>
      </c>
      <c r="M183" s="38">
        <f t="shared" si="137"/>
        <v>0.001</v>
      </c>
      <c r="N183" s="38">
        <f t="shared" si="137"/>
        <v>0.001</v>
      </c>
      <c r="O183" s="38">
        <f t="shared" si="137"/>
        <v>0.001</v>
      </c>
      <c r="P183" s="38">
        <f t="shared" si="137"/>
        <v>0.001</v>
      </c>
    </row>
    <row r="184">
      <c r="A184" s="1" t="s">
        <v>45</v>
      </c>
      <c r="B184" s="35">
        <f t="shared" ref="B184:J184" si="138">B165/B$170</f>
        <v>0.1298406106</v>
      </c>
      <c r="C184" s="35">
        <f t="shared" si="138"/>
        <v>0.1229228171</v>
      </c>
      <c r="D184" s="35">
        <f t="shared" si="138"/>
        <v>0.131554679</v>
      </c>
      <c r="E184" s="35">
        <f t="shared" si="138"/>
        <v>0.111977088</v>
      </c>
      <c r="F184" s="35">
        <f t="shared" si="138"/>
        <v>0.09924795136</v>
      </c>
      <c r="G184" s="35">
        <f t="shared" si="138"/>
        <v>0.1444907065</v>
      </c>
      <c r="H184" s="35">
        <f t="shared" si="138"/>
        <v>0.1106444258</v>
      </c>
      <c r="I184" s="35">
        <f t="shared" si="138"/>
        <v>0.1154928769</v>
      </c>
      <c r="J184" s="35">
        <f t="shared" si="138"/>
        <v>0.1197562073</v>
      </c>
      <c r="K184" s="37">
        <v>0.12</v>
      </c>
      <c r="L184" s="38">
        <f t="shared" ref="L184:P184" si="139">K184</f>
        <v>0.12</v>
      </c>
      <c r="M184" s="38">
        <f t="shared" si="139"/>
        <v>0.12</v>
      </c>
      <c r="N184" s="38">
        <f t="shared" si="139"/>
        <v>0.12</v>
      </c>
      <c r="O184" s="38">
        <f t="shared" si="139"/>
        <v>0.12</v>
      </c>
      <c r="P184" s="38">
        <f t="shared" si="139"/>
        <v>0.12</v>
      </c>
    </row>
    <row r="185">
      <c r="A185" s="1" t="s">
        <v>46</v>
      </c>
      <c r="B185" s="35">
        <f t="shared" ref="B185:J185" si="140">B166/B$170</f>
        <v>0.02041656809</v>
      </c>
      <c r="C185" s="35">
        <f t="shared" si="140"/>
        <v>0.02684585445</v>
      </c>
      <c r="D185" s="35">
        <f t="shared" si="140"/>
        <v>0.02618237952</v>
      </c>
      <c r="E185" s="35">
        <f t="shared" si="140"/>
        <v>0.01897209781</v>
      </c>
      <c r="F185" s="35">
        <f t="shared" si="140"/>
        <v>0.01862410785</v>
      </c>
      <c r="G185" s="35">
        <f t="shared" si="140"/>
        <v>0.03808474962</v>
      </c>
      <c r="H185" s="35">
        <f t="shared" si="140"/>
        <v>0.03247601602</v>
      </c>
      <c r="I185" s="35">
        <f t="shared" si="140"/>
        <v>0.02818345426</v>
      </c>
      <c r="J185" s="35">
        <f t="shared" si="140"/>
        <v>0.02942304357</v>
      </c>
      <c r="K185" s="37">
        <v>0.03</v>
      </c>
      <c r="L185" s="38">
        <f t="shared" ref="L185:P185" si="141">K185</f>
        <v>0.03</v>
      </c>
      <c r="M185" s="38">
        <f t="shared" si="141"/>
        <v>0.03</v>
      </c>
      <c r="N185" s="38">
        <f t="shared" si="141"/>
        <v>0.03</v>
      </c>
      <c r="O185" s="38">
        <f t="shared" si="141"/>
        <v>0.03</v>
      </c>
      <c r="P185" s="38">
        <f t="shared" si="141"/>
        <v>0.03</v>
      </c>
    </row>
    <row r="186">
      <c r="A186" s="1" t="s">
        <v>47</v>
      </c>
      <c r="B186" s="35">
        <f t="shared" ref="B186:J186" si="142">B167/B$170</f>
        <v>0.006999465489</v>
      </c>
      <c r="C186" s="35">
        <f t="shared" si="142"/>
        <v>0.006603510318</v>
      </c>
      <c r="D186" s="35">
        <f t="shared" si="142"/>
        <v>0.007027994196</v>
      </c>
      <c r="E186" s="35">
        <f t="shared" si="142"/>
        <v>0.007266305327</v>
      </c>
      <c r="F186" s="35">
        <f t="shared" si="142"/>
        <v>0.008996827914</v>
      </c>
      <c r="G186" s="35">
        <f t="shared" si="142"/>
        <v>0.01055533451</v>
      </c>
      <c r="H186" s="35">
        <f t="shared" si="142"/>
        <v>0.009750956076</v>
      </c>
      <c r="I186" s="35">
        <f t="shared" si="142"/>
        <v>0.009146194702</v>
      </c>
      <c r="J186" s="35">
        <f t="shared" si="142"/>
        <v>0.009247967336</v>
      </c>
      <c r="K186" s="37">
        <v>0.01</v>
      </c>
      <c r="L186" s="38">
        <f t="shared" ref="L186:P186" si="143">K186</f>
        <v>0.01</v>
      </c>
      <c r="M186" s="38">
        <f t="shared" si="143"/>
        <v>0.01</v>
      </c>
      <c r="N186" s="38">
        <f t="shared" si="143"/>
        <v>0.01</v>
      </c>
      <c r="O186" s="38">
        <f t="shared" si="143"/>
        <v>0.01</v>
      </c>
      <c r="P186" s="38">
        <f t="shared" si="143"/>
        <v>0.01</v>
      </c>
    </row>
    <row r="187">
      <c r="A187" s="1" t="s">
        <v>48</v>
      </c>
      <c r="B187" s="35">
        <f t="shared" ref="B187:J187" si="144">B168/B$170</f>
        <v>0.02099138649</v>
      </c>
      <c r="C187" s="35">
        <f t="shared" si="144"/>
        <v>0.0191349049</v>
      </c>
      <c r="D187" s="35">
        <f t="shared" si="144"/>
        <v>0.0167123171</v>
      </c>
      <c r="E187" s="35">
        <f t="shared" si="144"/>
        <v>0.01675409703</v>
      </c>
      <c r="F187" s="35">
        <f t="shared" si="144"/>
        <v>0.01194818927</v>
      </c>
      <c r="G187" s="35">
        <f t="shared" si="144"/>
        <v>0.01807537089</v>
      </c>
      <c r="H187" s="35">
        <f t="shared" si="144"/>
        <v>0.02295035198</v>
      </c>
      <c r="I187" s="35">
        <f t="shared" si="144"/>
        <v>0.01933959914</v>
      </c>
      <c r="J187" s="35">
        <f t="shared" si="144"/>
        <v>0.01567551259</v>
      </c>
      <c r="K187" s="37">
        <v>0.02</v>
      </c>
      <c r="L187" s="38">
        <f t="shared" ref="L187:P187" si="145">K187</f>
        <v>0.02</v>
      </c>
      <c r="M187" s="38">
        <f t="shared" si="145"/>
        <v>0.02</v>
      </c>
      <c r="N187" s="38">
        <f t="shared" si="145"/>
        <v>0.02</v>
      </c>
      <c r="O187" s="38">
        <f t="shared" si="145"/>
        <v>0.02</v>
      </c>
      <c r="P187" s="38">
        <f t="shared" si="145"/>
        <v>0.02</v>
      </c>
    </row>
    <row r="188">
      <c r="A188" s="5"/>
    </row>
    <row r="189">
      <c r="A189" s="1" t="s">
        <v>90</v>
      </c>
      <c r="B189" s="19">
        <f t="shared" ref="B189:P189" si="146">B154-B162</f>
        <v>-31437</v>
      </c>
      <c r="C189" s="19">
        <f t="shared" si="146"/>
        <v>-44623</v>
      </c>
      <c r="D189" s="19">
        <f t="shared" si="146"/>
        <v>-75925</v>
      </c>
      <c r="E189" s="19">
        <f t="shared" si="146"/>
        <v>-19756</v>
      </c>
      <c r="F189" s="19">
        <f t="shared" si="146"/>
        <v>-28938</v>
      </c>
      <c r="G189" s="19">
        <f t="shared" si="146"/>
        <v>-11640</v>
      </c>
      <c r="H189" s="19">
        <f t="shared" si="146"/>
        <v>-32723</v>
      </c>
      <c r="I189" s="19">
        <f t="shared" si="146"/>
        <v>-98460</v>
      </c>
      <c r="J189" s="19">
        <f t="shared" si="146"/>
        <v>-61454</v>
      </c>
      <c r="K189" s="19">
        <f t="shared" si="146"/>
        <v>-123536.7245</v>
      </c>
      <c r="L189" s="19">
        <f t="shared" si="146"/>
        <v>-144336.89</v>
      </c>
      <c r="M189" s="19">
        <f t="shared" si="146"/>
        <v>-168700.3771</v>
      </c>
      <c r="N189" s="19">
        <f t="shared" si="146"/>
        <v>-197244.7616</v>
      </c>
      <c r="O189" s="19">
        <f t="shared" si="146"/>
        <v>-230695.4726</v>
      </c>
      <c r="P189" s="19">
        <f t="shared" si="146"/>
        <v>-269904.7205</v>
      </c>
    </row>
    <row r="190">
      <c r="A190" s="1" t="s">
        <v>91</v>
      </c>
      <c r="C190" s="19">
        <f t="shared" ref="C190:P190" si="147">C189-B189</f>
        <v>-13186</v>
      </c>
      <c r="D190" s="19">
        <f t="shared" si="147"/>
        <v>-31302</v>
      </c>
      <c r="E190" s="19">
        <f t="shared" si="147"/>
        <v>56169</v>
      </c>
      <c r="F190" s="19">
        <f t="shared" si="147"/>
        <v>-9182</v>
      </c>
      <c r="G190" s="19">
        <f t="shared" si="147"/>
        <v>17298</v>
      </c>
      <c r="H190" s="19">
        <f t="shared" si="147"/>
        <v>-21083</v>
      </c>
      <c r="I190" s="19">
        <f t="shared" si="147"/>
        <v>-65737</v>
      </c>
      <c r="J190" s="19">
        <f t="shared" si="147"/>
        <v>37006</v>
      </c>
      <c r="K190" s="19">
        <f t="shared" si="147"/>
        <v>-62082.72448</v>
      </c>
      <c r="L190" s="19">
        <f t="shared" si="147"/>
        <v>-20800.16549</v>
      </c>
      <c r="M190" s="19">
        <f t="shared" si="147"/>
        <v>-24363.48712</v>
      </c>
      <c r="N190" s="19">
        <f t="shared" si="147"/>
        <v>-28544.38454</v>
      </c>
      <c r="O190" s="19">
        <f t="shared" si="147"/>
        <v>-33450.71097</v>
      </c>
      <c r="P190" s="19">
        <f t="shared" si="147"/>
        <v>-39209.2479</v>
      </c>
    </row>
    <row r="191">
      <c r="A191" s="5"/>
    </row>
    <row r="192">
      <c r="A192" s="5"/>
    </row>
    <row r="193">
      <c r="A193" s="5"/>
    </row>
    <row r="194">
      <c r="A194" s="18" t="s">
        <v>92</v>
      </c>
    </row>
    <row r="195">
      <c r="A195" s="5" t="s">
        <v>93</v>
      </c>
      <c r="B195" s="19">
        <f t="shared" ref="B195:P195" si="148">B69+B71+B73</f>
        <v>131896</v>
      </c>
      <c r="C195" s="19">
        <f t="shared" si="148"/>
        <v>141900</v>
      </c>
      <c r="D195" s="19">
        <f t="shared" si="148"/>
        <v>152092</v>
      </c>
      <c r="E195" s="19">
        <f t="shared" si="148"/>
        <v>165931</v>
      </c>
      <c r="F195" s="19">
        <f t="shared" si="148"/>
        <v>167529</v>
      </c>
      <c r="G195" s="19">
        <f t="shared" si="148"/>
        <v>159638</v>
      </c>
      <c r="H195" s="19">
        <f t="shared" si="148"/>
        <v>160435</v>
      </c>
      <c r="I195" s="19">
        <f t="shared" si="148"/>
        <v>314476</v>
      </c>
      <c r="J195" s="19">
        <f t="shared" si="148"/>
        <v>349154</v>
      </c>
      <c r="K195" s="19">
        <f t="shared" si="148"/>
        <v>0</v>
      </c>
      <c r="L195" s="19">
        <f t="shared" si="148"/>
        <v>0</v>
      </c>
      <c r="M195" s="19">
        <f t="shared" si="148"/>
        <v>0</v>
      </c>
      <c r="N195" s="19">
        <f t="shared" si="148"/>
        <v>0</v>
      </c>
      <c r="O195" s="19">
        <f t="shared" si="148"/>
        <v>0</v>
      </c>
      <c r="P195" s="19">
        <f t="shared" si="148"/>
        <v>0</v>
      </c>
    </row>
    <row r="196">
      <c r="A196" s="5" t="s">
        <v>94</v>
      </c>
      <c r="B196" s="19">
        <f t="shared" ref="B196:P196" si="149">B70+B72</f>
        <v>3469</v>
      </c>
      <c r="C196" s="19">
        <f t="shared" si="149"/>
        <v>3730</v>
      </c>
      <c r="D196" s="19">
        <f t="shared" si="149"/>
        <v>3117</v>
      </c>
      <c r="E196" s="19">
        <f t="shared" si="149"/>
        <v>4511</v>
      </c>
      <c r="F196" s="19">
        <f t="shared" si="149"/>
        <v>4067</v>
      </c>
      <c r="G196" s="19">
        <f t="shared" si="149"/>
        <v>5217</v>
      </c>
      <c r="H196" s="19">
        <f t="shared" si="149"/>
        <v>6402</v>
      </c>
      <c r="I196" s="19">
        <f t="shared" si="149"/>
        <v>6368</v>
      </c>
      <c r="J196" s="19">
        <f t="shared" si="149"/>
        <v>6842</v>
      </c>
      <c r="K196" s="19">
        <f t="shared" si="149"/>
        <v>0</v>
      </c>
      <c r="L196" s="19">
        <f t="shared" si="149"/>
        <v>0</v>
      </c>
      <c r="M196" s="19">
        <f t="shared" si="149"/>
        <v>0</v>
      </c>
      <c r="N196" s="19">
        <f t="shared" si="149"/>
        <v>0</v>
      </c>
      <c r="O196" s="19">
        <f t="shared" si="149"/>
        <v>0</v>
      </c>
      <c r="P196" s="19">
        <f t="shared" si="149"/>
        <v>0</v>
      </c>
    </row>
    <row r="197">
      <c r="A197" s="5" t="s">
        <v>49</v>
      </c>
      <c r="B197" s="19">
        <f t="shared" ref="B197:J197" si="150">B195+B196</f>
        <v>135365</v>
      </c>
      <c r="C197" s="19">
        <f t="shared" si="150"/>
        <v>145630</v>
      </c>
      <c r="D197" s="19">
        <f t="shared" si="150"/>
        <v>155209</v>
      </c>
      <c r="E197" s="19">
        <f t="shared" si="150"/>
        <v>170442</v>
      </c>
      <c r="F197" s="19">
        <f t="shared" si="150"/>
        <v>171596</v>
      </c>
      <c r="G197" s="19">
        <f t="shared" si="150"/>
        <v>164855</v>
      </c>
      <c r="H197" s="19">
        <f t="shared" si="150"/>
        <v>166837</v>
      </c>
      <c r="I197" s="19">
        <f t="shared" si="150"/>
        <v>320844</v>
      </c>
      <c r="J197" s="19">
        <f t="shared" si="150"/>
        <v>355996</v>
      </c>
      <c r="K197" s="44">
        <f t="shared" ref="K197:P197" si="151">(K95*K199)/10^6</f>
        <v>408000</v>
      </c>
      <c r="L197" s="44">
        <f t="shared" si="151"/>
        <v>456000</v>
      </c>
      <c r="M197" s="44">
        <f t="shared" si="151"/>
        <v>504000</v>
      </c>
      <c r="N197" s="44">
        <f t="shared" si="151"/>
        <v>552000</v>
      </c>
      <c r="O197" s="44">
        <f t="shared" si="151"/>
        <v>600000</v>
      </c>
      <c r="P197" s="44">
        <f t="shared" si="151"/>
        <v>648000</v>
      </c>
    </row>
    <row r="198">
      <c r="A198" s="5"/>
    </row>
    <row r="199">
      <c r="A199" s="5" t="s">
        <v>95</v>
      </c>
      <c r="B199" s="27">
        <f t="shared" ref="B199:J199" si="152">(B197/B95)*10^6</f>
        <v>90243.33333</v>
      </c>
      <c r="C199" s="27">
        <f t="shared" si="152"/>
        <v>93954.83871</v>
      </c>
      <c r="D199" s="27">
        <f t="shared" si="152"/>
        <v>99492.94872</v>
      </c>
      <c r="E199" s="27">
        <f t="shared" si="152"/>
        <v>107874.6835</v>
      </c>
      <c r="F199" s="27">
        <f t="shared" si="152"/>
        <v>85798</v>
      </c>
      <c r="G199" s="27">
        <f t="shared" si="152"/>
        <v>73268.88889</v>
      </c>
      <c r="H199" s="27">
        <f t="shared" si="152"/>
        <v>74149.77778</v>
      </c>
      <c r="I199" s="27">
        <f t="shared" si="152"/>
        <v>142597.3333</v>
      </c>
      <c r="J199" s="27">
        <f t="shared" si="152"/>
        <v>158220.4444</v>
      </c>
      <c r="K199" s="20">
        <v>160000.0</v>
      </c>
      <c r="L199" s="116">
        <f t="shared" ref="L199:P199" si="153">K199</f>
        <v>160000</v>
      </c>
      <c r="M199" s="116">
        <f t="shared" si="153"/>
        <v>160000</v>
      </c>
      <c r="N199" s="116">
        <f t="shared" si="153"/>
        <v>160000</v>
      </c>
      <c r="O199" s="116">
        <f t="shared" si="153"/>
        <v>160000</v>
      </c>
      <c r="P199" s="116">
        <f t="shared" si="153"/>
        <v>160000</v>
      </c>
    </row>
    <row r="200">
      <c r="A200" s="5"/>
    </row>
    <row r="201">
      <c r="A201" s="5" t="s">
        <v>96</v>
      </c>
      <c r="B201" s="19">
        <f t="shared" ref="B201:J201" si="154">B20</f>
        <v>28670</v>
      </c>
      <c r="C201" s="19">
        <f t="shared" si="154"/>
        <v>26039</v>
      </c>
      <c r="D201" s="19">
        <f t="shared" si="154"/>
        <v>27598</v>
      </c>
      <c r="E201" s="19">
        <f t="shared" si="154"/>
        <v>30208</v>
      </c>
      <c r="F201" s="19">
        <f t="shared" si="154"/>
        <v>35284</v>
      </c>
      <c r="G201" s="19">
        <f t="shared" si="154"/>
        <v>30341</v>
      </c>
      <c r="H201" s="19">
        <f t="shared" si="154"/>
        <v>27890</v>
      </c>
      <c r="I201" s="19">
        <f t="shared" si="154"/>
        <v>48460</v>
      </c>
      <c r="J201" s="19">
        <f t="shared" si="154"/>
        <v>52558</v>
      </c>
      <c r="K201" s="19">
        <f t="shared" ref="K201:P201" si="155">(K199*K96)/10^6</f>
        <v>48000</v>
      </c>
      <c r="L201" s="19">
        <f t="shared" si="155"/>
        <v>48000</v>
      </c>
      <c r="M201" s="19">
        <f t="shared" si="155"/>
        <v>48000</v>
      </c>
      <c r="N201" s="19">
        <f t="shared" si="155"/>
        <v>48000</v>
      </c>
      <c r="O201" s="19">
        <f t="shared" si="155"/>
        <v>48000</v>
      </c>
      <c r="P201" s="19">
        <f t="shared" si="155"/>
        <v>48000</v>
      </c>
    </row>
    <row r="202">
      <c r="A202" s="5" t="s">
        <v>97</v>
      </c>
      <c r="K202" s="19">
        <f t="shared" ref="K202:P202" si="156">J201</f>
        <v>52558</v>
      </c>
      <c r="L202" s="19">
        <f t="shared" si="156"/>
        <v>48000</v>
      </c>
      <c r="M202" s="19">
        <f t="shared" si="156"/>
        <v>48000</v>
      </c>
      <c r="N202" s="19">
        <f t="shared" si="156"/>
        <v>48000</v>
      </c>
      <c r="O202" s="19">
        <f t="shared" si="156"/>
        <v>48000</v>
      </c>
      <c r="P202" s="19">
        <f t="shared" si="156"/>
        <v>48000</v>
      </c>
    </row>
    <row r="203">
      <c r="A203" s="5" t="s">
        <v>98</v>
      </c>
      <c r="K203" s="19">
        <f t="shared" ref="K203:P203" si="157">SUM(K201:K202)</f>
        <v>100558</v>
      </c>
      <c r="L203" s="19">
        <f t="shared" si="157"/>
        <v>96000</v>
      </c>
      <c r="M203" s="19">
        <f t="shared" si="157"/>
        <v>96000</v>
      </c>
      <c r="N203" s="19">
        <f t="shared" si="157"/>
        <v>96000</v>
      </c>
      <c r="O203" s="19">
        <f t="shared" si="157"/>
        <v>96000</v>
      </c>
      <c r="P203" s="19">
        <f t="shared" si="157"/>
        <v>96000</v>
      </c>
    </row>
    <row r="204">
      <c r="A204" s="5"/>
    </row>
    <row r="205">
      <c r="A205" s="5" t="s">
        <v>99</v>
      </c>
      <c r="B205" s="19">
        <f t="shared" ref="B205:P205" si="158">B20</f>
        <v>28670</v>
      </c>
      <c r="C205" s="19">
        <f t="shared" si="158"/>
        <v>26039</v>
      </c>
      <c r="D205" s="19">
        <f t="shared" si="158"/>
        <v>27598</v>
      </c>
      <c r="E205" s="19">
        <f t="shared" si="158"/>
        <v>30208</v>
      </c>
      <c r="F205" s="19">
        <f t="shared" si="158"/>
        <v>35284</v>
      </c>
      <c r="G205" s="19">
        <f t="shared" si="158"/>
        <v>30341</v>
      </c>
      <c r="H205" s="19">
        <f t="shared" si="158"/>
        <v>27890</v>
      </c>
      <c r="I205" s="19">
        <f t="shared" si="158"/>
        <v>48460</v>
      </c>
      <c r="J205" s="19">
        <f t="shared" si="158"/>
        <v>52558</v>
      </c>
      <c r="K205" s="44" t="str">
        <f t="shared" si="158"/>
        <v/>
      </c>
      <c r="L205" s="44" t="str">
        <f t="shared" si="158"/>
        <v/>
      </c>
      <c r="M205" s="44" t="str">
        <f t="shared" si="158"/>
        <v/>
      </c>
      <c r="N205" s="44" t="str">
        <f t="shared" si="158"/>
        <v/>
      </c>
      <c r="O205" s="44" t="str">
        <f t="shared" si="158"/>
        <v/>
      </c>
      <c r="P205" s="44" t="str">
        <f t="shared" si="158"/>
        <v/>
      </c>
    </row>
    <row r="206">
      <c r="A206" s="5" t="s">
        <v>100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1"/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  <c r="K3" s="25">
        <f t="shared" ref="K3:P3" si="2">(K98*K119)/10^6</f>
        <v>1745621.281</v>
      </c>
      <c r="L3" s="25">
        <f t="shared" si="2"/>
        <v>2039535.594</v>
      </c>
      <c r="M3" s="25">
        <f t="shared" si="2"/>
        <v>2383801.008</v>
      </c>
      <c r="N3" s="25">
        <f t="shared" si="2"/>
        <v>2787144.105</v>
      </c>
      <c r="O3" s="25">
        <f t="shared" si="2"/>
        <v>3259815.476</v>
      </c>
      <c r="P3" s="25">
        <f t="shared" si="2"/>
        <v>3813857.181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  <c r="K4" s="43">
        <v>20000.0</v>
      </c>
      <c r="L4" s="43">
        <v>20000.0</v>
      </c>
      <c r="M4" s="43">
        <v>20000.0</v>
      </c>
      <c r="N4" s="43">
        <v>20000.0</v>
      </c>
      <c r="O4" s="43">
        <v>20000.0</v>
      </c>
      <c r="P4" s="43">
        <v>20000.0</v>
      </c>
    </row>
    <row r="5" ht="15.75" customHeight="1">
      <c r="A5" s="7"/>
    </row>
    <row r="6" ht="15.75" customHeight="1">
      <c r="A6" s="8" t="s">
        <v>3</v>
      </c>
      <c r="B6" s="9">
        <f t="shared" ref="B6:P6" si="3">SUM(B3:B4)</f>
        <v>586120</v>
      </c>
      <c r="C6" s="9">
        <f t="shared" si="3"/>
        <v>703746</v>
      </c>
      <c r="D6" s="9">
        <f t="shared" si="3"/>
        <v>818552</v>
      </c>
      <c r="E6" s="9">
        <f t="shared" si="3"/>
        <v>886301</v>
      </c>
      <c r="F6" s="9">
        <f t="shared" si="3"/>
        <v>789944</v>
      </c>
      <c r="G6" s="9">
        <f t="shared" si="3"/>
        <v>733083</v>
      </c>
      <c r="H6" s="9">
        <f t="shared" si="3"/>
        <v>900745</v>
      </c>
      <c r="I6" s="9">
        <f t="shared" si="3"/>
        <v>1206746</v>
      </c>
      <c r="J6" s="9">
        <f t="shared" si="3"/>
        <v>1459517</v>
      </c>
      <c r="K6" s="134">
        <f t="shared" si="3"/>
        <v>1765621.281</v>
      </c>
      <c r="L6" s="134">
        <f t="shared" si="3"/>
        <v>2059535.594</v>
      </c>
      <c r="M6" s="134">
        <f t="shared" si="3"/>
        <v>2403801.008</v>
      </c>
      <c r="N6" s="134">
        <f t="shared" si="3"/>
        <v>2807144.105</v>
      </c>
      <c r="O6" s="134">
        <f t="shared" si="3"/>
        <v>3279815.476</v>
      </c>
      <c r="P6" s="134">
        <f t="shared" si="3"/>
        <v>3833857.181</v>
      </c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  <c r="K9" s="25">
        <f t="shared" ref="K9:P9" si="4">K$3*K124</f>
        <v>1047372.768</v>
      </c>
      <c r="L9" s="25">
        <f t="shared" si="4"/>
        <v>1223721.356</v>
      </c>
      <c r="M9" s="25">
        <f t="shared" si="4"/>
        <v>1430280.605</v>
      </c>
      <c r="N9" s="25">
        <f t="shared" si="4"/>
        <v>1672286.463</v>
      </c>
      <c r="O9" s="25">
        <f t="shared" si="4"/>
        <v>1955889.286</v>
      </c>
      <c r="P9" s="25">
        <f t="shared" si="4"/>
        <v>2288314.309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  <c r="K10" s="25">
        <f t="shared" ref="K10:P10" si="5">K$3*K125</f>
        <v>139649.7024</v>
      </c>
      <c r="L10" s="25">
        <f t="shared" si="5"/>
        <v>163162.8475</v>
      </c>
      <c r="M10" s="25">
        <f t="shared" si="5"/>
        <v>190704.0806</v>
      </c>
      <c r="N10" s="25">
        <f t="shared" si="5"/>
        <v>222971.5284</v>
      </c>
      <c r="O10" s="25">
        <f t="shared" si="5"/>
        <v>260785.2381</v>
      </c>
      <c r="P10" s="25">
        <f t="shared" si="5"/>
        <v>305108.5745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  <c r="K11" s="25">
        <f t="shared" ref="K11:P11" si="6">K$3*K126</f>
        <v>-4658.822802</v>
      </c>
      <c r="L11" s="25">
        <f t="shared" si="6"/>
        <v>-5443.239628</v>
      </c>
      <c r="M11" s="25">
        <f t="shared" si="6"/>
        <v>-6362.036607</v>
      </c>
      <c r="N11" s="25">
        <f t="shared" si="6"/>
        <v>-7438.503788</v>
      </c>
      <c r="O11" s="25">
        <f t="shared" si="6"/>
        <v>-8699.998584</v>
      </c>
      <c r="P11" s="25">
        <f t="shared" si="6"/>
        <v>-10178.6596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  <c r="K12" s="25">
        <f t="shared" ref="K12:P12" si="7">K$3*K127</f>
        <v>69824.85122</v>
      </c>
      <c r="L12" s="25">
        <f t="shared" si="7"/>
        <v>81581.42375</v>
      </c>
      <c r="M12" s="25">
        <f t="shared" si="7"/>
        <v>95352.0403</v>
      </c>
      <c r="N12" s="25">
        <f t="shared" si="7"/>
        <v>111485.7642</v>
      </c>
      <c r="O12" s="25">
        <f t="shared" si="7"/>
        <v>130392.619</v>
      </c>
      <c r="P12" s="25">
        <f t="shared" si="7"/>
        <v>152554.2873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  <c r="K13" s="25">
        <f t="shared" ref="K13:P13" si="8">K$3*K128</f>
        <v>215960.9246</v>
      </c>
      <c r="L13" s="25">
        <f t="shared" si="8"/>
        <v>252322.7675</v>
      </c>
      <c r="M13" s="25">
        <f t="shared" si="8"/>
        <v>294913.8369</v>
      </c>
      <c r="N13" s="25">
        <f t="shared" si="8"/>
        <v>344813.7489</v>
      </c>
      <c r="O13" s="25">
        <f t="shared" si="8"/>
        <v>403290.6634</v>
      </c>
      <c r="P13" s="25">
        <f t="shared" si="8"/>
        <v>471834.3735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  <c r="K14" s="25">
        <f t="shared" ref="K14:P14" si="9">K$3*K129</f>
        <v>-3208.016652</v>
      </c>
      <c r="L14" s="25">
        <f t="shared" si="9"/>
        <v>-3748.157874</v>
      </c>
      <c r="M14" s="25">
        <f t="shared" si="9"/>
        <v>-4380.831864</v>
      </c>
      <c r="N14" s="25">
        <f t="shared" si="9"/>
        <v>-5122.075905</v>
      </c>
      <c r="O14" s="25">
        <f t="shared" si="9"/>
        <v>-5990.728027</v>
      </c>
      <c r="P14" s="25">
        <f t="shared" si="9"/>
        <v>-7008.918534</v>
      </c>
    </row>
    <row r="15" ht="15.75" customHeight="1">
      <c r="A15" s="7"/>
    </row>
    <row r="16" ht="15.75" customHeight="1">
      <c r="A16" s="8" t="s">
        <v>14</v>
      </c>
      <c r="B16" s="13">
        <f t="shared" ref="B16:J16" si="10">SUM(B9:B14)</f>
        <v>494932</v>
      </c>
      <c r="C16" s="13">
        <f t="shared" si="10"/>
        <v>577269</v>
      </c>
      <c r="D16" s="13">
        <f t="shared" si="10"/>
        <v>677460</v>
      </c>
      <c r="E16" s="13">
        <f t="shared" si="10"/>
        <v>750653</v>
      </c>
      <c r="F16" s="13">
        <f t="shared" si="10"/>
        <v>683474</v>
      </c>
      <c r="G16" s="13">
        <f t="shared" si="10"/>
        <v>650204</v>
      </c>
      <c r="H16" s="13">
        <f t="shared" si="10"/>
        <v>826236</v>
      </c>
      <c r="I16" s="13">
        <f t="shared" si="10"/>
        <v>1053155</v>
      </c>
      <c r="J16" s="13">
        <f t="shared" si="10"/>
        <v>1233319</v>
      </c>
      <c r="K16" s="135">
        <f t="shared" ref="K16:P16" si="11">sum(K9:K14)</f>
        <v>1464941.407</v>
      </c>
      <c r="L16" s="135">
        <f t="shared" si="11"/>
        <v>1711596.997</v>
      </c>
      <c r="M16" s="135">
        <f t="shared" si="11"/>
        <v>2000507.694</v>
      </c>
      <c r="N16" s="135">
        <f t="shared" si="11"/>
        <v>2338996.925</v>
      </c>
      <c r="O16" s="135">
        <f t="shared" si="11"/>
        <v>2735667.079</v>
      </c>
      <c r="P16" s="135">
        <f t="shared" si="11"/>
        <v>3200623.966</v>
      </c>
    </row>
    <row r="17" ht="15.75" customHeight="1">
      <c r="A17" s="7"/>
    </row>
    <row r="18" ht="15.75" customHeight="1">
      <c r="A18" s="4" t="s">
        <v>15</v>
      </c>
      <c r="B18" s="6">
        <f t="shared" ref="B18:P18" si="12">B6-B16</f>
        <v>91188</v>
      </c>
      <c r="C18" s="6">
        <f t="shared" si="12"/>
        <v>126477</v>
      </c>
      <c r="D18" s="6">
        <f t="shared" si="12"/>
        <v>141092</v>
      </c>
      <c r="E18" s="6">
        <f t="shared" si="12"/>
        <v>135648</v>
      </c>
      <c r="F18" s="6">
        <f t="shared" si="12"/>
        <v>106470</v>
      </c>
      <c r="G18" s="6">
        <f t="shared" si="12"/>
        <v>82879</v>
      </c>
      <c r="H18" s="6">
        <f t="shared" si="12"/>
        <v>74509</v>
      </c>
      <c r="I18" s="6">
        <f t="shared" si="12"/>
        <v>153591</v>
      </c>
      <c r="J18" s="6">
        <f t="shared" si="12"/>
        <v>226198</v>
      </c>
      <c r="K18" s="134">
        <f t="shared" si="12"/>
        <v>300679.8734</v>
      </c>
      <c r="L18" s="134">
        <f t="shared" si="12"/>
        <v>347938.5962</v>
      </c>
      <c r="M18" s="134">
        <f t="shared" si="12"/>
        <v>403293.3137</v>
      </c>
      <c r="N18" s="134">
        <f t="shared" si="12"/>
        <v>468147.1802</v>
      </c>
      <c r="O18" s="134">
        <f t="shared" si="12"/>
        <v>544148.3965</v>
      </c>
      <c r="P18" s="134">
        <f t="shared" si="12"/>
        <v>633233.2155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  <c r="K20" s="196"/>
      <c r="L20" s="196"/>
      <c r="M20" s="196"/>
      <c r="N20" s="196"/>
      <c r="O20" s="196"/>
      <c r="P20" s="196"/>
    </row>
    <row r="21" ht="15.75" customHeight="1">
      <c r="A21" s="7"/>
    </row>
    <row r="22" ht="15.75" customHeight="1">
      <c r="A22" s="7" t="s">
        <v>18</v>
      </c>
      <c r="B22" s="6">
        <f t="shared" ref="B22:P22" si="13">B18-B20</f>
        <v>62518</v>
      </c>
      <c r="C22" s="6">
        <f t="shared" si="13"/>
        <v>100438</v>
      </c>
      <c r="D22" s="6">
        <f t="shared" si="13"/>
        <v>113494</v>
      </c>
      <c r="E22" s="6">
        <f t="shared" si="13"/>
        <v>105440</v>
      </c>
      <c r="F22" s="6">
        <f t="shared" si="13"/>
        <v>71186</v>
      </c>
      <c r="G22" s="6">
        <f t="shared" si="13"/>
        <v>52538</v>
      </c>
      <c r="H22" s="6">
        <f t="shared" si="13"/>
        <v>46619</v>
      </c>
      <c r="I22" s="6">
        <f t="shared" si="13"/>
        <v>105131</v>
      </c>
      <c r="J22" s="6">
        <f t="shared" si="13"/>
        <v>173640</v>
      </c>
      <c r="K22" s="25">
        <f t="shared" si="13"/>
        <v>300679.8734</v>
      </c>
      <c r="L22" s="25">
        <f t="shared" si="13"/>
        <v>347938.5962</v>
      </c>
      <c r="M22" s="25">
        <f t="shared" si="13"/>
        <v>403293.3137</v>
      </c>
      <c r="N22" s="25">
        <f t="shared" si="13"/>
        <v>468147.1802</v>
      </c>
      <c r="O22" s="25">
        <f t="shared" si="13"/>
        <v>544148.3965</v>
      </c>
      <c r="P22" s="25">
        <f t="shared" si="13"/>
        <v>633233.2155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  <c r="K24" s="48">
        <f t="shared" ref="K24:P24" si="14">J24</f>
        <v>1936</v>
      </c>
      <c r="L24" s="48">
        <f t="shared" si="14"/>
        <v>1936</v>
      </c>
      <c r="M24" s="48">
        <f t="shared" si="14"/>
        <v>1936</v>
      </c>
      <c r="N24" s="48">
        <f t="shared" si="14"/>
        <v>1936</v>
      </c>
      <c r="O24" s="48">
        <f t="shared" si="14"/>
        <v>1936</v>
      </c>
      <c r="P24" s="48">
        <f t="shared" si="14"/>
        <v>1936</v>
      </c>
    </row>
    <row r="25" ht="15.75" customHeight="1">
      <c r="A25" s="7"/>
    </row>
    <row r="26" ht="15.75" customHeight="1">
      <c r="A26" s="7" t="s">
        <v>23</v>
      </c>
      <c r="B26" s="6">
        <f t="shared" ref="B26:P26" si="15">B22-B24</f>
        <v>61581</v>
      </c>
      <c r="C26" s="6">
        <f t="shared" si="15"/>
        <v>99544</v>
      </c>
      <c r="D26" s="6">
        <f t="shared" si="15"/>
        <v>110036</v>
      </c>
      <c r="E26" s="6">
        <f t="shared" si="15"/>
        <v>104681</v>
      </c>
      <c r="F26" s="6">
        <f t="shared" si="15"/>
        <v>69844</v>
      </c>
      <c r="G26" s="6">
        <f t="shared" si="15"/>
        <v>51520</v>
      </c>
      <c r="H26" s="6">
        <f t="shared" si="15"/>
        <v>45353</v>
      </c>
      <c r="I26" s="6">
        <f t="shared" si="15"/>
        <v>102608</v>
      </c>
      <c r="J26" s="6">
        <f t="shared" si="15"/>
        <v>171704</v>
      </c>
      <c r="K26" s="25">
        <f t="shared" si="15"/>
        <v>298743.8734</v>
      </c>
      <c r="L26" s="25">
        <f t="shared" si="15"/>
        <v>346002.5962</v>
      </c>
      <c r="M26" s="25">
        <f t="shared" si="15"/>
        <v>401357.3137</v>
      </c>
      <c r="N26" s="25">
        <f t="shared" si="15"/>
        <v>466211.1802</v>
      </c>
      <c r="O26" s="25">
        <f t="shared" si="15"/>
        <v>542212.3965</v>
      </c>
      <c r="P26" s="25">
        <f t="shared" si="15"/>
        <v>631297.2155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  <c r="K27" s="48">
        <f t="shared" ref="K27:P27" si="16">J27</f>
        <v>2669</v>
      </c>
      <c r="L27" s="48">
        <f t="shared" si="16"/>
        <v>2669</v>
      </c>
      <c r="M27" s="48">
        <f t="shared" si="16"/>
        <v>2669</v>
      </c>
      <c r="N27" s="48">
        <f t="shared" si="16"/>
        <v>2669</v>
      </c>
      <c r="O27" s="48">
        <f t="shared" si="16"/>
        <v>2669</v>
      </c>
      <c r="P27" s="48">
        <f t="shared" si="16"/>
        <v>2669</v>
      </c>
    </row>
    <row r="28" ht="15.75" customHeight="1">
      <c r="A28" s="7" t="s">
        <v>25</v>
      </c>
      <c r="B28" s="6">
        <f t="shared" ref="B28:P28" si="17">SUM(B26:B27)</f>
        <v>66296</v>
      </c>
      <c r="C28" s="6">
        <f t="shared" si="17"/>
        <v>101272</v>
      </c>
      <c r="D28" s="6">
        <f t="shared" si="17"/>
        <v>111669</v>
      </c>
      <c r="E28" s="6">
        <f t="shared" si="17"/>
        <v>102651</v>
      </c>
      <c r="F28" s="6">
        <f t="shared" si="17"/>
        <v>65427</v>
      </c>
      <c r="G28" s="6">
        <f t="shared" si="17"/>
        <v>56656</v>
      </c>
      <c r="H28" s="6">
        <f t="shared" si="17"/>
        <v>48482</v>
      </c>
      <c r="I28" s="6">
        <f t="shared" si="17"/>
        <v>103194</v>
      </c>
      <c r="J28" s="6">
        <f t="shared" si="17"/>
        <v>174373</v>
      </c>
      <c r="K28" s="25">
        <f t="shared" si="17"/>
        <v>301412.8734</v>
      </c>
      <c r="L28" s="25">
        <f t="shared" si="17"/>
        <v>348671.5962</v>
      </c>
      <c r="M28" s="25">
        <f t="shared" si="17"/>
        <v>404026.3137</v>
      </c>
      <c r="N28" s="25">
        <f t="shared" si="17"/>
        <v>468880.1802</v>
      </c>
      <c r="O28" s="25">
        <f t="shared" si="17"/>
        <v>544881.3965</v>
      </c>
      <c r="P28" s="25">
        <f t="shared" si="17"/>
        <v>633966.2155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  <c r="K30" s="25">
        <f t="shared" ref="K30:P30" si="18">K28*K31</f>
        <v>90423.86202</v>
      </c>
      <c r="L30" s="25">
        <f t="shared" si="18"/>
        <v>104601.4789</v>
      </c>
      <c r="M30" s="25">
        <f t="shared" si="18"/>
        <v>121207.8941</v>
      </c>
      <c r="N30" s="25">
        <f t="shared" si="18"/>
        <v>140664.054</v>
      </c>
      <c r="O30" s="25">
        <f t="shared" si="18"/>
        <v>163464.4189</v>
      </c>
      <c r="P30" s="25">
        <f t="shared" si="18"/>
        <v>190189.8646</v>
      </c>
      <c r="Q30" s="25"/>
    </row>
    <row r="31" ht="15.75" customHeight="1">
      <c r="A31" s="7"/>
      <c r="K31" s="221">
        <v>0.3</v>
      </c>
      <c r="L31" s="221">
        <v>0.3</v>
      </c>
      <c r="M31" s="221">
        <v>0.3</v>
      </c>
      <c r="N31" s="221">
        <v>0.3</v>
      </c>
      <c r="O31" s="221">
        <v>0.3</v>
      </c>
      <c r="P31" s="221">
        <v>0.3</v>
      </c>
    </row>
    <row r="32" ht="15.75" customHeight="1">
      <c r="A32" s="7" t="s">
        <v>27</v>
      </c>
      <c r="B32" s="6">
        <f t="shared" ref="B32:P32" si="19">B28-B30</f>
        <v>46309</v>
      </c>
      <c r="C32" s="6">
        <f t="shared" si="19"/>
        <v>75110</v>
      </c>
      <c r="D32" s="6">
        <f t="shared" si="19"/>
        <v>78807</v>
      </c>
      <c r="E32" s="6">
        <f t="shared" si="19"/>
        <v>72919</v>
      </c>
      <c r="F32" s="6">
        <f t="shared" si="19"/>
        <v>51175</v>
      </c>
      <c r="G32" s="6">
        <f t="shared" si="19"/>
        <v>47337</v>
      </c>
      <c r="H32" s="6">
        <f t="shared" si="19"/>
        <v>40305</v>
      </c>
      <c r="I32" s="6">
        <f t="shared" si="19"/>
        <v>81449</v>
      </c>
      <c r="J32" s="6">
        <f t="shared" si="19"/>
        <v>135010</v>
      </c>
      <c r="K32" s="25">
        <f t="shared" si="19"/>
        <v>210989.0114</v>
      </c>
      <c r="L32" s="25">
        <f t="shared" si="19"/>
        <v>244070.1173</v>
      </c>
      <c r="M32" s="25">
        <f t="shared" si="19"/>
        <v>282818.4196</v>
      </c>
      <c r="N32" s="25">
        <f t="shared" si="19"/>
        <v>328216.1261</v>
      </c>
      <c r="O32" s="25">
        <f t="shared" si="19"/>
        <v>381416.9775</v>
      </c>
      <c r="P32" s="25">
        <f t="shared" si="19"/>
        <v>443776.3508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  <c r="K33" s="48">
        <f t="shared" ref="K33:P33" si="20">J33</f>
        <v>2541</v>
      </c>
      <c r="L33" s="48">
        <f t="shared" si="20"/>
        <v>2541</v>
      </c>
      <c r="M33" s="48">
        <f t="shared" si="20"/>
        <v>2541</v>
      </c>
      <c r="N33" s="48">
        <f t="shared" si="20"/>
        <v>2541</v>
      </c>
      <c r="O33" s="48">
        <f t="shared" si="20"/>
        <v>2541</v>
      </c>
      <c r="P33" s="48">
        <f t="shared" si="20"/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21">B32+B33</f>
        <v>46988</v>
      </c>
      <c r="C36" s="9">
        <f t="shared" si="21"/>
        <v>77326</v>
      </c>
      <c r="D36" s="9">
        <f t="shared" si="21"/>
        <v>82118</v>
      </c>
      <c r="E36" s="9">
        <f>E32+F33</f>
        <v>74103</v>
      </c>
      <c r="F36" s="9">
        <f t="shared" ref="F36:P36" si="22">F32+F33</f>
        <v>52359</v>
      </c>
      <c r="G36" s="9">
        <f t="shared" si="22"/>
        <v>49027</v>
      </c>
      <c r="H36" s="9">
        <f t="shared" si="22"/>
        <v>41924</v>
      </c>
      <c r="I36" s="9">
        <f t="shared" si="22"/>
        <v>83223</v>
      </c>
      <c r="J36" s="9">
        <f t="shared" si="22"/>
        <v>137551</v>
      </c>
      <c r="K36" s="9">
        <f t="shared" si="22"/>
        <v>213530.0114</v>
      </c>
      <c r="L36" s="9">
        <f t="shared" si="22"/>
        <v>246611.1173</v>
      </c>
      <c r="M36" s="9">
        <f t="shared" si="22"/>
        <v>285359.4196</v>
      </c>
      <c r="N36" s="9">
        <f t="shared" si="22"/>
        <v>330757.1261</v>
      </c>
      <c r="O36" s="9">
        <f t="shared" si="22"/>
        <v>383957.9775</v>
      </c>
      <c r="P36" s="9">
        <f t="shared" si="22"/>
        <v>446317.3508</v>
      </c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</row>
    <row r="42" ht="15.75" customHeight="1">
      <c r="A42" s="1" t="s">
        <v>32</v>
      </c>
    </row>
    <row r="43" ht="15.75" customHeight="1">
      <c r="A43" s="1" t="s">
        <v>33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</row>
    <row r="47" ht="15.75" customHeight="1">
      <c r="A47" s="7" t="s">
        <v>36</v>
      </c>
    </row>
    <row r="48" ht="15.75" customHeight="1">
      <c r="A48" s="7"/>
    </row>
    <row r="49" ht="15.75" customHeight="1">
      <c r="A49" s="7" t="s">
        <v>37</v>
      </c>
    </row>
    <row r="50" ht="15.75" customHeight="1">
      <c r="A50" s="1" t="s">
        <v>38</v>
      </c>
    </row>
    <row r="51" ht="15.75" customHeight="1">
      <c r="A51" s="1" t="s">
        <v>39</v>
      </c>
    </row>
    <row r="52" ht="15.75" customHeight="1">
      <c r="A52" s="1" t="s">
        <v>40</v>
      </c>
    </row>
    <row r="53" ht="15.75" customHeight="1">
      <c r="A53" s="1" t="s">
        <v>41</v>
      </c>
    </row>
    <row r="54" ht="15.75" customHeight="1">
      <c r="A54" s="7"/>
    </row>
    <row r="55" ht="15.75" customHeight="1">
      <c r="A55" s="1" t="s">
        <v>42</v>
      </c>
    </row>
    <row r="56" ht="15.75" customHeight="1">
      <c r="A56" s="1" t="s">
        <v>43</v>
      </c>
    </row>
    <row r="57" ht="15.75" customHeight="1">
      <c r="A57" s="1" t="s">
        <v>44</v>
      </c>
    </row>
    <row r="58" ht="15.75" customHeight="1">
      <c r="A58" s="1" t="s">
        <v>45</v>
      </c>
    </row>
    <row r="59" ht="15.75" customHeight="1">
      <c r="A59" s="1" t="s">
        <v>46</v>
      </c>
    </row>
    <row r="60" ht="15.75" customHeight="1">
      <c r="A60" s="1" t="s">
        <v>47</v>
      </c>
    </row>
    <row r="61" ht="15.75" customHeight="1">
      <c r="A61" s="1" t="s">
        <v>48</v>
      </c>
    </row>
    <row r="62" ht="15.75" customHeight="1">
      <c r="A62" s="8" t="s">
        <v>49</v>
      </c>
    </row>
    <row r="63" ht="15.75" customHeight="1">
      <c r="A63" s="7"/>
    </row>
    <row r="64" ht="15.75" customHeight="1">
      <c r="A64" s="7"/>
    </row>
    <row r="65" ht="15.75" customHeight="1">
      <c r="A65" s="4" t="s">
        <v>50</v>
      </c>
    </row>
    <row r="66" ht="15.75" customHeight="1">
      <c r="A66" s="7"/>
    </row>
    <row r="67" ht="15.75" customHeight="1">
      <c r="A67" s="1" t="s">
        <v>51</v>
      </c>
      <c r="B67" s="19">
        <f t="shared" ref="B67:P67" si="23">SUM(B68:B79)</f>
        <v>347744</v>
      </c>
      <c r="C67" s="19">
        <f t="shared" si="23"/>
        <v>431625</v>
      </c>
      <c r="D67" s="19">
        <f t="shared" si="23"/>
        <v>152092</v>
      </c>
      <c r="E67" s="19">
        <f t="shared" si="23"/>
        <v>0</v>
      </c>
      <c r="F67" s="19">
        <f t="shared" si="23"/>
        <v>0</v>
      </c>
      <c r="G67" s="19">
        <f t="shared" si="23"/>
        <v>0</v>
      </c>
      <c r="H67" s="19">
        <f t="shared" si="23"/>
        <v>0</v>
      </c>
      <c r="I67" s="19">
        <f t="shared" si="23"/>
        <v>847162</v>
      </c>
      <c r="J67" s="19">
        <f t="shared" si="23"/>
        <v>927170</v>
      </c>
      <c r="K67" s="19">
        <f t="shared" si="23"/>
        <v>0</v>
      </c>
      <c r="L67" s="19">
        <f t="shared" si="23"/>
        <v>0</v>
      </c>
      <c r="M67" s="19">
        <f t="shared" si="23"/>
        <v>0</v>
      </c>
      <c r="N67" s="19">
        <f t="shared" si="23"/>
        <v>0</v>
      </c>
      <c r="O67" s="19">
        <f t="shared" si="23"/>
        <v>0</v>
      </c>
      <c r="P67" s="19">
        <f t="shared" si="23"/>
        <v>0</v>
      </c>
    </row>
    <row r="68" ht="15.75" customHeight="1">
      <c r="A68" s="28" t="s">
        <v>216</v>
      </c>
      <c r="B68" s="22">
        <v>121827.0</v>
      </c>
      <c r="C68" s="22">
        <v>129377.0</v>
      </c>
      <c r="D68" s="22">
        <v>130771.0</v>
      </c>
      <c r="E68" s="19"/>
      <c r="F68" s="19"/>
      <c r="G68" s="19"/>
      <c r="H68" s="19"/>
      <c r="I68" s="22">
        <v>268028.0</v>
      </c>
      <c r="J68" s="22">
        <v>267982.0</v>
      </c>
      <c r="K68" s="19"/>
      <c r="L68" s="19"/>
      <c r="M68" s="19"/>
      <c r="N68" s="19"/>
      <c r="O68" s="19"/>
      <c r="P68" s="19"/>
    </row>
    <row r="69" ht="15.75" customHeight="1">
      <c r="A69" s="16" t="s">
        <v>53</v>
      </c>
      <c r="B69" s="22">
        <v>3469.0</v>
      </c>
      <c r="C69" s="22">
        <v>3730.0</v>
      </c>
      <c r="D69" s="22">
        <v>21321.0</v>
      </c>
      <c r="E69" s="19"/>
      <c r="F69" s="19"/>
      <c r="G69" s="19"/>
      <c r="H69" s="19"/>
      <c r="I69" s="22">
        <v>5479.0</v>
      </c>
      <c r="J69" s="22">
        <v>4537.0</v>
      </c>
      <c r="K69" s="19"/>
      <c r="L69" s="19"/>
      <c r="M69" s="19"/>
      <c r="N69" s="19"/>
      <c r="O69" s="19"/>
      <c r="P69" s="19"/>
    </row>
    <row r="70" ht="15.75" customHeight="1">
      <c r="A70" s="16" t="s">
        <v>54</v>
      </c>
      <c r="B70" s="22">
        <v>10069.0</v>
      </c>
      <c r="C70" s="22">
        <v>12523.0</v>
      </c>
      <c r="D70" s="19"/>
      <c r="E70" s="19"/>
      <c r="F70" s="19"/>
      <c r="G70" s="19"/>
      <c r="H70" s="19"/>
      <c r="I70" s="22">
        <v>40541.0</v>
      </c>
      <c r="J70" s="22">
        <v>75043.0</v>
      </c>
      <c r="K70" s="19"/>
      <c r="L70" s="19"/>
      <c r="M70" s="19"/>
      <c r="N70" s="19"/>
      <c r="O70" s="19"/>
      <c r="P70" s="19"/>
    </row>
    <row r="71" ht="15.75" customHeight="1">
      <c r="A71" s="16" t="s">
        <v>55</v>
      </c>
      <c r="B71" s="22">
        <v>0.0</v>
      </c>
      <c r="C71" s="22">
        <v>0.0</v>
      </c>
      <c r="D71" s="19"/>
      <c r="E71" s="19"/>
      <c r="F71" s="19"/>
      <c r="G71" s="19"/>
      <c r="H71" s="19"/>
      <c r="I71" s="22">
        <v>889.0</v>
      </c>
      <c r="J71" s="22">
        <v>2305.0</v>
      </c>
      <c r="K71" s="19"/>
      <c r="L71" s="19"/>
      <c r="M71" s="19"/>
      <c r="N71" s="19"/>
      <c r="O71" s="19"/>
      <c r="P71" s="19"/>
    </row>
    <row r="72" ht="15.75" customHeight="1">
      <c r="A72" s="29" t="s">
        <v>102</v>
      </c>
      <c r="B72" s="22">
        <v>0.0</v>
      </c>
      <c r="C72" s="15">
        <v>0.0</v>
      </c>
      <c r="I72" s="22">
        <v>5907.0</v>
      </c>
      <c r="J72" s="22">
        <v>6129.0</v>
      </c>
    </row>
    <row r="73" ht="15.75" customHeight="1">
      <c r="A73" s="1" t="s">
        <v>56</v>
      </c>
      <c r="B73" s="22">
        <v>195345.0</v>
      </c>
      <c r="C73" s="22">
        <v>269718.0</v>
      </c>
      <c r="I73" s="22">
        <v>491843.0</v>
      </c>
      <c r="J73" s="22">
        <v>533838.0</v>
      </c>
    </row>
    <row r="74" ht="15.75" customHeight="1">
      <c r="A74" s="1" t="s">
        <v>57</v>
      </c>
      <c r="B74" s="22">
        <v>234.0</v>
      </c>
      <c r="C74" s="15">
        <v>241.0</v>
      </c>
      <c r="I74" s="22">
        <v>2398.0</v>
      </c>
      <c r="J74" s="22">
        <v>2981.0</v>
      </c>
    </row>
    <row r="75" ht="15.75" customHeight="1">
      <c r="A75" s="1" t="s">
        <v>58</v>
      </c>
      <c r="B75" s="22">
        <v>4.0</v>
      </c>
      <c r="C75" s="15">
        <v>3.0</v>
      </c>
      <c r="I75" s="22">
        <v>2.0</v>
      </c>
      <c r="J75" s="22">
        <v>1.0</v>
      </c>
    </row>
    <row r="76" ht="15.75" customHeight="1">
      <c r="A76" s="1" t="s">
        <v>59</v>
      </c>
      <c r="B76" s="22">
        <v>16796.0</v>
      </c>
      <c r="C76" s="22">
        <v>16033.0</v>
      </c>
      <c r="I76" s="22">
        <v>23226.0</v>
      </c>
      <c r="J76" s="22">
        <v>28049.0</v>
      </c>
    </row>
    <row r="77" ht="15.75" customHeight="1">
      <c r="A77" s="29" t="s">
        <v>217</v>
      </c>
      <c r="B77" s="22">
        <v>0.0</v>
      </c>
      <c r="C77" s="15">
        <v>0.0</v>
      </c>
      <c r="I77" s="22">
        <v>6055.0</v>
      </c>
      <c r="J77" s="22">
        <v>5838.0</v>
      </c>
    </row>
    <row r="78" ht="15.75" customHeight="1">
      <c r="A78" s="29" t="s">
        <v>104</v>
      </c>
      <c r="B78" s="22">
        <v>0.0</v>
      </c>
      <c r="C78" s="15">
        <v>0.0</v>
      </c>
      <c r="I78" s="22">
        <v>2794.0</v>
      </c>
      <c r="J78" s="22">
        <v>467.0</v>
      </c>
    </row>
    <row r="79" ht="15.75" customHeight="1">
      <c r="B79" s="19"/>
    </row>
    <row r="80" ht="15.75" customHeight="1">
      <c r="A80" s="1" t="s">
        <v>60</v>
      </c>
      <c r="B80" s="19">
        <f t="shared" ref="B80:P80" si="24">SUM(B81:B90)</f>
        <v>79511</v>
      </c>
      <c r="C80" s="44">
        <f t="shared" si="24"/>
        <v>87980</v>
      </c>
      <c r="D80" s="44">
        <f t="shared" si="24"/>
        <v>0</v>
      </c>
      <c r="E80" s="44">
        <f t="shared" si="24"/>
        <v>0</v>
      </c>
      <c r="F80" s="44">
        <f t="shared" si="24"/>
        <v>0</v>
      </c>
      <c r="G80" s="44">
        <f t="shared" si="24"/>
        <v>0</v>
      </c>
      <c r="H80" s="44">
        <f t="shared" si="24"/>
        <v>0</v>
      </c>
      <c r="I80" s="44">
        <f t="shared" si="24"/>
        <v>156692</v>
      </c>
      <c r="J80" s="44">
        <f t="shared" si="24"/>
        <v>226338</v>
      </c>
      <c r="K80" s="44">
        <f t="shared" si="24"/>
        <v>0</v>
      </c>
      <c r="L80" s="44">
        <f t="shared" si="24"/>
        <v>0</v>
      </c>
      <c r="M80" s="44">
        <f t="shared" si="24"/>
        <v>0</v>
      </c>
      <c r="N80" s="44">
        <f t="shared" si="24"/>
        <v>0</v>
      </c>
      <c r="O80" s="44">
        <f t="shared" si="24"/>
        <v>0</v>
      </c>
      <c r="P80" s="44">
        <f t="shared" si="24"/>
        <v>0</v>
      </c>
    </row>
    <row r="81" ht="15.75" customHeight="1">
      <c r="A81" s="1"/>
    </row>
    <row r="82" ht="15.75" customHeight="1">
      <c r="A82" s="16" t="s">
        <v>61</v>
      </c>
      <c r="B82" s="22">
        <v>31326.0</v>
      </c>
      <c r="C82" s="22">
        <v>32637.0</v>
      </c>
      <c r="H82" s="22"/>
      <c r="I82" s="22">
        <v>54435.0</v>
      </c>
      <c r="J82" s="22">
        <v>53181.0</v>
      </c>
    </row>
    <row r="83" ht="15.75" customHeight="1">
      <c r="A83" s="16" t="s">
        <v>62</v>
      </c>
      <c r="B83" s="222">
        <v>13234.0</v>
      </c>
      <c r="C83" s="22">
        <v>12026.0</v>
      </c>
      <c r="H83" s="22"/>
      <c r="I83" s="22">
        <v>32848.0</v>
      </c>
      <c r="J83" s="22">
        <v>45968.0</v>
      </c>
    </row>
    <row r="84" ht="15.75" customHeight="1">
      <c r="A84" s="16" t="s">
        <v>63</v>
      </c>
      <c r="B84" s="15">
        <v>507.0</v>
      </c>
      <c r="C84" s="15">
        <v>235.0</v>
      </c>
      <c r="H84" s="22"/>
      <c r="I84" s="22">
        <f>17852+9633</f>
        <v>27485</v>
      </c>
      <c r="J84" s="22">
        <f>26595+1679</f>
        <v>28274</v>
      </c>
    </row>
    <row r="85" ht="15.75" customHeight="1">
      <c r="A85" s="16" t="s">
        <v>64</v>
      </c>
      <c r="B85" s="15">
        <v>31.0</v>
      </c>
      <c r="C85" s="15">
        <v>25.0</v>
      </c>
      <c r="H85" s="22"/>
      <c r="I85" s="22">
        <v>297.0</v>
      </c>
      <c r="J85" s="15">
        <v>327.0</v>
      </c>
    </row>
    <row r="86" ht="15.75" customHeight="1">
      <c r="A86" s="16" t="s">
        <v>65</v>
      </c>
      <c r="B86" s="22">
        <v>16611.0</v>
      </c>
      <c r="C86" s="15">
        <v>15408.0</v>
      </c>
      <c r="H86" s="22"/>
      <c r="I86" s="22">
        <v>15602.0</v>
      </c>
      <c r="J86" s="22">
        <v>25077.0</v>
      </c>
    </row>
    <row r="87" ht="15.75" customHeight="1">
      <c r="A87" s="16" t="s">
        <v>66</v>
      </c>
      <c r="B87" s="22">
        <v>4906.0</v>
      </c>
      <c r="C87" s="22">
        <v>4910.0</v>
      </c>
      <c r="I87" s="15">
        <v>0.0</v>
      </c>
      <c r="J87" s="15">
        <v>0.0</v>
      </c>
    </row>
    <row r="88" ht="15.75" customHeight="1">
      <c r="A88" s="16" t="s">
        <v>67</v>
      </c>
      <c r="B88" s="22">
        <v>11413.0</v>
      </c>
      <c r="C88" s="22">
        <v>21788.0</v>
      </c>
      <c r="H88" s="15" t="s">
        <v>218</v>
      </c>
      <c r="I88" s="223" t="s">
        <v>218</v>
      </c>
      <c r="J88" s="22">
        <v>39122.0</v>
      </c>
    </row>
    <row r="89" ht="15.75" customHeight="1">
      <c r="A89" s="1" t="s">
        <v>57</v>
      </c>
      <c r="B89" s="22">
        <v>1483.0</v>
      </c>
      <c r="C89" s="15">
        <v>951.0</v>
      </c>
      <c r="H89" s="22"/>
      <c r="I89" s="22">
        <v>26025.0</v>
      </c>
      <c r="J89" s="22">
        <v>34186.0</v>
      </c>
    </row>
    <row r="90" ht="15.75" customHeight="1">
      <c r="A90" s="121" t="s">
        <v>219</v>
      </c>
      <c r="B90" s="15">
        <v>0.0</v>
      </c>
      <c r="I90" s="125" t="s">
        <v>218</v>
      </c>
      <c r="J90" s="15">
        <v>203.0</v>
      </c>
    </row>
    <row r="91" ht="15.75" customHeight="1">
      <c r="A91" s="8" t="s">
        <v>49</v>
      </c>
      <c r="B91" s="19">
        <f t="shared" ref="B91:P91" si="25">SUM(B67,B80)</f>
        <v>427255</v>
      </c>
      <c r="C91" s="19">
        <f t="shared" si="25"/>
        <v>519605</v>
      </c>
      <c r="D91" s="19">
        <f t="shared" si="25"/>
        <v>152092</v>
      </c>
      <c r="E91" s="19">
        <f t="shared" si="25"/>
        <v>0</v>
      </c>
      <c r="F91" s="19">
        <f t="shared" si="25"/>
        <v>0</v>
      </c>
      <c r="G91" s="19">
        <f t="shared" si="25"/>
        <v>0</v>
      </c>
      <c r="H91" s="19">
        <f t="shared" si="25"/>
        <v>0</v>
      </c>
      <c r="I91" s="19">
        <f t="shared" si="25"/>
        <v>1003854</v>
      </c>
      <c r="J91" s="19">
        <f t="shared" si="25"/>
        <v>1153508</v>
      </c>
      <c r="K91" s="19">
        <f t="shared" si="25"/>
        <v>0</v>
      </c>
      <c r="L91" s="19">
        <f t="shared" si="25"/>
        <v>0</v>
      </c>
      <c r="M91" s="19">
        <f t="shared" si="25"/>
        <v>0</v>
      </c>
      <c r="N91" s="19">
        <f t="shared" si="25"/>
        <v>0</v>
      </c>
      <c r="O91" s="19">
        <f t="shared" si="25"/>
        <v>0</v>
      </c>
      <c r="P91" s="19">
        <f t="shared" si="25"/>
        <v>0</v>
      </c>
    </row>
    <row r="92" ht="15.75" customHeight="1">
      <c r="A92" s="1"/>
      <c r="K92" s="44">
        <f>4000000-J93</f>
        <v>1750000</v>
      </c>
      <c r="L92" s="25">
        <f>K92/6</f>
        <v>291666.6667</v>
      </c>
    </row>
    <row r="93" ht="15.75" customHeight="1">
      <c r="A93" s="5" t="s">
        <v>68</v>
      </c>
      <c r="B93" s="22">
        <v>1500000.0</v>
      </c>
      <c r="C93" s="15">
        <v>1550000.0</v>
      </c>
      <c r="D93" s="15">
        <v>1560000.0</v>
      </c>
      <c r="E93" s="15">
        <v>1580000.0</v>
      </c>
      <c r="F93" s="15">
        <v>2000000.0</v>
      </c>
      <c r="G93" s="15">
        <v>2250000.0</v>
      </c>
      <c r="H93" s="15">
        <v>2250000.0</v>
      </c>
      <c r="I93" s="15">
        <v>2250000.0</v>
      </c>
      <c r="J93" s="15">
        <v>2250000.0</v>
      </c>
      <c r="K93" s="44">
        <f t="shared" ref="K93:P93" si="26">J93+K94</f>
        <v>2550000</v>
      </c>
      <c r="L93" s="44">
        <f t="shared" si="26"/>
        <v>2850000</v>
      </c>
      <c r="M93" s="44">
        <f t="shared" si="26"/>
        <v>3150000</v>
      </c>
      <c r="N93" s="44">
        <f t="shared" si="26"/>
        <v>3450000</v>
      </c>
      <c r="O93" s="44">
        <f t="shared" si="26"/>
        <v>3750000</v>
      </c>
      <c r="P93" s="44">
        <f t="shared" si="26"/>
        <v>4050000</v>
      </c>
    </row>
    <row r="94" ht="15.75" customHeight="1">
      <c r="A94" s="5" t="s">
        <v>69</v>
      </c>
      <c r="B94" s="224"/>
      <c r="C94" s="19">
        <f t="shared" ref="C94:J94" si="27">B93-C93</f>
        <v>-50000</v>
      </c>
      <c r="D94" s="44">
        <f t="shared" si="27"/>
        <v>-10000</v>
      </c>
      <c r="E94" s="44">
        <f t="shared" si="27"/>
        <v>-20000</v>
      </c>
      <c r="F94" s="44">
        <f t="shared" si="27"/>
        <v>-420000</v>
      </c>
      <c r="G94" s="44">
        <f t="shared" si="27"/>
        <v>-250000</v>
      </c>
      <c r="H94" s="44">
        <f t="shared" si="27"/>
        <v>0</v>
      </c>
      <c r="I94" s="44">
        <f t="shared" si="27"/>
        <v>0</v>
      </c>
      <c r="J94" s="44">
        <f t="shared" si="27"/>
        <v>0</v>
      </c>
      <c r="K94" s="225">
        <v>300000.0</v>
      </c>
      <c r="L94" s="226">
        <v>300000.0</v>
      </c>
      <c r="M94" s="226">
        <v>300000.0</v>
      </c>
      <c r="N94" s="226">
        <v>300000.0</v>
      </c>
      <c r="O94" s="226">
        <v>300000.0</v>
      </c>
      <c r="P94" s="226">
        <v>300000.0</v>
      </c>
    </row>
    <row r="95" ht="15.75" customHeight="1">
      <c r="A95" s="5"/>
    </row>
    <row r="96" ht="15.75" customHeight="1">
      <c r="A96" s="5" t="s">
        <v>70</v>
      </c>
      <c r="B96" s="15">
        <v>1305351.0</v>
      </c>
      <c r="C96" s="15">
        <v>1444541.0</v>
      </c>
      <c r="D96" s="22">
        <v>1653500.0</v>
      </c>
      <c r="E96" s="22">
        <v>1753700.0</v>
      </c>
      <c r="F96" s="22">
        <v>1461126.0</v>
      </c>
      <c r="G96" s="22">
        <v>1361722.0</v>
      </c>
      <c r="H96" s="22">
        <v>1414277.0</v>
      </c>
      <c r="I96" s="22">
        <v>1706831.0</v>
      </c>
      <c r="J96" s="22">
        <v>1852256.0</v>
      </c>
      <c r="K96" s="114"/>
      <c r="L96" s="114"/>
      <c r="M96" s="114"/>
      <c r="N96" s="114"/>
      <c r="O96" s="114"/>
      <c r="P96" s="114"/>
    </row>
    <row r="97" ht="15.75" customHeight="1">
      <c r="A97" s="5" t="s">
        <v>71</v>
      </c>
      <c r="B97" s="15">
        <v>123897.0</v>
      </c>
      <c r="C97" s="15">
        <v>124062.0</v>
      </c>
      <c r="D97" s="15">
        <v>126074.0</v>
      </c>
      <c r="E97" s="22">
        <v>108749.0</v>
      </c>
      <c r="F97" s="22">
        <v>102171.0</v>
      </c>
      <c r="G97" s="22">
        <v>96139.0</v>
      </c>
      <c r="H97" s="22">
        <v>238376.0</v>
      </c>
      <c r="I97" s="22">
        <v>259333.0</v>
      </c>
      <c r="J97" s="22">
        <v>283067.0</v>
      </c>
      <c r="K97" s="114"/>
      <c r="L97" s="114"/>
      <c r="M97" s="114"/>
      <c r="N97" s="114"/>
      <c r="O97" s="114"/>
      <c r="P97" s="114"/>
    </row>
    <row r="98" ht="15.75" customHeight="1">
      <c r="A98" s="5" t="s">
        <v>49</v>
      </c>
      <c r="B98" s="44">
        <f t="shared" ref="B98:C98" si="28">Sum(B96:B97)</f>
        <v>1429248</v>
      </c>
      <c r="C98" s="44">
        <f t="shared" si="28"/>
        <v>1568603</v>
      </c>
      <c r="D98" s="19">
        <f>SUM(D96:D97)</f>
        <v>1779574</v>
      </c>
      <c r="E98" s="19">
        <f t="shared" ref="E98:J98" si="29">Sum(E96:E97)</f>
        <v>1862449</v>
      </c>
      <c r="F98" s="19">
        <f t="shared" si="29"/>
        <v>1563297</v>
      </c>
      <c r="G98" s="19">
        <f t="shared" si="29"/>
        <v>1457861</v>
      </c>
      <c r="H98" s="19">
        <f t="shared" si="29"/>
        <v>1652653</v>
      </c>
      <c r="I98" s="19">
        <f t="shared" si="29"/>
        <v>1966164</v>
      </c>
      <c r="J98" s="19">
        <f t="shared" si="29"/>
        <v>2135323</v>
      </c>
      <c r="K98" s="25">
        <f t="shared" ref="K98:P98" si="30">K109*K116</f>
        <v>2388726.764</v>
      </c>
      <c r="L98" s="25">
        <f t="shared" si="30"/>
        <v>2537202.039</v>
      </c>
      <c r="M98" s="25">
        <f t="shared" si="30"/>
        <v>2695883.226</v>
      </c>
      <c r="N98" s="25">
        <f t="shared" si="30"/>
        <v>2865482.868</v>
      </c>
      <c r="O98" s="25">
        <f t="shared" si="30"/>
        <v>3046763.362</v>
      </c>
      <c r="P98" s="25">
        <f t="shared" si="30"/>
        <v>3240540.458</v>
      </c>
    </row>
    <row r="99" ht="15.75" customHeight="1">
      <c r="A99" s="5"/>
    </row>
    <row r="100" ht="15.75" customHeight="1">
      <c r="A100" s="5" t="s">
        <v>72</v>
      </c>
      <c r="B100" s="39">
        <f t="shared" ref="B100:P100" si="31">B98/B93</f>
        <v>0.952832</v>
      </c>
      <c r="C100" s="39">
        <f t="shared" si="31"/>
        <v>1.012001935</v>
      </c>
      <c r="D100" s="39">
        <f t="shared" si="31"/>
        <v>1.140752564</v>
      </c>
      <c r="E100" s="39">
        <f t="shared" si="31"/>
        <v>1.17876519</v>
      </c>
      <c r="F100" s="39">
        <f t="shared" si="31"/>
        <v>0.7816485</v>
      </c>
      <c r="G100" s="39">
        <f t="shared" si="31"/>
        <v>0.6479382222</v>
      </c>
      <c r="H100" s="39">
        <f t="shared" si="31"/>
        <v>0.7345124444</v>
      </c>
      <c r="I100" s="39">
        <f t="shared" si="31"/>
        <v>0.8738506667</v>
      </c>
      <c r="J100" s="39">
        <f t="shared" si="31"/>
        <v>0.9490324444</v>
      </c>
      <c r="K100" s="39">
        <f t="shared" si="31"/>
        <v>0.9367555938</v>
      </c>
      <c r="L100" s="39">
        <f t="shared" si="31"/>
        <v>0.8902463294</v>
      </c>
      <c r="M100" s="39">
        <f t="shared" si="31"/>
        <v>0.8558359449</v>
      </c>
      <c r="N100" s="39">
        <f t="shared" si="31"/>
        <v>0.8305747443</v>
      </c>
      <c r="O100" s="39">
        <f t="shared" si="31"/>
        <v>0.8124702299</v>
      </c>
      <c r="P100" s="39">
        <f t="shared" si="31"/>
        <v>0.8001334464</v>
      </c>
    </row>
    <row r="101" ht="15.75" customHeight="1">
      <c r="A101" s="5"/>
    </row>
    <row r="102" ht="15.75" customHeight="1">
      <c r="A102" s="17" t="s">
        <v>73</v>
      </c>
      <c r="C102" s="35">
        <f t="shared" ref="C102:J102" si="32">C96/B96-1</f>
        <v>0.106630324</v>
      </c>
      <c r="D102" s="35">
        <f t="shared" si="32"/>
        <v>0.1446542535</v>
      </c>
      <c r="E102" s="35">
        <f t="shared" si="32"/>
        <v>0.06059872997</v>
      </c>
      <c r="F102" s="35">
        <f t="shared" si="32"/>
        <v>-0.1668324115</v>
      </c>
      <c r="G102" s="35">
        <f t="shared" si="32"/>
        <v>-0.06803246263</v>
      </c>
      <c r="H102" s="35">
        <f t="shared" si="32"/>
        <v>0.03859451489</v>
      </c>
      <c r="I102" s="35">
        <f t="shared" si="32"/>
        <v>0.2068576382</v>
      </c>
      <c r="J102" s="35">
        <f t="shared" si="32"/>
        <v>0.08520175694</v>
      </c>
    </row>
    <row r="103" ht="15.75" customHeight="1">
      <c r="A103" s="5" t="s">
        <v>74</v>
      </c>
      <c r="C103" s="35">
        <f t="shared" ref="C103:J103" si="33">C97/B97-1</f>
        <v>0.001331751374</v>
      </c>
      <c r="D103" s="35">
        <f t="shared" si="33"/>
        <v>0.0162176976</v>
      </c>
      <c r="E103" s="35">
        <f t="shared" si="33"/>
        <v>-0.1374192934</v>
      </c>
      <c r="F103" s="35">
        <f t="shared" si="33"/>
        <v>-0.06048791253</v>
      </c>
      <c r="G103" s="35">
        <f t="shared" si="33"/>
        <v>-0.05903827896</v>
      </c>
      <c r="H103" s="35">
        <f t="shared" si="33"/>
        <v>1.479493234</v>
      </c>
      <c r="I103" s="35">
        <f t="shared" si="33"/>
        <v>0.08791572977</v>
      </c>
      <c r="J103" s="35">
        <f t="shared" si="33"/>
        <v>0.09151939784</v>
      </c>
    </row>
    <row r="104" ht="15.75" customHeight="1">
      <c r="A104" s="5" t="s">
        <v>75</v>
      </c>
      <c r="C104" s="35">
        <f t="shared" ref="C104:J104" si="34">C98/B98-1</f>
        <v>0.0975023229</v>
      </c>
      <c r="D104" s="35">
        <f t="shared" si="34"/>
        <v>0.134496109</v>
      </c>
      <c r="E104" s="35">
        <f t="shared" si="34"/>
        <v>0.0465701342</v>
      </c>
      <c r="F104" s="35">
        <f t="shared" si="34"/>
        <v>-0.1606229218</v>
      </c>
      <c r="G104" s="35">
        <f t="shared" si="34"/>
        <v>-0.06744463784</v>
      </c>
      <c r="H104" s="35">
        <f t="shared" si="34"/>
        <v>0.1336149331</v>
      </c>
      <c r="I104" s="35">
        <f t="shared" si="34"/>
        <v>0.1897016494</v>
      </c>
      <c r="J104" s="35">
        <f t="shared" si="34"/>
        <v>0.08603504082</v>
      </c>
    </row>
    <row r="105" ht="15.75" customHeight="1">
      <c r="A105" s="5"/>
    </row>
    <row r="106" ht="15.75" customHeight="1">
      <c r="A106" s="17" t="s">
        <v>76</v>
      </c>
    </row>
    <row r="107" ht="15.75" customHeight="1">
      <c r="A107" s="5" t="s">
        <v>77</v>
      </c>
      <c r="B107" s="22">
        <v>2789208.0</v>
      </c>
      <c r="C107" s="22">
        <v>3047582.0</v>
      </c>
      <c r="D107" s="22">
        <v>3288581.0</v>
      </c>
      <c r="E107" s="22">
        <v>3377389.0</v>
      </c>
      <c r="F107" s="22">
        <v>2773519.0</v>
      </c>
      <c r="G107" s="22">
        <v>2711457.0</v>
      </c>
      <c r="H107" s="22">
        <v>3069523.0</v>
      </c>
      <c r="I107" s="22">
        <v>3890114.0</v>
      </c>
      <c r="J107" s="22">
        <v>4218746.0</v>
      </c>
      <c r="K107" s="25">
        <f t="shared" ref="K107:P107" si="35">J107*(1+K110)</f>
        <v>4514058.22</v>
      </c>
      <c r="L107" s="25">
        <f t="shared" si="35"/>
        <v>4830042.295</v>
      </c>
      <c r="M107" s="25">
        <f t="shared" si="35"/>
        <v>5168145.256</v>
      </c>
      <c r="N107" s="25">
        <f t="shared" si="35"/>
        <v>5529915.424</v>
      </c>
      <c r="O107" s="25">
        <f t="shared" si="35"/>
        <v>5917009.504</v>
      </c>
      <c r="P107" s="25">
        <f t="shared" si="35"/>
        <v>6331200.169</v>
      </c>
    </row>
    <row r="108" ht="15.75" customHeight="1">
      <c r="A108" s="5" t="s">
        <v>71</v>
      </c>
      <c r="B108" s="22">
        <v>653053.0</v>
      </c>
      <c r="C108" s="22">
        <v>758727.0</v>
      </c>
      <c r="D108" s="22">
        <v>748366.0</v>
      </c>
      <c r="E108" s="22">
        <v>676192.0</v>
      </c>
      <c r="F108" s="22">
        <v>662118.0</v>
      </c>
      <c r="G108" s="22">
        <v>404397.0</v>
      </c>
      <c r="H108" s="22">
        <v>577875.0</v>
      </c>
      <c r="I108" s="22">
        <v>662891.0</v>
      </c>
      <c r="J108" s="22">
        <v>672105.0</v>
      </c>
      <c r="K108" s="25">
        <f t="shared" ref="K108:P108" si="36">J108*(1+K111)</f>
        <v>678826.05</v>
      </c>
      <c r="L108" s="25">
        <f t="shared" si="36"/>
        <v>685614.3105</v>
      </c>
      <c r="M108" s="25">
        <f t="shared" si="36"/>
        <v>692470.4536</v>
      </c>
      <c r="N108" s="25">
        <f t="shared" si="36"/>
        <v>699395.1581</v>
      </c>
      <c r="O108" s="25">
        <f t="shared" si="36"/>
        <v>706389.1097</v>
      </c>
      <c r="P108" s="25">
        <f t="shared" si="36"/>
        <v>713453.0008</v>
      </c>
    </row>
    <row r="109" ht="15.75" customHeight="1">
      <c r="A109" s="5" t="s">
        <v>49</v>
      </c>
      <c r="B109" s="19">
        <f t="shared" ref="B109:P109" si="37">SUM(B107:B108)</f>
        <v>3442261</v>
      </c>
      <c r="C109" s="19">
        <f t="shared" si="37"/>
        <v>3806309</v>
      </c>
      <c r="D109" s="19">
        <f t="shared" si="37"/>
        <v>4036947</v>
      </c>
      <c r="E109" s="19">
        <f t="shared" si="37"/>
        <v>4053581</v>
      </c>
      <c r="F109" s="19">
        <f t="shared" si="37"/>
        <v>3435637</v>
      </c>
      <c r="G109" s="19">
        <f t="shared" si="37"/>
        <v>3115854</v>
      </c>
      <c r="H109" s="19">
        <f t="shared" si="37"/>
        <v>3647398</v>
      </c>
      <c r="I109" s="19">
        <f t="shared" si="37"/>
        <v>4553005</v>
      </c>
      <c r="J109" s="19">
        <f t="shared" si="37"/>
        <v>4890851</v>
      </c>
      <c r="K109" s="25">
        <f t="shared" si="37"/>
        <v>5192884.27</v>
      </c>
      <c r="L109" s="25">
        <f t="shared" si="37"/>
        <v>5515656.606</v>
      </c>
      <c r="M109" s="25">
        <f t="shared" si="37"/>
        <v>5860615.71</v>
      </c>
      <c r="N109" s="25">
        <f t="shared" si="37"/>
        <v>6229310.582</v>
      </c>
      <c r="O109" s="25">
        <f t="shared" si="37"/>
        <v>6623398.613</v>
      </c>
      <c r="P109" s="25">
        <f t="shared" si="37"/>
        <v>7044653.17</v>
      </c>
    </row>
    <row r="110" ht="15.75" customHeight="1">
      <c r="A110" s="5" t="s">
        <v>78</v>
      </c>
      <c r="C110" s="35">
        <f t="shared" ref="C110:J110" si="38">C107/B107-1</f>
        <v>0.09263346441</v>
      </c>
      <c r="D110" s="35">
        <f t="shared" si="38"/>
        <v>0.07907875818</v>
      </c>
      <c r="E110" s="35">
        <f t="shared" si="38"/>
        <v>0.0270049605</v>
      </c>
      <c r="F110" s="35">
        <f t="shared" si="38"/>
        <v>-0.178797882</v>
      </c>
      <c r="G110" s="35">
        <f t="shared" si="38"/>
        <v>-0.02237662695</v>
      </c>
      <c r="H110" s="35">
        <f t="shared" si="38"/>
        <v>0.1320566765</v>
      </c>
      <c r="I110" s="35">
        <f t="shared" si="38"/>
        <v>0.2673350224</v>
      </c>
      <c r="J110" s="35">
        <f t="shared" si="38"/>
        <v>0.08447875821</v>
      </c>
      <c r="K110" s="227">
        <v>0.07</v>
      </c>
      <c r="L110" s="227">
        <v>0.07</v>
      </c>
      <c r="M110" s="227">
        <v>0.07</v>
      </c>
      <c r="N110" s="227">
        <v>0.07</v>
      </c>
      <c r="O110" s="227">
        <v>0.07</v>
      </c>
      <c r="P110" s="227">
        <v>0.07</v>
      </c>
    </row>
    <row r="111" ht="15.75" customHeight="1">
      <c r="A111" s="5" t="s">
        <v>79</v>
      </c>
      <c r="C111" s="35">
        <f t="shared" ref="C111:J111" si="39">C108/B108-1</f>
        <v>0.1618153504</v>
      </c>
      <c r="D111" s="35">
        <f t="shared" si="39"/>
        <v>-0.01365576815</v>
      </c>
      <c r="E111" s="35">
        <f t="shared" si="39"/>
        <v>-0.09644211522</v>
      </c>
      <c r="F111" s="35">
        <f t="shared" si="39"/>
        <v>-0.02081361507</v>
      </c>
      <c r="G111" s="35">
        <f t="shared" si="39"/>
        <v>-0.3892372659</v>
      </c>
      <c r="H111" s="35">
        <f t="shared" si="39"/>
        <v>0.4289794435</v>
      </c>
      <c r="I111" s="35">
        <f t="shared" si="39"/>
        <v>0.1471183214</v>
      </c>
      <c r="J111" s="35">
        <f t="shared" si="39"/>
        <v>0.01389972107</v>
      </c>
      <c r="K111" s="227">
        <v>0.01</v>
      </c>
      <c r="L111" s="227">
        <v>0.01</v>
      </c>
      <c r="M111" s="227">
        <v>0.01</v>
      </c>
      <c r="N111" s="227">
        <v>0.01</v>
      </c>
      <c r="O111" s="227">
        <v>0.01</v>
      </c>
      <c r="P111" s="227">
        <v>0.01</v>
      </c>
    </row>
    <row r="112" ht="15.75" customHeight="1">
      <c r="A112" s="5"/>
    </row>
    <row r="113" ht="15.75" customHeight="1">
      <c r="A113" s="17" t="s">
        <v>80</v>
      </c>
    </row>
    <row r="114" ht="15.75" customHeight="1">
      <c r="A114" s="5" t="s">
        <v>70</v>
      </c>
      <c r="B114" s="39">
        <f t="shared" ref="B114:J114" si="40">B96/B107</f>
        <v>0.4680005937</v>
      </c>
      <c r="C114" s="39">
        <f t="shared" si="40"/>
        <v>0.4739957776</v>
      </c>
      <c r="D114" s="39">
        <f t="shared" si="40"/>
        <v>0.502800448</v>
      </c>
      <c r="E114" s="39">
        <f t="shared" si="40"/>
        <v>0.5192472647</v>
      </c>
      <c r="F114" s="39">
        <f t="shared" si="40"/>
        <v>0.5268130487</v>
      </c>
      <c r="G114" s="39">
        <f t="shared" si="40"/>
        <v>0.5022104352</v>
      </c>
      <c r="H114" s="39">
        <f t="shared" si="40"/>
        <v>0.4607481358</v>
      </c>
      <c r="I114" s="39">
        <f t="shared" si="40"/>
        <v>0.4387611777</v>
      </c>
      <c r="J114" s="39">
        <f t="shared" si="40"/>
        <v>0.4390536904</v>
      </c>
    </row>
    <row r="115" ht="15.75" customHeight="1">
      <c r="A115" s="5" t="s">
        <v>71</v>
      </c>
      <c r="B115" s="35">
        <f t="shared" ref="B115:J115" si="41">B97/B108</f>
        <v>0.1897196705</v>
      </c>
      <c r="C115" s="35">
        <f t="shared" si="41"/>
        <v>0.1635133586</v>
      </c>
      <c r="D115" s="35">
        <f t="shared" si="41"/>
        <v>0.1684656973</v>
      </c>
      <c r="E115" s="35">
        <f t="shared" si="41"/>
        <v>0.1608256235</v>
      </c>
      <c r="F115" s="35">
        <f t="shared" si="41"/>
        <v>0.1543093527</v>
      </c>
      <c r="G115" s="35">
        <f t="shared" si="41"/>
        <v>0.2377342067</v>
      </c>
      <c r="H115" s="35">
        <f t="shared" si="41"/>
        <v>0.4125044343</v>
      </c>
      <c r="I115" s="35">
        <f t="shared" si="41"/>
        <v>0.391215147</v>
      </c>
      <c r="J115" s="35">
        <f t="shared" si="41"/>
        <v>0.4211648478</v>
      </c>
      <c r="K115" s="35"/>
    </row>
    <row r="116" ht="15.75" customHeight="1">
      <c r="A116" s="5" t="s">
        <v>81</v>
      </c>
      <c r="B116" s="35">
        <f t="shared" ref="B116:J116" si="42">B98/B109</f>
        <v>0.4152061683</v>
      </c>
      <c r="C116" s="35">
        <f t="shared" si="42"/>
        <v>0.4121060587</v>
      </c>
      <c r="D116" s="35">
        <f t="shared" si="42"/>
        <v>0.4408217398</v>
      </c>
      <c r="E116" s="35">
        <f t="shared" si="42"/>
        <v>0.4594576993</v>
      </c>
      <c r="F116" s="35">
        <f t="shared" si="42"/>
        <v>0.4550239155</v>
      </c>
      <c r="G116" s="35">
        <f t="shared" si="42"/>
        <v>0.4678848881</v>
      </c>
      <c r="H116" s="35">
        <f t="shared" si="42"/>
        <v>0.4531046516</v>
      </c>
      <c r="I116" s="35">
        <f t="shared" si="42"/>
        <v>0.4318387526</v>
      </c>
      <c r="J116" s="35">
        <f t="shared" si="42"/>
        <v>0.43659539</v>
      </c>
      <c r="K116" s="228">
        <v>0.46</v>
      </c>
      <c r="L116" s="228">
        <v>0.46</v>
      </c>
      <c r="M116" s="228">
        <v>0.46</v>
      </c>
      <c r="N116" s="228">
        <v>0.46</v>
      </c>
      <c r="O116" s="228">
        <v>0.46</v>
      </c>
      <c r="P116" s="228">
        <v>0.46</v>
      </c>
    </row>
    <row r="117" ht="15.75" customHeight="1">
      <c r="A117" s="5"/>
    </row>
    <row r="118" ht="15.75" customHeight="1">
      <c r="A118" s="5"/>
    </row>
    <row r="119" ht="15.75" customHeight="1">
      <c r="A119" s="5" t="s">
        <v>82</v>
      </c>
      <c r="B119" s="19">
        <f t="shared" ref="B119:J119" si="43">(B3/B98)*10^6</f>
        <v>399241.4193</v>
      </c>
      <c r="C119" s="19">
        <f t="shared" si="43"/>
        <v>434048.6407</v>
      </c>
      <c r="D119" s="19">
        <f t="shared" si="43"/>
        <v>448474.7473</v>
      </c>
      <c r="E119" s="19">
        <f t="shared" si="43"/>
        <v>462125.4059</v>
      </c>
      <c r="F119" s="19">
        <f t="shared" si="43"/>
        <v>483977.1329</v>
      </c>
      <c r="G119" s="19">
        <f t="shared" si="43"/>
        <v>482707.1991</v>
      </c>
      <c r="H119" s="19">
        <f t="shared" si="43"/>
        <v>534472.7538</v>
      </c>
      <c r="I119" s="19">
        <f t="shared" si="43"/>
        <v>602238.1653</v>
      </c>
      <c r="J119" s="19">
        <f t="shared" si="43"/>
        <v>664340.711</v>
      </c>
      <c r="K119" s="25">
        <f t="shared" ref="K119:P119" si="44">J119*(1+K120)</f>
        <v>730774.7821</v>
      </c>
      <c r="L119" s="25">
        <f t="shared" si="44"/>
        <v>803852.2603</v>
      </c>
      <c r="M119" s="25">
        <f t="shared" si="44"/>
        <v>884237.4863</v>
      </c>
      <c r="N119" s="25">
        <f t="shared" si="44"/>
        <v>972661.235</v>
      </c>
      <c r="O119" s="25">
        <f t="shared" si="44"/>
        <v>1069927.358</v>
      </c>
      <c r="P119" s="25">
        <f t="shared" si="44"/>
        <v>1176920.094</v>
      </c>
    </row>
    <row r="120" ht="15.75" customHeight="1">
      <c r="A120" s="5" t="s">
        <v>83</v>
      </c>
      <c r="C120" s="35">
        <f t="shared" ref="C120:J120" si="45">C119/B119-1</f>
        <v>0.08718339278</v>
      </c>
      <c r="D120" s="35">
        <f t="shared" si="45"/>
        <v>0.03323615199</v>
      </c>
      <c r="E120" s="35">
        <f t="shared" si="45"/>
        <v>0.03043796469</v>
      </c>
      <c r="F120" s="35">
        <f t="shared" si="45"/>
        <v>0.04728527542</v>
      </c>
      <c r="G120" s="35">
        <f t="shared" si="45"/>
        <v>-0.002623954209</v>
      </c>
      <c r="H120" s="35">
        <f t="shared" si="45"/>
        <v>0.1072400718</v>
      </c>
      <c r="I120" s="35">
        <f t="shared" si="45"/>
        <v>0.1267892722</v>
      </c>
      <c r="J120" s="35">
        <f t="shared" si="45"/>
        <v>0.1031195784</v>
      </c>
      <c r="K120" s="228">
        <v>0.1</v>
      </c>
      <c r="L120" s="228">
        <v>0.1</v>
      </c>
      <c r="M120" s="228">
        <v>0.1</v>
      </c>
      <c r="N120" s="228">
        <v>0.1</v>
      </c>
      <c r="O120" s="228">
        <v>0.1</v>
      </c>
      <c r="P120" s="228">
        <v>0.1</v>
      </c>
    </row>
    <row r="121" ht="15.75" customHeight="1">
      <c r="A121" s="5"/>
    </row>
    <row r="122" ht="15.75" customHeight="1">
      <c r="A122" s="17" t="s">
        <v>84</v>
      </c>
    </row>
    <row r="123" ht="15.75" customHeight="1">
      <c r="A123" s="5"/>
      <c r="B123" s="39"/>
      <c r="C123" s="39"/>
      <c r="D123" s="39"/>
      <c r="E123" s="39"/>
      <c r="F123" s="39"/>
      <c r="G123" s="39"/>
      <c r="H123" s="39"/>
      <c r="I123" s="39"/>
      <c r="J123" s="39"/>
      <c r="K123" s="74"/>
      <c r="L123" s="74"/>
      <c r="M123" s="74"/>
      <c r="N123" s="74"/>
      <c r="O123" s="74"/>
      <c r="P123" s="74"/>
    </row>
    <row r="124" ht="15.75" customHeight="1">
      <c r="A124" s="1" t="s">
        <v>5</v>
      </c>
      <c r="B124" s="35">
        <f t="shared" ref="B124:J124" si="46">B9/B$3</f>
        <v>0.6344154991</v>
      </c>
      <c r="C124" s="35">
        <f t="shared" si="46"/>
        <v>0.6260982595</v>
      </c>
      <c r="D124" s="35">
        <f t="shared" si="46"/>
        <v>0.5631316612</v>
      </c>
      <c r="E124" s="35">
        <f t="shared" si="46"/>
        <v>0.5231379657</v>
      </c>
      <c r="F124" s="35">
        <f t="shared" si="46"/>
        <v>0.4577689664</v>
      </c>
      <c r="G124" s="35">
        <f t="shared" si="46"/>
        <v>0.4731484113</v>
      </c>
      <c r="H124" s="35">
        <f t="shared" si="46"/>
        <v>0.4499002602</v>
      </c>
      <c r="I124" s="35">
        <f t="shared" si="46"/>
        <v>0.6194769187</v>
      </c>
      <c r="J124" s="35">
        <f t="shared" si="46"/>
        <v>0.5562970628</v>
      </c>
      <c r="K124" s="228">
        <v>0.6</v>
      </c>
      <c r="L124" s="228">
        <v>0.6</v>
      </c>
      <c r="M124" s="228">
        <v>0.6</v>
      </c>
      <c r="N124" s="228">
        <v>0.6</v>
      </c>
      <c r="O124" s="228">
        <v>0.6</v>
      </c>
      <c r="P124" s="228">
        <v>0.6</v>
      </c>
    </row>
    <row r="125" ht="15.75" customHeight="1">
      <c r="A125" s="1" t="s">
        <v>6</v>
      </c>
      <c r="B125" s="35">
        <f t="shared" ref="B125:J125" si="47">B10/B$3</f>
        <v>0.05558038257</v>
      </c>
      <c r="C125" s="35">
        <f t="shared" si="47"/>
        <v>0.06599985312</v>
      </c>
      <c r="D125" s="35">
        <f t="shared" si="47"/>
        <v>0.1253248364</v>
      </c>
      <c r="E125" s="35">
        <f t="shared" si="47"/>
        <v>0.1663895618</v>
      </c>
      <c r="F125" s="35">
        <f t="shared" si="47"/>
        <v>0.2480465239</v>
      </c>
      <c r="G125" s="35">
        <f t="shared" si="47"/>
        <v>0.2451841642</v>
      </c>
      <c r="H125" s="35">
        <f t="shared" si="47"/>
        <v>0.2988515767</v>
      </c>
      <c r="I125" s="35">
        <f t="shared" si="47"/>
        <v>0.1073786905</v>
      </c>
      <c r="J125" s="35">
        <f t="shared" si="47"/>
        <v>0.1494746162</v>
      </c>
      <c r="K125" s="228">
        <v>0.08</v>
      </c>
      <c r="L125" s="228">
        <v>0.08</v>
      </c>
      <c r="M125" s="228">
        <v>0.08</v>
      </c>
      <c r="N125" s="228">
        <v>0.08</v>
      </c>
      <c r="O125" s="228">
        <v>0.08</v>
      </c>
      <c r="P125" s="228">
        <v>0.08</v>
      </c>
    </row>
    <row r="126" ht="15.75" customHeight="1">
      <c r="A126" s="1" t="s">
        <v>8</v>
      </c>
      <c r="B126" s="35">
        <f t="shared" ref="B126:J126" si="48">B11/B$3</f>
        <v>0.0001104071922</v>
      </c>
      <c r="C126" s="35">
        <f t="shared" si="48"/>
        <v>-0.005570977455</v>
      </c>
      <c r="D126" s="35">
        <f t="shared" si="48"/>
        <v>0.0005112179768</v>
      </c>
      <c r="E126" s="35">
        <f t="shared" si="48"/>
        <v>0.002458506887</v>
      </c>
      <c r="F126" s="35">
        <f t="shared" si="48"/>
        <v>-0.003154903516</v>
      </c>
      <c r="G126" s="35">
        <f t="shared" si="48"/>
        <v>0.003887909964</v>
      </c>
      <c r="H126" s="35">
        <f t="shared" si="48"/>
        <v>-0.001054004424</v>
      </c>
      <c r="I126" s="35">
        <f t="shared" si="48"/>
        <v>-0.004902461703</v>
      </c>
      <c r="J126" s="35">
        <f t="shared" si="48"/>
        <v>-0.002668862286</v>
      </c>
      <c r="K126" s="229">
        <f t="shared" ref="K126:P126" si="49">J126</f>
        <v>-0.002668862286</v>
      </c>
      <c r="L126" s="229">
        <f t="shared" si="49"/>
        <v>-0.002668862286</v>
      </c>
      <c r="M126" s="229">
        <f t="shared" si="49"/>
        <v>-0.002668862286</v>
      </c>
      <c r="N126" s="229">
        <f t="shared" si="49"/>
        <v>-0.002668862286</v>
      </c>
      <c r="O126" s="229">
        <f t="shared" si="49"/>
        <v>-0.002668862286</v>
      </c>
      <c r="P126" s="229">
        <f t="shared" si="49"/>
        <v>-0.002668862286</v>
      </c>
    </row>
    <row r="127" ht="15.75" customHeight="1">
      <c r="A127" s="1" t="s">
        <v>10</v>
      </c>
      <c r="B127" s="35">
        <f t="shared" ref="B127:J127" si="50">B12/B$3</f>
        <v>0.03610490436</v>
      </c>
      <c r="C127" s="35">
        <f t="shared" si="50"/>
        <v>0.03466696042</v>
      </c>
      <c r="D127" s="35">
        <f t="shared" si="50"/>
        <v>0.03587797929</v>
      </c>
      <c r="E127" s="35">
        <f t="shared" si="50"/>
        <v>0.03816727374</v>
      </c>
      <c r="F127" s="35">
        <f t="shared" si="50"/>
        <v>0.04515199577</v>
      </c>
      <c r="G127" s="35">
        <f t="shared" si="50"/>
        <v>0.04876371284</v>
      </c>
      <c r="H127" s="35">
        <f t="shared" si="50"/>
        <v>0.04586674033</v>
      </c>
      <c r="I127" s="35">
        <f t="shared" si="50"/>
        <v>0.04483155547</v>
      </c>
      <c r="J127" s="35">
        <f t="shared" si="50"/>
        <v>0.04442182405</v>
      </c>
      <c r="K127" s="228">
        <v>0.04</v>
      </c>
      <c r="L127" s="228">
        <v>0.04</v>
      </c>
      <c r="M127" s="228">
        <v>0.04</v>
      </c>
      <c r="N127" s="228">
        <v>0.04</v>
      </c>
      <c r="O127" s="228">
        <v>0.04</v>
      </c>
      <c r="P127" s="228">
        <v>0.04</v>
      </c>
    </row>
    <row r="128" ht="15.75" customHeight="1">
      <c r="A128" s="1" t="s">
        <v>12</v>
      </c>
      <c r="B128" s="35">
        <f t="shared" ref="B128:J128" si="51">B13/B$3</f>
        <v>0.1422097211</v>
      </c>
      <c r="C128" s="35">
        <f t="shared" si="51"/>
        <v>0.1281927003</v>
      </c>
      <c r="D128" s="35">
        <f t="shared" si="51"/>
        <v>0.1252433924</v>
      </c>
      <c r="E128" s="35">
        <f t="shared" si="51"/>
        <v>0.1434229712</v>
      </c>
      <c r="F128" s="35">
        <f t="shared" si="51"/>
        <v>0.1571451229</v>
      </c>
      <c r="G128" s="35">
        <f t="shared" si="51"/>
        <v>0.1540030126</v>
      </c>
      <c r="H128" s="35">
        <f t="shared" si="51"/>
        <v>0.1434702671</v>
      </c>
      <c r="I128" s="35">
        <f t="shared" si="51"/>
        <v>0.123951629</v>
      </c>
      <c r="J128" s="35">
        <f t="shared" si="51"/>
        <v>0.1237157951</v>
      </c>
      <c r="K128" s="230">
        <f t="shared" ref="K128:P128" si="52">J128</f>
        <v>0.1237157951</v>
      </c>
      <c r="L128" s="230">
        <f t="shared" si="52"/>
        <v>0.1237157951</v>
      </c>
      <c r="M128" s="230">
        <f t="shared" si="52"/>
        <v>0.1237157951</v>
      </c>
      <c r="N128" s="230">
        <f t="shared" si="52"/>
        <v>0.1237157951</v>
      </c>
      <c r="O128" s="230">
        <f t="shared" si="52"/>
        <v>0.1237157951</v>
      </c>
      <c r="P128" s="230">
        <f t="shared" si="52"/>
        <v>0.1237157951</v>
      </c>
    </row>
    <row r="129" ht="15.75" customHeight="1">
      <c r="A129" s="1" t="s">
        <v>85</v>
      </c>
      <c r="B129" s="35">
        <f t="shared" ref="B129:J129" si="53">B14/B$3</f>
        <v>-0.001055002059</v>
      </c>
      <c r="C129" s="35">
        <f t="shared" si="53"/>
        <v>-0.001521627378</v>
      </c>
      <c r="D129" s="35">
        <f t="shared" si="53"/>
        <v>-0.00124170837</v>
      </c>
      <c r="E129" s="35">
        <f t="shared" si="53"/>
        <v>-0.001418637481</v>
      </c>
      <c r="F129" s="35">
        <f t="shared" si="53"/>
        <v>-0.001608511763</v>
      </c>
      <c r="G129" s="35">
        <f t="shared" si="53"/>
        <v>-0.001034502359</v>
      </c>
      <c r="H129" s="35">
        <f t="shared" si="53"/>
        <v>-0.001635914493</v>
      </c>
      <c r="I129" s="35">
        <f t="shared" si="53"/>
        <v>-0.001321680028</v>
      </c>
      <c r="J129" s="35">
        <f t="shared" si="53"/>
        <v>-0.001837750655</v>
      </c>
      <c r="K129" s="231">
        <f t="shared" ref="K129:P129" si="54">J129</f>
        <v>-0.001837750655</v>
      </c>
      <c r="L129" s="231">
        <f t="shared" si="54"/>
        <v>-0.001837750655</v>
      </c>
      <c r="M129" s="231">
        <f t="shared" si="54"/>
        <v>-0.001837750655</v>
      </c>
      <c r="N129" s="231">
        <f t="shared" si="54"/>
        <v>-0.001837750655</v>
      </c>
      <c r="O129" s="231">
        <f t="shared" si="54"/>
        <v>-0.001837750655</v>
      </c>
      <c r="P129" s="231">
        <f t="shared" si="54"/>
        <v>-0.001837750655</v>
      </c>
    </row>
    <row r="130" ht="15.75" customHeight="1">
      <c r="A130" s="5"/>
    </row>
    <row r="131" ht="15.75" customHeight="1">
      <c r="A131" s="5"/>
    </row>
    <row r="132" ht="15.75" customHeight="1">
      <c r="A132" s="18" t="s">
        <v>86</v>
      </c>
    </row>
    <row r="133" ht="15.75" customHeight="1">
      <c r="A133" s="5"/>
    </row>
    <row r="134" ht="15.75" customHeight="1">
      <c r="A134" s="1" t="s">
        <v>5</v>
      </c>
    </row>
    <row r="135" ht="15.75" customHeight="1">
      <c r="A135" s="1" t="s">
        <v>6</v>
      </c>
    </row>
    <row r="136" ht="15.75" customHeight="1">
      <c r="A136" s="1" t="s">
        <v>8</v>
      </c>
    </row>
    <row r="137" ht="15.75" customHeight="1">
      <c r="A137" s="1" t="s">
        <v>10</v>
      </c>
    </row>
    <row r="138" ht="15.75" customHeight="1">
      <c r="A138" s="1" t="s">
        <v>12</v>
      </c>
    </row>
    <row r="139" ht="15.75" customHeight="1">
      <c r="A139" s="1" t="s">
        <v>85</v>
      </c>
    </row>
    <row r="140" ht="15.75" customHeight="1">
      <c r="A140" s="5"/>
    </row>
    <row r="141" ht="15.75" customHeight="1">
      <c r="A141" s="1" t="s">
        <v>83</v>
      </c>
    </row>
    <row r="142" ht="15.75" customHeight="1">
      <c r="A142" s="1" t="s">
        <v>5</v>
      </c>
    </row>
    <row r="143" ht="15.75" customHeight="1">
      <c r="A143" s="1" t="s">
        <v>6</v>
      </c>
    </row>
    <row r="144" ht="15.75" customHeight="1">
      <c r="A144" s="1" t="s">
        <v>8</v>
      </c>
    </row>
    <row r="145" ht="15.75" customHeight="1">
      <c r="A145" s="1" t="s">
        <v>10</v>
      </c>
    </row>
    <row r="146" ht="15.75" customHeight="1">
      <c r="A146" s="1" t="s">
        <v>12</v>
      </c>
    </row>
    <row r="147" ht="15.75" customHeight="1">
      <c r="A147" s="1" t="s">
        <v>85</v>
      </c>
    </row>
    <row r="148" ht="15.75" customHeight="1">
      <c r="A148" s="5"/>
    </row>
    <row r="149" ht="15.75" customHeight="1">
      <c r="A149" s="5"/>
    </row>
    <row r="150" ht="15.75" customHeight="1">
      <c r="A150" s="5"/>
    </row>
    <row r="151" ht="15.75" customHeight="1">
      <c r="A151" s="18" t="s">
        <v>87</v>
      </c>
    </row>
    <row r="152" ht="15.75" customHeight="1">
      <c r="A152" s="5"/>
    </row>
    <row r="153" ht="15.75" customHeight="1">
      <c r="A153" s="5" t="s">
        <v>60</v>
      </c>
    </row>
    <row r="154" ht="15.75" customHeight="1">
      <c r="A154" s="16" t="s">
        <v>61</v>
      </c>
    </row>
    <row r="155" ht="15.75" customHeight="1">
      <c r="A155" s="16" t="s">
        <v>62</v>
      </c>
    </row>
    <row r="156" ht="15.75" customHeight="1">
      <c r="A156" s="16" t="s">
        <v>64</v>
      </c>
    </row>
    <row r="157" ht="15.75" customHeight="1">
      <c r="A157" s="16" t="s">
        <v>65</v>
      </c>
    </row>
    <row r="158" ht="15.75" customHeight="1">
      <c r="A158" s="16" t="s">
        <v>66</v>
      </c>
    </row>
    <row r="159" ht="15.75" customHeight="1">
      <c r="A159" s="1" t="s">
        <v>57</v>
      </c>
    </row>
    <row r="160" ht="15.75" customHeight="1">
      <c r="A160" s="5"/>
    </row>
    <row r="161" ht="15.75" customHeight="1">
      <c r="A161" s="5" t="s">
        <v>42</v>
      </c>
    </row>
    <row r="162" ht="15.75" customHeight="1">
      <c r="A162" s="1" t="s">
        <v>43</v>
      </c>
    </row>
    <row r="163" ht="15.75" customHeight="1">
      <c r="A163" s="1" t="s">
        <v>44</v>
      </c>
    </row>
    <row r="164" ht="15.75" customHeight="1">
      <c r="A164" s="1" t="s">
        <v>45</v>
      </c>
    </row>
    <row r="165" ht="15.75" customHeight="1">
      <c r="A165" s="1" t="s">
        <v>46</v>
      </c>
    </row>
    <row r="166" ht="15.75" customHeight="1">
      <c r="A166" s="1" t="s">
        <v>47</v>
      </c>
    </row>
    <row r="167" ht="15.75" customHeight="1">
      <c r="A167" s="1" t="s">
        <v>48</v>
      </c>
    </row>
    <row r="168" ht="15.75" customHeight="1">
      <c r="A168" s="5"/>
    </row>
    <row r="169" ht="15.75" customHeight="1">
      <c r="A169" s="1" t="s">
        <v>88</v>
      </c>
    </row>
    <row r="170" ht="15.75" customHeight="1">
      <c r="A170" s="5"/>
    </row>
    <row r="171" ht="15.75" customHeight="1">
      <c r="A171" s="18" t="s">
        <v>89</v>
      </c>
    </row>
    <row r="172" ht="15.75" customHeight="1">
      <c r="A172" s="5" t="s">
        <v>60</v>
      </c>
    </row>
    <row r="173" ht="15.75" customHeight="1">
      <c r="A173" s="16" t="s">
        <v>61</v>
      </c>
    </row>
    <row r="174" ht="15.75" customHeight="1">
      <c r="A174" s="16" t="s">
        <v>62</v>
      </c>
    </row>
    <row r="175" ht="15.75" customHeight="1">
      <c r="A175" s="16" t="s">
        <v>64</v>
      </c>
    </row>
    <row r="176" ht="15.75" customHeight="1">
      <c r="A176" s="16" t="s">
        <v>65</v>
      </c>
    </row>
    <row r="177" ht="15.75" customHeight="1">
      <c r="A177" s="16" t="s">
        <v>66</v>
      </c>
    </row>
    <row r="178" ht="15.75" customHeight="1">
      <c r="A178" s="1" t="s">
        <v>57</v>
      </c>
    </row>
    <row r="179" ht="15.75" customHeight="1">
      <c r="A179" s="5"/>
    </row>
    <row r="180" ht="15.75" customHeight="1">
      <c r="A180" s="5" t="s">
        <v>42</v>
      </c>
    </row>
    <row r="181" ht="15.75" customHeight="1">
      <c r="A181" s="1" t="s">
        <v>43</v>
      </c>
    </row>
    <row r="182" ht="15.75" customHeight="1">
      <c r="A182" s="1" t="s">
        <v>44</v>
      </c>
    </row>
    <row r="183" ht="15.75" customHeight="1">
      <c r="A183" s="1" t="s">
        <v>45</v>
      </c>
    </row>
    <row r="184" ht="15.75" customHeight="1">
      <c r="A184" s="1" t="s">
        <v>46</v>
      </c>
    </row>
    <row r="185" ht="15.75" customHeight="1">
      <c r="A185" s="1" t="s">
        <v>47</v>
      </c>
    </row>
    <row r="186" ht="15.75" customHeight="1">
      <c r="A186" s="1" t="s">
        <v>48</v>
      </c>
    </row>
    <row r="187" ht="15.75" customHeight="1">
      <c r="A187" s="5"/>
    </row>
    <row r="188" ht="15.75" customHeight="1">
      <c r="A188" s="1" t="s">
        <v>90</v>
      </c>
    </row>
    <row r="189" ht="15.75" customHeight="1">
      <c r="A189" s="1" t="s">
        <v>91</v>
      </c>
    </row>
    <row r="190" ht="15.75" customHeight="1">
      <c r="A190" s="5"/>
    </row>
    <row r="191" ht="15.75" customHeight="1">
      <c r="A191" s="5"/>
    </row>
    <row r="192" ht="15.75" customHeight="1">
      <c r="A192" s="5"/>
    </row>
    <row r="193" ht="15.75" customHeight="1">
      <c r="A193" s="18" t="s">
        <v>92</v>
      </c>
    </row>
    <row r="194" ht="15.75" customHeight="1">
      <c r="A194" s="5" t="s">
        <v>93</v>
      </c>
    </row>
    <row r="195" ht="15.75" customHeight="1">
      <c r="A195" s="5" t="s">
        <v>94</v>
      </c>
    </row>
    <row r="196" ht="15.75" customHeight="1">
      <c r="A196" s="5" t="s">
        <v>49</v>
      </c>
    </row>
    <row r="197" ht="15.75" customHeight="1">
      <c r="A197" s="5"/>
    </row>
    <row r="198" ht="15.75" customHeight="1">
      <c r="A198" s="5" t="s">
        <v>95</v>
      </c>
    </row>
    <row r="199" ht="15.75" customHeight="1">
      <c r="A199" s="5"/>
    </row>
    <row r="200" ht="15.75" customHeight="1">
      <c r="A200" s="5" t="s">
        <v>96</v>
      </c>
    </row>
    <row r="201" ht="15.75" customHeight="1">
      <c r="A201" s="5" t="s">
        <v>97</v>
      </c>
    </row>
    <row r="202" ht="15.75" customHeight="1">
      <c r="A202" s="5" t="s">
        <v>98</v>
      </c>
    </row>
    <row r="203" ht="15.75" customHeight="1">
      <c r="A203" s="5"/>
    </row>
    <row r="204" ht="15.75" customHeight="1">
      <c r="A204" s="5" t="s">
        <v>99</v>
      </c>
    </row>
    <row r="205" ht="15.75" customHeight="1">
      <c r="A205" s="5" t="s">
        <v>100</v>
      </c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>
      <c r="A403" s="1"/>
    </row>
    <row r="404" ht="15.75" customHeight="1">
      <c r="A404" s="1"/>
    </row>
    <row r="405" ht="15.75" customHeight="1">
      <c r="A405" s="1"/>
    </row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29" t="s">
        <v>176</v>
      </c>
      <c r="B1" s="2">
        <v>2016.0</v>
      </c>
      <c r="C1" s="2">
        <f t="shared" ref="C1:V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  <c r="Q1" s="111">
        <f t="shared" si="1"/>
        <v>2031</v>
      </c>
      <c r="R1" s="111">
        <f t="shared" si="1"/>
        <v>2032</v>
      </c>
      <c r="S1" s="111">
        <f t="shared" si="1"/>
        <v>2033</v>
      </c>
      <c r="T1" s="111">
        <f t="shared" si="1"/>
        <v>2034</v>
      </c>
      <c r="U1" s="111">
        <f t="shared" si="1"/>
        <v>2035</v>
      </c>
      <c r="V1" s="111">
        <f t="shared" si="1"/>
        <v>2036</v>
      </c>
      <c r="W1" s="112" t="s">
        <v>108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  <c r="K3" s="19">
        <f t="shared" ref="K3:P3" si="2">(K100*K120)/10^6</f>
        <v>1745621.281</v>
      </c>
      <c r="L3" s="19">
        <f t="shared" si="2"/>
        <v>2039535.594</v>
      </c>
      <c r="M3" s="19">
        <f t="shared" si="2"/>
        <v>2383801.008</v>
      </c>
      <c r="N3" s="19">
        <f t="shared" si="2"/>
        <v>2787144.105</v>
      </c>
      <c r="O3" s="19">
        <f t="shared" si="2"/>
        <v>3259815.476</v>
      </c>
      <c r="P3" s="19">
        <f t="shared" si="2"/>
        <v>3813857.181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  <c r="K4" s="20">
        <v>20000.0</v>
      </c>
      <c r="L4" s="21">
        <f t="shared" ref="L4:P4" si="3">K4</f>
        <v>20000</v>
      </c>
      <c r="M4" s="21">
        <f t="shared" si="3"/>
        <v>20000</v>
      </c>
      <c r="N4" s="21">
        <f t="shared" si="3"/>
        <v>20000</v>
      </c>
      <c r="O4" s="21">
        <f t="shared" si="3"/>
        <v>20000</v>
      </c>
      <c r="P4" s="21">
        <f t="shared" si="3"/>
        <v>20000</v>
      </c>
    </row>
    <row r="5" ht="15.75" customHeight="1">
      <c r="A5" s="7"/>
    </row>
    <row r="6" ht="15.75" customHeight="1">
      <c r="A6" s="8" t="s">
        <v>3</v>
      </c>
      <c r="B6" s="9">
        <f t="shared" ref="B6:P6" si="4">SUM(B3:B4)</f>
        <v>586120</v>
      </c>
      <c r="C6" s="9">
        <f t="shared" si="4"/>
        <v>703746</v>
      </c>
      <c r="D6" s="9">
        <f t="shared" si="4"/>
        <v>818552</v>
      </c>
      <c r="E6" s="9">
        <f t="shared" si="4"/>
        <v>886301</v>
      </c>
      <c r="F6" s="9">
        <f t="shared" si="4"/>
        <v>789944</v>
      </c>
      <c r="G6" s="9">
        <f t="shared" si="4"/>
        <v>733083</v>
      </c>
      <c r="H6" s="9">
        <f t="shared" si="4"/>
        <v>900745</v>
      </c>
      <c r="I6" s="9">
        <f t="shared" si="4"/>
        <v>1206746</v>
      </c>
      <c r="J6" s="9">
        <f t="shared" si="4"/>
        <v>1459517</v>
      </c>
      <c r="K6" s="9">
        <f t="shared" si="4"/>
        <v>1765621.281</v>
      </c>
      <c r="L6" s="9">
        <f t="shared" si="4"/>
        <v>2059535.594</v>
      </c>
      <c r="M6" s="9">
        <f t="shared" si="4"/>
        <v>2403801.008</v>
      </c>
      <c r="N6" s="9">
        <f t="shared" si="4"/>
        <v>2807144.105</v>
      </c>
      <c r="O6" s="9">
        <f t="shared" si="4"/>
        <v>3279815.476</v>
      </c>
      <c r="P6" s="9">
        <f t="shared" si="4"/>
        <v>3833857.181</v>
      </c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  <c r="K9" s="22">
        <f t="shared" ref="K9:P9" si="5">K$3*K125</f>
        <v>1047372.768</v>
      </c>
      <c r="L9" s="22">
        <f t="shared" si="5"/>
        <v>1223721.356</v>
      </c>
      <c r="M9" s="22">
        <f t="shared" si="5"/>
        <v>1430280.605</v>
      </c>
      <c r="N9" s="22">
        <f t="shared" si="5"/>
        <v>1672286.463</v>
      </c>
      <c r="O9" s="22">
        <f t="shared" si="5"/>
        <v>1955889.286</v>
      </c>
      <c r="P9" s="22">
        <f t="shared" si="5"/>
        <v>2288314.309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  <c r="K10" s="22">
        <f t="shared" ref="K10:P10" si="6">K$3*K126</f>
        <v>139649.7024</v>
      </c>
      <c r="L10" s="22">
        <f t="shared" si="6"/>
        <v>163162.8475</v>
      </c>
      <c r="M10" s="22">
        <f t="shared" si="6"/>
        <v>190704.0806</v>
      </c>
      <c r="N10" s="22">
        <f t="shared" si="6"/>
        <v>222971.5284</v>
      </c>
      <c r="O10" s="22">
        <f t="shared" si="6"/>
        <v>260785.2381</v>
      </c>
      <c r="P10" s="22">
        <f t="shared" si="6"/>
        <v>305108.5745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  <c r="K11" s="22">
        <f t="shared" ref="K11:P11" si="7">K$3*K127</f>
        <v>-4658.822802</v>
      </c>
      <c r="L11" s="22">
        <f t="shared" si="7"/>
        <v>-5443.239628</v>
      </c>
      <c r="M11" s="22">
        <f t="shared" si="7"/>
        <v>-6362.036607</v>
      </c>
      <c r="N11" s="22">
        <f t="shared" si="7"/>
        <v>-7438.503788</v>
      </c>
      <c r="O11" s="22">
        <f t="shared" si="7"/>
        <v>-8699.998584</v>
      </c>
      <c r="P11" s="22">
        <f t="shared" si="7"/>
        <v>-10178.6596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  <c r="K12" s="22">
        <f t="shared" ref="K12:P12" si="8">K$3*K128</f>
        <v>69824.85122</v>
      </c>
      <c r="L12" s="22">
        <f t="shared" si="8"/>
        <v>81581.42375</v>
      </c>
      <c r="M12" s="22">
        <f t="shared" si="8"/>
        <v>95352.0403</v>
      </c>
      <c r="N12" s="22">
        <f t="shared" si="8"/>
        <v>111485.7642</v>
      </c>
      <c r="O12" s="22">
        <f t="shared" si="8"/>
        <v>130392.619</v>
      </c>
      <c r="P12" s="22">
        <f t="shared" si="8"/>
        <v>152554.2873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  <c r="K13" s="22">
        <f t="shared" ref="K13:P13" si="9">K$3*K129</f>
        <v>215960.9246</v>
      </c>
      <c r="L13" s="22">
        <f t="shared" si="9"/>
        <v>252322.7675</v>
      </c>
      <c r="M13" s="22">
        <f t="shared" si="9"/>
        <v>294913.8369</v>
      </c>
      <c r="N13" s="22">
        <f t="shared" si="9"/>
        <v>344813.7489</v>
      </c>
      <c r="O13" s="22">
        <f t="shared" si="9"/>
        <v>403290.6634</v>
      </c>
      <c r="P13" s="22">
        <f t="shared" si="9"/>
        <v>471834.3735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  <c r="K14" s="22">
        <f t="shared" ref="K14:P14" si="10">K$3*K130</f>
        <v>-3208.016652</v>
      </c>
      <c r="L14" s="22">
        <f t="shared" si="10"/>
        <v>-3748.157874</v>
      </c>
      <c r="M14" s="22">
        <f t="shared" si="10"/>
        <v>-4380.831864</v>
      </c>
      <c r="N14" s="22">
        <f t="shared" si="10"/>
        <v>-5122.075905</v>
      </c>
      <c r="O14" s="22">
        <f t="shared" si="10"/>
        <v>-5990.728027</v>
      </c>
      <c r="P14" s="22">
        <f t="shared" si="10"/>
        <v>-7008.918534</v>
      </c>
    </row>
    <row r="15" ht="15.75" customHeight="1">
      <c r="A15" s="7"/>
    </row>
    <row r="16" ht="15.75" customHeight="1">
      <c r="A16" s="45" t="s">
        <v>109</v>
      </c>
      <c r="B16" s="13">
        <f t="shared" ref="B16:P16" si="11">SUM(B9:B14)</f>
        <v>494932</v>
      </c>
      <c r="C16" s="13">
        <f t="shared" si="11"/>
        <v>577269</v>
      </c>
      <c r="D16" s="13">
        <f t="shared" si="11"/>
        <v>677460</v>
      </c>
      <c r="E16" s="13">
        <f t="shared" si="11"/>
        <v>750653</v>
      </c>
      <c r="F16" s="13">
        <f t="shared" si="11"/>
        <v>683474</v>
      </c>
      <c r="G16" s="13">
        <f t="shared" si="11"/>
        <v>650204</v>
      </c>
      <c r="H16" s="13">
        <f t="shared" si="11"/>
        <v>826236</v>
      </c>
      <c r="I16" s="13">
        <f t="shared" si="11"/>
        <v>1053155</v>
      </c>
      <c r="J16" s="13">
        <f t="shared" si="11"/>
        <v>1233319</v>
      </c>
      <c r="K16" s="13">
        <f t="shared" si="11"/>
        <v>1464941.407</v>
      </c>
      <c r="L16" s="13">
        <f t="shared" si="11"/>
        <v>1711596.997</v>
      </c>
      <c r="M16" s="13">
        <f t="shared" si="11"/>
        <v>2000507.694</v>
      </c>
      <c r="N16" s="13">
        <f t="shared" si="11"/>
        <v>2338996.925</v>
      </c>
      <c r="O16" s="13">
        <f t="shared" si="11"/>
        <v>2735667.079</v>
      </c>
      <c r="P16" s="13">
        <f t="shared" si="11"/>
        <v>3200623.966</v>
      </c>
    </row>
    <row r="17" ht="15.75" customHeight="1">
      <c r="A17" s="7"/>
    </row>
    <row r="18" ht="15.75" customHeight="1">
      <c r="A18" s="113" t="s">
        <v>177</v>
      </c>
      <c r="B18" s="23">
        <f t="shared" ref="B18:P18" si="12">B6-B16</f>
        <v>91188</v>
      </c>
      <c r="C18" s="23">
        <f t="shared" si="12"/>
        <v>126477</v>
      </c>
      <c r="D18" s="23">
        <f t="shared" si="12"/>
        <v>141092</v>
      </c>
      <c r="E18" s="23">
        <f t="shared" si="12"/>
        <v>135648</v>
      </c>
      <c r="F18" s="23">
        <f t="shared" si="12"/>
        <v>106470</v>
      </c>
      <c r="G18" s="23">
        <f t="shared" si="12"/>
        <v>82879</v>
      </c>
      <c r="H18" s="23">
        <f t="shared" si="12"/>
        <v>74509</v>
      </c>
      <c r="I18" s="23">
        <f t="shared" si="12"/>
        <v>153591</v>
      </c>
      <c r="J18" s="23">
        <f t="shared" si="12"/>
        <v>226198</v>
      </c>
      <c r="K18" s="23">
        <f t="shared" si="12"/>
        <v>300679.8734</v>
      </c>
      <c r="L18" s="23">
        <f t="shared" si="12"/>
        <v>347938.5962</v>
      </c>
      <c r="M18" s="23">
        <f t="shared" si="12"/>
        <v>403293.3137</v>
      </c>
      <c r="N18" s="23">
        <f t="shared" si="12"/>
        <v>468147.1802</v>
      </c>
      <c r="O18" s="23">
        <f t="shared" si="12"/>
        <v>544148.3965</v>
      </c>
      <c r="P18" s="23">
        <f t="shared" si="12"/>
        <v>633233.2155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  <c r="K20" s="6">
        <f t="shared" ref="K20:P20" si="13">K203</f>
        <v>61200</v>
      </c>
      <c r="L20" s="6">
        <f t="shared" si="13"/>
        <v>68400</v>
      </c>
      <c r="M20" s="6">
        <f t="shared" si="13"/>
        <v>75600</v>
      </c>
      <c r="N20" s="6">
        <f t="shared" si="13"/>
        <v>82800</v>
      </c>
      <c r="O20" s="6">
        <f t="shared" si="13"/>
        <v>90000</v>
      </c>
      <c r="P20" s="6">
        <f t="shared" si="13"/>
        <v>97200</v>
      </c>
    </row>
    <row r="21" ht="15.75" customHeight="1">
      <c r="A21" s="7"/>
    </row>
    <row r="22" ht="15.75" customHeight="1">
      <c r="A22" s="113" t="s">
        <v>178</v>
      </c>
      <c r="B22" s="23">
        <f t="shared" ref="B22:P22" si="14">B18-B20</f>
        <v>62518</v>
      </c>
      <c r="C22" s="23">
        <f t="shared" si="14"/>
        <v>100438</v>
      </c>
      <c r="D22" s="23">
        <f t="shared" si="14"/>
        <v>113494</v>
      </c>
      <c r="E22" s="23">
        <f t="shared" si="14"/>
        <v>105440</v>
      </c>
      <c r="F22" s="23">
        <f t="shared" si="14"/>
        <v>71186</v>
      </c>
      <c r="G22" s="23">
        <f t="shared" si="14"/>
        <v>52538</v>
      </c>
      <c r="H22" s="23">
        <f t="shared" si="14"/>
        <v>46619</v>
      </c>
      <c r="I22" s="23">
        <f t="shared" si="14"/>
        <v>105131</v>
      </c>
      <c r="J22" s="23">
        <f t="shared" si="14"/>
        <v>173640</v>
      </c>
      <c r="K22" s="23">
        <f t="shared" si="14"/>
        <v>239479.8734</v>
      </c>
      <c r="L22" s="23">
        <f t="shared" si="14"/>
        <v>279538.5962</v>
      </c>
      <c r="M22" s="23">
        <f t="shared" si="14"/>
        <v>327693.3137</v>
      </c>
      <c r="N22" s="23">
        <f t="shared" si="14"/>
        <v>385347.1802</v>
      </c>
      <c r="O22" s="23">
        <f t="shared" si="14"/>
        <v>454148.3965</v>
      </c>
      <c r="P22" s="23">
        <f t="shared" si="14"/>
        <v>536033.2155</v>
      </c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  <c r="K24" s="20">
        <f t="shared" ref="K24:P24" si="15">J24</f>
        <v>1936</v>
      </c>
      <c r="L24" s="21">
        <f t="shared" si="15"/>
        <v>1936</v>
      </c>
      <c r="M24" s="21">
        <f t="shared" si="15"/>
        <v>1936</v>
      </c>
      <c r="N24" s="21">
        <f t="shared" si="15"/>
        <v>1936</v>
      </c>
      <c r="O24" s="21">
        <f t="shared" si="15"/>
        <v>1936</v>
      </c>
      <c r="P24" s="21">
        <f t="shared" si="15"/>
        <v>1936</v>
      </c>
    </row>
    <row r="25" ht="15.75" customHeight="1">
      <c r="A25" s="7"/>
    </row>
    <row r="26" ht="15.75" customHeight="1">
      <c r="A26" s="7" t="s">
        <v>23</v>
      </c>
      <c r="B26" s="6">
        <f t="shared" ref="B26:P26" si="16">B22-B24</f>
        <v>61581</v>
      </c>
      <c r="C26" s="6">
        <f t="shared" si="16"/>
        <v>99544</v>
      </c>
      <c r="D26" s="6">
        <f t="shared" si="16"/>
        <v>110036</v>
      </c>
      <c r="E26" s="6">
        <f t="shared" si="16"/>
        <v>104681</v>
      </c>
      <c r="F26" s="6">
        <f t="shared" si="16"/>
        <v>69844</v>
      </c>
      <c r="G26" s="6">
        <f t="shared" si="16"/>
        <v>51520</v>
      </c>
      <c r="H26" s="6">
        <f t="shared" si="16"/>
        <v>45353</v>
      </c>
      <c r="I26" s="6">
        <f t="shared" si="16"/>
        <v>102608</v>
      </c>
      <c r="J26" s="6">
        <f t="shared" si="16"/>
        <v>171704</v>
      </c>
      <c r="K26" s="6">
        <f t="shared" si="16"/>
        <v>237543.8734</v>
      </c>
      <c r="L26" s="6">
        <f t="shared" si="16"/>
        <v>277602.5962</v>
      </c>
      <c r="M26" s="6">
        <f t="shared" si="16"/>
        <v>325757.3137</v>
      </c>
      <c r="N26" s="6">
        <f t="shared" si="16"/>
        <v>383411.1802</v>
      </c>
      <c r="O26" s="6">
        <f t="shared" si="16"/>
        <v>452212.3965</v>
      </c>
      <c r="P26" s="6">
        <f t="shared" si="16"/>
        <v>534097.2155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  <c r="K27" s="20">
        <f t="shared" ref="K27:P27" si="17">J27</f>
        <v>2669</v>
      </c>
      <c r="L27" s="21">
        <f t="shared" si="17"/>
        <v>2669</v>
      </c>
      <c r="M27" s="21">
        <f t="shared" si="17"/>
        <v>2669</v>
      </c>
      <c r="N27" s="21">
        <f t="shared" si="17"/>
        <v>2669</v>
      </c>
      <c r="O27" s="21">
        <f t="shared" si="17"/>
        <v>2669</v>
      </c>
      <c r="P27" s="21">
        <f t="shared" si="17"/>
        <v>2669</v>
      </c>
    </row>
    <row r="28" ht="15.75" customHeight="1">
      <c r="A28" s="113" t="s">
        <v>179</v>
      </c>
      <c r="B28" s="23">
        <f t="shared" ref="B28:P28" si="18">SUM(B26:B27)</f>
        <v>66296</v>
      </c>
      <c r="C28" s="23">
        <f t="shared" si="18"/>
        <v>101272</v>
      </c>
      <c r="D28" s="23">
        <f t="shared" si="18"/>
        <v>111669</v>
      </c>
      <c r="E28" s="23">
        <f t="shared" si="18"/>
        <v>102651</v>
      </c>
      <c r="F28" s="23">
        <f t="shared" si="18"/>
        <v>65427</v>
      </c>
      <c r="G28" s="23">
        <f t="shared" si="18"/>
        <v>56656</v>
      </c>
      <c r="H28" s="23">
        <f t="shared" si="18"/>
        <v>48482</v>
      </c>
      <c r="I28" s="23">
        <f t="shared" si="18"/>
        <v>103194</v>
      </c>
      <c r="J28" s="23">
        <f t="shared" si="18"/>
        <v>174373</v>
      </c>
      <c r="K28" s="23">
        <f t="shared" si="18"/>
        <v>240212.8734</v>
      </c>
      <c r="L28" s="23">
        <f t="shared" si="18"/>
        <v>280271.5962</v>
      </c>
      <c r="M28" s="23">
        <f t="shared" si="18"/>
        <v>328426.3137</v>
      </c>
      <c r="N28" s="23">
        <f t="shared" si="18"/>
        <v>386080.1802</v>
      </c>
      <c r="O28" s="23">
        <f t="shared" si="18"/>
        <v>454881.3965</v>
      </c>
      <c r="P28" s="23">
        <f t="shared" si="18"/>
        <v>536766.2155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  <c r="K30" s="19">
        <f t="shared" ref="K30:P30" si="19">K28*K31</f>
        <v>72063.86202</v>
      </c>
      <c r="L30" s="19">
        <f t="shared" si="19"/>
        <v>84081.47885</v>
      </c>
      <c r="M30" s="19">
        <f t="shared" si="19"/>
        <v>98527.8941</v>
      </c>
      <c r="N30" s="19">
        <f t="shared" si="19"/>
        <v>115824.054</v>
      </c>
      <c r="O30" s="19">
        <f t="shared" si="19"/>
        <v>136464.4189</v>
      </c>
      <c r="P30" s="19">
        <f t="shared" si="19"/>
        <v>161029.8646</v>
      </c>
    </row>
    <row r="31" ht="15.75" customHeight="1">
      <c r="A31" s="7"/>
      <c r="B31" s="57"/>
      <c r="C31" s="57"/>
      <c r="D31" s="57"/>
      <c r="E31" s="57"/>
      <c r="F31" s="57"/>
      <c r="G31" s="57"/>
      <c r="H31" s="57"/>
      <c r="I31" s="57"/>
      <c r="J31" s="57"/>
      <c r="K31" s="37">
        <v>0.3</v>
      </c>
      <c r="L31" s="38">
        <f t="shared" ref="L31:P31" si="20">K31</f>
        <v>0.3</v>
      </c>
      <c r="M31" s="38">
        <f t="shared" si="20"/>
        <v>0.3</v>
      </c>
      <c r="N31" s="38">
        <f t="shared" si="20"/>
        <v>0.3</v>
      </c>
      <c r="O31" s="38">
        <f t="shared" si="20"/>
        <v>0.3</v>
      </c>
      <c r="P31" s="38">
        <f t="shared" si="20"/>
        <v>0.3</v>
      </c>
    </row>
    <row r="32" ht="15.75" customHeight="1">
      <c r="A32" s="7" t="s">
        <v>27</v>
      </c>
      <c r="B32" s="6">
        <f t="shared" ref="B32:P32" si="21">B28-B30</f>
        <v>46309</v>
      </c>
      <c r="C32" s="6">
        <f t="shared" si="21"/>
        <v>75110</v>
      </c>
      <c r="D32" s="6">
        <f t="shared" si="21"/>
        <v>78807</v>
      </c>
      <c r="E32" s="6">
        <f t="shared" si="21"/>
        <v>72919</v>
      </c>
      <c r="F32" s="6">
        <f t="shared" si="21"/>
        <v>51175</v>
      </c>
      <c r="G32" s="6">
        <f t="shared" si="21"/>
        <v>47337</v>
      </c>
      <c r="H32" s="6">
        <f t="shared" si="21"/>
        <v>40305</v>
      </c>
      <c r="I32" s="6">
        <f t="shared" si="21"/>
        <v>81449</v>
      </c>
      <c r="J32" s="6">
        <f t="shared" si="21"/>
        <v>135010</v>
      </c>
      <c r="K32" s="6">
        <f t="shared" si="21"/>
        <v>168149.0114</v>
      </c>
      <c r="L32" s="6">
        <f t="shared" si="21"/>
        <v>196190.1173</v>
      </c>
      <c r="M32" s="6">
        <f t="shared" si="21"/>
        <v>229898.4196</v>
      </c>
      <c r="N32" s="6">
        <f t="shared" si="21"/>
        <v>270256.1261</v>
      </c>
      <c r="O32" s="6">
        <f t="shared" si="21"/>
        <v>318416.9775</v>
      </c>
      <c r="P32" s="6">
        <f t="shared" si="21"/>
        <v>375736.3508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  <c r="K33" s="20">
        <f t="shared" ref="K33:P33" si="22">J33</f>
        <v>2541</v>
      </c>
      <c r="L33" s="21">
        <f t="shared" si="22"/>
        <v>2541</v>
      </c>
      <c r="M33" s="21">
        <f t="shared" si="22"/>
        <v>2541</v>
      </c>
      <c r="N33" s="21">
        <f t="shared" si="22"/>
        <v>2541</v>
      </c>
      <c r="O33" s="21">
        <f t="shared" si="22"/>
        <v>2541</v>
      </c>
      <c r="P33" s="21">
        <f t="shared" si="22"/>
        <v>2541</v>
      </c>
    </row>
    <row r="34" ht="15.75" customHeight="1">
      <c r="A34" s="1"/>
    </row>
    <row r="35" ht="15.75" customHeight="1">
      <c r="A35" s="1"/>
    </row>
    <row r="36" ht="15.75" customHeight="1">
      <c r="A36" s="45" t="s">
        <v>180</v>
      </c>
      <c r="B36" s="9">
        <f t="shared" ref="B36:D36" si="23">B32+B33</f>
        <v>46988</v>
      </c>
      <c r="C36" s="9">
        <f t="shared" si="23"/>
        <v>77326</v>
      </c>
      <c r="D36" s="9">
        <f t="shared" si="23"/>
        <v>82118</v>
      </c>
      <c r="E36" s="9">
        <f>E32+F33</f>
        <v>74103</v>
      </c>
      <c r="F36" s="9">
        <f t="shared" ref="F36:P36" si="24">F32+F33</f>
        <v>52359</v>
      </c>
      <c r="G36" s="9">
        <f t="shared" si="24"/>
        <v>49027</v>
      </c>
      <c r="H36" s="9">
        <f t="shared" si="24"/>
        <v>41924</v>
      </c>
      <c r="I36" s="9">
        <f t="shared" si="24"/>
        <v>83223</v>
      </c>
      <c r="J36" s="9">
        <f t="shared" si="24"/>
        <v>137551</v>
      </c>
      <c r="K36" s="9">
        <f t="shared" si="24"/>
        <v>170690.0114</v>
      </c>
      <c r="L36" s="9">
        <f t="shared" si="24"/>
        <v>198731.1173</v>
      </c>
      <c r="M36" s="9">
        <f t="shared" si="24"/>
        <v>232439.4196</v>
      </c>
      <c r="N36" s="9">
        <f t="shared" si="24"/>
        <v>272797.1261</v>
      </c>
      <c r="O36" s="9">
        <f t="shared" si="24"/>
        <v>320957.9775</v>
      </c>
      <c r="P36" s="9">
        <f t="shared" si="24"/>
        <v>378277.3508</v>
      </c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ht="15.75" customHeight="1">
      <c r="A40" s="7"/>
    </row>
    <row r="41" ht="15.75" customHeight="1">
      <c r="A41" s="4" t="s">
        <v>31</v>
      </c>
      <c r="B41" s="27">
        <f t="shared" ref="B41:P41" si="25">SUM(B42:B47)</f>
        <v>306304</v>
      </c>
      <c r="C41" s="27">
        <f t="shared" si="25"/>
        <v>370905</v>
      </c>
      <c r="D41" s="27">
        <f t="shared" si="25"/>
        <v>425755</v>
      </c>
      <c r="E41" s="27">
        <f t="shared" si="25"/>
        <v>471097</v>
      </c>
      <c r="F41" s="27">
        <f t="shared" si="25"/>
        <v>494322</v>
      </c>
      <c r="G41" s="27">
        <f t="shared" si="25"/>
        <v>525006</v>
      </c>
      <c r="H41" s="27">
        <f t="shared" si="25"/>
        <v>553335</v>
      </c>
      <c r="I41" s="27">
        <f t="shared" si="25"/>
        <v>746002</v>
      </c>
      <c r="J41" s="27">
        <f t="shared" si="25"/>
        <v>856360</v>
      </c>
      <c r="K41" s="27">
        <f t="shared" si="25"/>
        <v>1027050.011</v>
      </c>
      <c r="L41" s="27">
        <f t="shared" si="25"/>
        <v>1225781.129</v>
      </c>
      <c r="M41" s="27">
        <f t="shared" si="25"/>
        <v>1458220.548</v>
      </c>
      <c r="N41" s="27">
        <f t="shared" si="25"/>
        <v>1731017.674</v>
      </c>
      <c r="O41" s="27">
        <f t="shared" si="25"/>
        <v>2051975.652</v>
      </c>
      <c r="P41" s="27">
        <f t="shared" si="25"/>
        <v>2430253.003</v>
      </c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ht="15.75" customHeight="1">
      <c r="A42" s="1" t="s">
        <v>32</v>
      </c>
      <c r="B42" s="22">
        <v>1510.0</v>
      </c>
      <c r="C42" s="22">
        <v>1510.0</v>
      </c>
      <c r="D42" s="22">
        <v>1510.0</v>
      </c>
      <c r="E42" s="22">
        <v>1510.0</v>
      </c>
      <c r="F42" s="22">
        <v>1510.0</v>
      </c>
      <c r="G42" s="22">
        <v>1510.0</v>
      </c>
      <c r="H42" s="22">
        <v>1510.0</v>
      </c>
      <c r="I42" s="22">
        <v>1572.0</v>
      </c>
      <c r="J42" s="22">
        <v>1572.0</v>
      </c>
      <c r="K42" s="21">
        <f t="shared" ref="K42:P42" si="26">J42</f>
        <v>1572</v>
      </c>
      <c r="L42" s="21">
        <f t="shared" si="26"/>
        <v>1572</v>
      </c>
      <c r="M42" s="21">
        <f t="shared" si="26"/>
        <v>1572</v>
      </c>
      <c r="N42" s="21">
        <f t="shared" si="26"/>
        <v>1572</v>
      </c>
      <c r="O42" s="21">
        <f t="shared" si="26"/>
        <v>1572</v>
      </c>
      <c r="P42" s="21">
        <f t="shared" si="26"/>
        <v>1572</v>
      </c>
    </row>
    <row r="43" ht="15.75" customHeight="1">
      <c r="A43" s="1" t="s">
        <v>33</v>
      </c>
      <c r="B43" s="22">
        <v>304650.0</v>
      </c>
      <c r="C43" s="22">
        <v>369241.0</v>
      </c>
      <c r="D43" s="22">
        <v>424084.0</v>
      </c>
      <c r="E43" s="22">
        <v>469411.0</v>
      </c>
      <c r="F43" s="22">
        <v>492620.0</v>
      </c>
      <c r="G43" s="22">
        <v>523496.0</v>
      </c>
      <c r="H43" s="22">
        <v>551825.0</v>
      </c>
      <c r="I43" s="22">
        <v>744430.0</v>
      </c>
      <c r="J43" s="22">
        <v>854788.0</v>
      </c>
      <c r="K43" s="19">
        <f t="shared" ref="K43:P43" si="27">J43+K36</f>
        <v>1025478.011</v>
      </c>
      <c r="L43" s="19">
        <f t="shared" si="27"/>
        <v>1224209.129</v>
      </c>
      <c r="M43" s="19">
        <f t="shared" si="27"/>
        <v>1456648.548</v>
      </c>
      <c r="N43" s="19">
        <f t="shared" si="27"/>
        <v>1729445.674</v>
      </c>
      <c r="O43" s="19">
        <f t="shared" si="27"/>
        <v>2050403.652</v>
      </c>
      <c r="P43" s="19">
        <f t="shared" si="27"/>
        <v>2428681.003</v>
      </c>
    </row>
    <row r="44" ht="15.75" customHeight="1">
      <c r="A44" s="1" t="s">
        <v>34</v>
      </c>
      <c r="B44" s="22">
        <v>0.0</v>
      </c>
      <c r="C44" s="22">
        <v>0.0</v>
      </c>
      <c r="D44" s="22">
        <v>0.0</v>
      </c>
      <c r="E44" s="22">
        <v>0.0</v>
      </c>
      <c r="F44" s="22">
        <v>0.0</v>
      </c>
      <c r="G44" s="22">
        <v>0.0</v>
      </c>
      <c r="H44" s="22">
        <v>0.0</v>
      </c>
      <c r="I44" s="22">
        <v>0.0</v>
      </c>
      <c r="J44" s="22">
        <v>0.0</v>
      </c>
      <c r="K44" s="21">
        <f t="shared" ref="K44:P44" si="28">J44</f>
        <v>0</v>
      </c>
      <c r="L44" s="21">
        <f t="shared" si="28"/>
        <v>0</v>
      </c>
      <c r="M44" s="21">
        <f t="shared" si="28"/>
        <v>0</v>
      </c>
      <c r="N44" s="21">
        <f t="shared" si="28"/>
        <v>0</v>
      </c>
      <c r="O44" s="21">
        <f t="shared" si="28"/>
        <v>0</v>
      </c>
      <c r="P44" s="21">
        <f t="shared" si="28"/>
        <v>0</v>
      </c>
    </row>
    <row r="45" ht="15.75" customHeight="1">
      <c r="A45" s="7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ht="15.75" customHeight="1">
      <c r="A46" s="7" t="s">
        <v>35</v>
      </c>
      <c r="B46" s="22">
        <v>144.0</v>
      </c>
      <c r="C46" s="22">
        <v>154.0</v>
      </c>
      <c r="D46" s="22">
        <v>161.0</v>
      </c>
      <c r="E46" s="22">
        <v>176.0</v>
      </c>
      <c r="F46" s="22">
        <v>192.0</v>
      </c>
      <c r="G46" s="22">
        <v>0.0</v>
      </c>
      <c r="H46" s="22">
        <v>0.0</v>
      </c>
      <c r="I46" s="22">
        <v>0.0</v>
      </c>
      <c r="J46" s="22">
        <v>0.0</v>
      </c>
      <c r="K46" s="21">
        <f t="shared" ref="K46:P46" si="29">J46</f>
        <v>0</v>
      </c>
      <c r="L46" s="21">
        <f t="shared" si="29"/>
        <v>0</v>
      </c>
      <c r="M46" s="21">
        <f t="shared" si="29"/>
        <v>0</v>
      </c>
      <c r="N46" s="21">
        <f t="shared" si="29"/>
        <v>0</v>
      </c>
      <c r="O46" s="21">
        <f t="shared" si="29"/>
        <v>0</v>
      </c>
      <c r="P46" s="21">
        <f t="shared" si="29"/>
        <v>0</v>
      </c>
    </row>
    <row r="47" ht="15.75" customHeight="1">
      <c r="A47" s="7" t="s">
        <v>36</v>
      </c>
      <c r="B47" s="22">
        <v>0.0</v>
      </c>
      <c r="C47" s="22">
        <v>0.0</v>
      </c>
      <c r="D47" s="22">
        <v>0.0</v>
      </c>
      <c r="E47" s="22">
        <v>0.0</v>
      </c>
      <c r="F47" s="22">
        <v>0.0</v>
      </c>
      <c r="G47" s="22">
        <v>0.0</v>
      </c>
      <c r="H47" s="22">
        <v>0.0</v>
      </c>
      <c r="I47" s="22">
        <v>0.0</v>
      </c>
      <c r="J47" s="22">
        <v>0.0</v>
      </c>
      <c r="K47" s="21">
        <f t="shared" ref="K47:P47" si="30">J47</f>
        <v>0</v>
      </c>
      <c r="L47" s="21">
        <f t="shared" si="30"/>
        <v>0</v>
      </c>
      <c r="M47" s="21">
        <f t="shared" si="30"/>
        <v>0</v>
      </c>
      <c r="N47" s="21">
        <f t="shared" si="30"/>
        <v>0</v>
      </c>
      <c r="O47" s="21">
        <f t="shared" si="30"/>
        <v>0</v>
      </c>
      <c r="P47" s="21">
        <f t="shared" si="30"/>
        <v>0</v>
      </c>
    </row>
    <row r="48" ht="15.75" customHeight="1">
      <c r="A48" s="7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</row>
    <row r="49" ht="15.75" customHeight="1">
      <c r="A49" s="4" t="s">
        <v>37</v>
      </c>
      <c r="B49" s="27">
        <f t="shared" ref="B49:P49" si="31">SUM(B50:B54)</f>
        <v>10510</v>
      </c>
      <c r="C49" s="27">
        <f t="shared" si="31"/>
        <v>16332</v>
      </c>
      <c r="D49" s="27">
        <f t="shared" si="31"/>
        <v>22244</v>
      </c>
      <c r="E49" s="27">
        <f t="shared" si="31"/>
        <v>26985</v>
      </c>
      <c r="F49" s="27">
        <f t="shared" si="31"/>
        <v>28901</v>
      </c>
      <c r="G49" s="27">
        <f t="shared" si="31"/>
        <v>26616</v>
      </c>
      <c r="H49" s="27">
        <f t="shared" si="31"/>
        <v>22985</v>
      </c>
      <c r="I49" s="27">
        <f t="shared" si="31"/>
        <v>30185</v>
      </c>
      <c r="J49" s="27">
        <f t="shared" si="31"/>
        <v>37630</v>
      </c>
      <c r="K49" s="27">
        <f t="shared" si="31"/>
        <v>37630</v>
      </c>
      <c r="L49" s="27">
        <f t="shared" si="31"/>
        <v>37630</v>
      </c>
      <c r="M49" s="27">
        <f t="shared" si="31"/>
        <v>37630</v>
      </c>
      <c r="N49" s="27">
        <f t="shared" si="31"/>
        <v>37630</v>
      </c>
      <c r="O49" s="27">
        <f t="shared" si="31"/>
        <v>37630</v>
      </c>
      <c r="P49" s="27">
        <f t="shared" si="31"/>
        <v>37630</v>
      </c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ht="15.75" customHeight="1">
      <c r="A50" s="1" t="s">
        <v>38</v>
      </c>
      <c r="B50" s="22">
        <v>0.0</v>
      </c>
      <c r="C50" s="22">
        <v>0.0</v>
      </c>
      <c r="D50" s="22">
        <v>100.0</v>
      </c>
      <c r="E50" s="22">
        <v>80.0</v>
      </c>
      <c r="F50" s="22">
        <v>652.0</v>
      </c>
      <c r="G50" s="22">
        <v>420.0</v>
      </c>
      <c r="H50" s="22">
        <v>329.0</v>
      </c>
      <c r="I50" s="22">
        <v>250.0</v>
      </c>
      <c r="J50" s="22">
        <v>677.0</v>
      </c>
      <c r="K50" s="21">
        <f t="shared" ref="K50:P50" si="32">J50</f>
        <v>677</v>
      </c>
      <c r="L50" s="21">
        <f t="shared" si="32"/>
        <v>677</v>
      </c>
      <c r="M50" s="21">
        <f t="shared" si="32"/>
        <v>677</v>
      </c>
      <c r="N50" s="21">
        <f t="shared" si="32"/>
        <v>677</v>
      </c>
      <c r="O50" s="21">
        <f t="shared" si="32"/>
        <v>677</v>
      </c>
      <c r="P50" s="21">
        <f t="shared" si="32"/>
        <v>677</v>
      </c>
    </row>
    <row r="51" ht="15.75" customHeight="1">
      <c r="A51" s="1" t="s">
        <v>39</v>
      </c>
      <c r="B51" s="22">
        <v>8075.0</v>
      </c>
      <c r="C51" s="22">
        <v>11055.0</v>
      </c>
      <c r="D51" s="22">
        <v>15859.0</v>
      </c>
      <c r="E51" s="22">
        <v>20371.0</v>
      </c>
      <c r="F51" s="22">
        <v>21158.0</v>
      </c>
      <c r="G51" s="22">
        <v>21295.0</v>
      </c>
      <c r="H51" s="22">
        <v>21812.0</v>
      </c>
      <c r="I51" s="22">
        <v>25850.0</v>
      </c>
      <c r="J51" s="22">
        <v>31617.0</v>
      </c>
      <c r="K51" s="21">
        <f t="shared" ref="K51:P51" si="33">J51</f>
        <v>31617</v>
      </c>
      <c r="L51" s="21">
        <f t="shared" si="33"/>
        <v>31617</v>
      </c>
      <c r="M51" s="21">
        <f t="shared" si="33"/>
        <v>31617</v>
      </c>
      <c r="N51" s="21">
        <f t="shared" si="33"/>
        <v>31617</v>
      </c>
      <c r="O51" s="21">
        <f t="shared" si="33"/>
        <v>31617</v>
      </c>
      <c r="P51" s="21">
        <f t="shared" si="33"/>
        <v>31617</v>
      </c>
    </row>
    <row r="52" ht="15.75" customHeight="1">
      <c r="A52" s="1" t="s">
        <v>40</v>
      </c>
      <c r="B52" s="22">
        <v>148.0</v>
      </c>
      <c r="C52" s="22">
        <v>219.0</v>
      </c>
      <c r="D52" s="22">
        <v>265.0</v>
      </c>
      <c r="E52" s="22">
        <v>395.0</v>
      </c>
      <c r="F52" s="22">
        <v>516.0</v>
      </c>
      <c r="G52" s="22">
        <v>447.0</v>
      </c>
      <c r="H52" s="22">
        <v>844.0</v>
      </c>
      <c r="I52" s="22">
        <v>875.0</v>
      </c>
      <c r="J52" s="22">
        <v>1448.0</v>
      </c>
      <c r="K52" s="21">
        <f t="shared" ref="K52:P52" si="34">J52</f>
        <v>1448</v>
      </c>
      <c r="L52" s="21">
        <f t="shared" si="34"/>
        <v>1448</v>
      </c>
      <c r="M52" s="21">
        <f t="shared" si="34"/>
        <v>1448</v>
      </c>
      <c r="N52" s="21">
        <f t="shared" si="34"/>
        <v>1448</v>
      </c>
      <c r="O52" s="21">
        <f t="shared" si="34"/>
        <v>1448</v>
      </c>
      <c r="P52" s="21">
        <f t="shared" si="34"/>
        <v>1448</v>
      </c>
    </row>
    <row r="53" ht="15.75" customHeight="1">
      <c r="A53" s="1" t="s">
        <v>41</v>
      </c>
      <c r="B53" s="22">
        <v>2287.0</v>
      </c>
      <c r="C53" s="22">
        <v>5058.0</v>
      </c>
      <c r="D53" s="22">
        <v>6020.0</v>
      </c>
      <c r="E53" s="22">
        <v>6139.0</v>
      </c>
      <c r="F53" s="22">
        <v>6575.0</v>
      </c>
      <c r="G53" s="22">
        <v>4454.0</v>
      </c>
      <c r="H53" s="22">
        <v>0.0</v>
      </c>
      <c r="I53" s="22">
        <v>3210.0</v>
      </c>
      <c r="J53" s="22">
        <v>3888.0</v>
      </c>
      <c r="K53" s="21">
        <f t="shared" ref="K53:P53" si="35">J53</f>
        <v>3888</v>
      </c>
      <c r="L53" s="21">
        <f t="shared" si="35"/>
        <v>3888</v>
      </c>
      <c r="M53" s="21">
        <f t="shared" si="35"/>
        <v>3888</v>
      </c>
      <c r="N53" s="21">
        <f t="shared" si="35"/>
        <v>3888</v>
      </c>
      <c r="O53" s="21">
        <f t="shared" si="35"/>
        <v>3888</v>
      </c>
      <c r="P53" s="21">
        <f t="shared" si="35"/>
        <v>3888</v>
      </c>
    </row>
    <row r="54" ht="15.75" customHeight="1">
      <c r="A54" s="7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</row>
    <row r="55" ht="15.75" customHeight="1">
      <c r="A55" s="18" t="s">
        <v>42</v>
      </c>
      <c r="B55" s="27">
        <f t="shared" ref="B55:P55" si="36">SUM(B56:B62)</f>
        <v>110441</v>
      </c>
      <c r="C55" s="27">
        <f t="shared" si="36"/>
        <v>132368</v>
      </c>
      <c r="D55" s="27">
        <f t="shared" si="36"/>
        <v>154485</v>
      </c>
      <c r="E55" s="27">
        <f t="shared" si="36"/>
        <v>141605</v>
      </c>
      <c r="F55" s="27">
        <f t="shared" si="36"/>
        <v>113054</v>
      </c>
      <c r="G55" s="27">
        <f t="shared" si="36"/>
        <v>162139</v>
      </c>
      <c r="H55" s="27">
        <f t="shared" si="36"/>
        <v>170235</v>
      </c>
      <c r="I55" s="27">
        <f t="shared" si="36"/>
        <v>227667</v>
      </c>
      <c r="J55" s="27">
        <f t="shared" si="36"/>
        <v>259518</v>
      </c>
      <c r="K55" s="27">
        <f t="shared" si="36"/>
        <v>333413.6646</v>
      </c>
      <c r="L55" s="27">
        <f t="shared" si="36"/>
        <v>389551.2984</v>
      </c>
      <c r="M55" s="27">
        <f t="shared" si="36"/>
        <v>455305.9924</v>
      </c>
      <c r="N55" s="27">
        <f t="shared" si="36"/>
        <v>532344.524</v>
      </c>
      <c r="O55" s="27">
        <f t="shared" si="36"/>
        <v>622624.7559</v>
      </c>
      <c r="P55" s="27">
        <f t="shared" si="36"/>
        <v>728446.7217</v>
      </c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ht="15.75" customHeight="1">
      <c r="A56" s="1" t="s">
        <v>43</v>
      </c>
      <c r="B56" s="22">
        <v>7956.0</v>
      </c>
      <c r="C56" s="22">
        <v>8036.0</v>
      </c>
      <c r="D56" s="22">
        <v>8541.0</v>
      </c>
      <c r="E56" s="22">
        <v>6729.0</v>
      </c>
      <c r="F56" s="22">
        <v>6962.0</v>
      </c>
      <c r="G56" s="22">
        <v>8547.0</v>
      </c>
      <c r="H56" s="22">
        <v>11113.0</v>
      </c>
      <c r="I56" s="22">
        <v>11584.0</v>
      </c>
      <c r="J56" s="22">
        <v>12030.0</v>
      </c>
      <c r="K56" s="19">
        <f t="shared" ref="K56:P56" si="37">K163</f>
        <v>17456.21281</v>
      </c>
      <c r="L56" s="19">
        <f t="shared" si="37"/>
        <v>20395.35594</v>
      </c>
      <c r="M56" s="19">
        <f t="shared" si="37"/>
        <v>23838.01008</v>
      </c>
      <c r="N56" s="19">
        <f t="shared" si="37"/>
        <v>27871.44105</v>
      </c>
      <c r="O56" s="19">
        <f t="shared" si="37"/>
        <v>32598.15476</v>
      </c>
      <c r="P56" s="19">
        <f t="shared" si="37"/>
        <v>38138.57181</v>
      </c>
    </row>
    <row r="57" ht="15.75" customHeight="1">
      <c r="A57" s="1" t="s">
        <v>44</v>
      </c>
      <c r="B57" s="22">
        <v>774.0</v>
      </c>
      <c r="C57" s="22">
        <v>4838.0</v>
      </c>
      <c r="D57" s="22">
        <v>1108.0</v>
      </c>
      <c r="E57" s="22">
        <v>1496.0</v>
      </c>
      <c r="F57" s="22">
        <v>1063.0</v>
      </c>
      <c r="G57" s="22">
        <v>4962.0</v>
      </c>
      <c r="H57" s="22">
        <v>3819.0</v>
      </c>
      <c r="I57" s="22">
        <v>12226.0</v>
      </c>
      <c r="J57" s="22">
        <v>509.0</v>
      </c>
      <c r="K57" s="19">
        <f t="shared" ref="K57:P57" si="38">K164</f>
        <v>1745.621281</v>
      </c>
      <c r="L57" s="19">
        <f t="shared" si="38"/>
        <v>2039.535594</v>
      </c>
      <c r="M57" s="19">
        <f t="shared" si="38"/>
        <v>2383.801008</v>
      </c>
      <c r="N57" s="19">
        <f t="shared" si="38"/>
        <v>2787.144105</v>
      </c>
      <c r="O57" s="19">
        <f t="shared" si="38"/>
        <v>3259.815476</v>
      </c>
      <c r="P57" s="19">
        <f t="shared" si="38"/>
        <v>3813.857181</v>
      </c>
    </row>
    <row r="58" ht="15.75" customHeight="1">
      <c r="A58" s="29" t="s">
        <v>110</v>
      </c>
      <c r="B58" s="22">
        <v>74089.0</v>
      </c>
      <c r="C58" s="22">
        <v>83692.0</v>
      </c>
      <c r="D58" s="22">
        <v>104993.0</v>
      </c>
      <c r="E58" s="22">
        <v>96377.0</v>
      </c>
      <c r="F58" s="22">
        <v>75091.0</v>
      </c>
      <c r="G58" s="22">
        <v>101681.0</v>
      </c>
      <c r="H58" s="22">
        <v>97732.0</v>
      </c>
      <c r="I58" s="22">
        <v>1947.0</v>
      </c>
      <c r="J58" s="22">
        <v>2070.0</v>
      </c>
      <c r="K58" s="19">
        <f t="shared" ref="K58:P58" si="39">K165</f>
        <v>209474.5537</v>
      </c>
      <c r="L58" s="19">
        <f t="shared" si="39"/>
        <v>244744.2712</v>
      </c>
      <c r="M58" s="19">
        <f t="shared" si="39"/>
        <v>286056.1209</v>
      </c>
      <c r="N58" s="19">
        <f t="shared" si="39"/>
        <v>334457.2926</v>
      </c>
      <c r="O58" s="19">
        <f t="shared" si="39"/>
        <v>391177.8571</v>
      </c>
      <c r="P58" s="19">
        <f t="shared" si="39"/>
        <v>457662.8618</v>
      </c>
    </row>
    <row r="59" ht="15.75" customHeight="1">
      <c r="A59" s="1" t="s">
        <v>45</v>
      </c>
      <c r="B59" s="22">
        <v>0.0</v>
      </c>
      <c r="C59" s="22">
        <v>0.0</v>
      </c>
      <c r="D59" s="22">
        <v>0.0</v>
      </c>
      <c r="E59" s="22">
        <v>0.0</v>
      </c>
      <c r="F59" s="22">
        <v>0.0</v>
      </c>
      <c r="G59" s="22">
        <v>0.0</v>
      </c>
      <c r="H59" s="22">
        <v>0.0</v>
      </c>
      <c r="I59" s="22">
        <v>134808.0</v>
      </c>
      <c r="J59" s="22">
        <v>167814.0</v>
      </c>
      <c r="K59" s="114"/>
      <c r="L59" s="114"/>
      <c r="M59" s="114"/>
      <c r="N59" s="114"/>
      <c r="O59" s="114"/>
      <c r="P59" s="114"/>
    </row>
    <row r="60" ht="15.75" customHeight="1">
      <c r="A60" s="1" t="s">
        <v>46</v>
      </c>
      <c r="B60" s="22">
        <v>11650.0</v>
      </c>
      <c r="C60" s="22">
        <v>18278.0</v>
      </c>
      <c r="D60" s="22">
        <v>20896.0</v>
      </c>
      <c r="E60" s="22">
        <v>16329.0</v>
      </c>
      <c r="F60" s="22">
        <v>14091.0</v>
      </c>
      <c r="G60" s="22">
        <v>26801.0</v>
      </c>
      <c r="H60" s="22">
        <v>28686.0</v>
      </c>
      <c r="I60" s="22">
        <v>33372.0</v>
      </c>
      <c r="J60" s="22">
        <v>41739.0</v>
      </c>
      <c r="K60" s="19">
        <f t="shared" ref="K60:P60" si="40">K166</f>
        <v>52368.63842</v>
      </c>
      <c r="L60" s="19">
        <f t="shared" si="40"/>
        <v>61186.06781</v>
      </c>
      <c r="M60" s="19">
        <f t="shared" si="40"/>
        <v>71514.03023</v>
      </c>
      <c r="N60" s="19">
        <f t="shared" si="40"/>
        <v>83614.32315</v>
      </c>
      <c r="O60" s="19">
        <f t="shared" si="40"/>
        <v>97794.46428</v>
      </c>
      <c r="P60" s="19">
        <f t="shared" si="40"/>
        <v>114415.7154</v>
      </c>
    </row>
    <row r="61" ht="15.75" customHeight="1">
      <c r="A61" s="1" t="s">
        <v>47</v>
      </c>
      <c r="B61" s="22">
        <v>3994.0</v>
      </c>
      <c r="C61" s="22">
        <v>4496.0</v>
      </c>
      <c r="D61" s="22">
        <v>5609.0</v>
      </c>
      <c r="E61" s="22">
        <v>6254.0</v>
      </c>
      <c r="F61" s="22">
        <v>6807.0</v>
      </c>
      <c r="G61" s="22">
        <v>7428.0</v>
      </c>
      <c r="H61" s="22">
        <v>8613.0</v>
      </c>
      <c r="I61" s="22">
        <v>10830.0</v>
      </c>
      <c r="J61" s="22">
        <v>13119.0</v>
      </c>
      <c r="K61" s="19">
        <f t="shared" ref="K61:P61" si="41">K167</f>
        <v>17456.21281</v>
      </c>
      <c r="L61" s="19">
        <f t="shared" si="41"/>
        <v>20395.35594</v>
      </c>
      <c r="M61" s="19">
        <f t="shared" si="41"/>
        <v>23838.01008</v>
      </c>
      <c r="N61" s="19">
        <f t="shared" si="41"/>
        <v>27871.44105</v>
      </c>
      <c r="O61" s="19">
        <f t="shared" si="41"/>
        <v>32598.15476</v>
      </c>
      <c r="P61" s="19">
        <f t="shared" si="41"/>
        <v>38138.57181</v>
      </c>
    </row>
    <row r="62" ht="15.75" customHeight="1">
      <c r="A62" s="1" t="s">
        <v>48</v>
      </c>
      <c r="B62" s="22">
        <v>11978.0</v>
      </c>
      <c r="C62" s="22">
        <v>13028.0</v>
      </c>
      <c r="D62" s="22">
        <v>13338.0</v>
      </c>
      <c r="E62" s="22">
        <v>14420.0</v>
      </c>
      <c r="F62" s="22">
        <v>9040.0</v>
      </c>
      <c r="G62" s="22">
        <v>12720.0</v>
      </c>
      <c r="H62" s="22">
        <v>20272.0</v>
      </c>
      <c r="I62" s="22">
        <v>22900.0</v>
      </c>
      <c r="J62" s="22">
        <v>22237.0</v>
      </c>
      <c r="K62" s="19">
        <f t="shared" ref="K62:P62" si="42">K168</f>
        <v>34912.42561</v>
      </c>
      <c r="L62" s="19">
        <f t="shared" si="42"/>
        <v>40790.71187</v>
      </c>
      <c r="M62" s="19">
        <f t="shared" si="42"/>
        <v>47676.02015</v>
      </c>
      <c r="N62" s="19">
        <f t="shared" si="42"/>
        <v>55742.8821</v>
      </c>
      <c r="O62" s="19">
        <f t="shared" si="42"/>
        <v>65196.30952</v>
      </c>
      <c r="P62" s="19">
        <f t="shared" si="42"/>
        <v>76277.14363</v>
      </c>
    </row>
    <row r="63" ht="15.75" customHeight="1">
      <c r="A63" s="8" t="s">
        <v>49</v>
      </c>
      <c r="B63" s="30">
        <f t="shared" ref="B63:P63" si="43">sum(B41,B49,B55)</f>
        <v>427255</v>
      </c>
      <c r="C63" s="30">
        <f t="shared" si="43"/>
        <v>519605</v>
      </c>
      <c r="D63" s="30">
        <f t="shared" si="43"/>
        <v>602484</v>
      </c>
      <c r="E63" s="30">
        <f t="shared" si="43"/>
        <v>639687</v>
      </c>
      <c r="F63" s="30">
        <f t="shared" si="43"/>
        <v>636277</v>
      </c>
      <c r="G63" s="30">
        <f t="shared" si="43"/>
        <v>713761</v>
      </c>
      <c r="H63" s="30">
        <f t="shared" si="43"/>
        <v>746555</v>
      </c>
      <c r="I63" s="30">
        <f t="shared" si="43"/>
        <v>1003854</v>
      </c>
      <c r="J63" s="30">
        <f t="shared" si="43"/>
        <v>1153508</v>
      </c>
      <c r="K63" s="30">
        <f t="shared" si="43"/>
        <v>1398093.676</v>
      </c>
      <c r="L63" s="30">
        <f t="shared" si="43"/>
        <v>1652962.427</v>
      </c>
      <c r="M63" s="30">
        <f t="shared" si="43"/>
        <v>1951156.541</v>
      </c>
      <c r="N63" s="30">
        <f t="shared" si="43"/>
        <v>2300992.198</v>
      </c>
      <c r="O63" s="30">
        <f t="shared" si="43"/>
        <v>2712230.408</v>
      </c>
      <c r="P63" s="30">
        <f t="shared" si="43"/>
        <v>3196329.724</v>
      </c>
    </row>
    <row r="64" ht="15.75" customHeight="1">
      <c r="A64" s="7"/>
    </row>
    <row r="65" ht="15.75" customHeight="1">
      <c r="A65" s="7"/>
    </row>
    <row r="66" ht="15.75" customHeight="1">
      <c r="A66" s="4" t="s">
        <v>50</v>
      </c>
    </row>
    <row r="67" ht="15.75" customHeight="1">
      <c r="A67" s="7"/>
    </row>
    <row r="68" ht="15.75" customHeight="1">
      <c r="A68" s="18" t="s">
        <v>51</v>
      </c>
      <c r="B68" s="27">
        <f t="shared" ref="B68:P68" si="44">SUM(B69:B80)</f>
        <v>347744</v>
      </c>
      <c r="C68" s="27">
        <f t="shared" si="44"/>
        <v>431625</v>
      </c>
      <c r="D68" s="27">
        <f t="shared" si="44"/>
        <v>523184</v>
      </c>
      <c r="E68" s="27">
        <f t="shared" si="44"/>
        <v>515960</v>
      </c>
      <c r="F68" s="27">
        <f t="shared" si="44"/>
        <v>551871</v>
      </c>
      <c r="G68" s="27">
        <f t="shared" si="44"/>
        <v>532791</v>
      </c>
      <c r="H68" s="27">
        <f t="shared" si="44"/>
        <v>578621</v>
      </c>
      <c r="I68" s="27">
        <f t="shared" si="44"/>
        <v>847162</v>
      </c>
      <c r="J68" s="27">
        <f t="shared" si="44"/>
        <v>927170</v>
      </c>
      <c r="K68" s="27">
        <f t="shared" si="44"/>
        <v>966528</v>
      </c>
      <c r="L68" s="27">
        <f t="shared" si="44"/>
        <v>1007328</v>
      </c>
      <c r="M68" s="27">
        <f t="shared" si="44"/>
        <v>1048128</v>
      </c>
      <c r="N68" s="27">
        <f t="shared" si="44"/>
        <v>1088928</v>
      </c>
      <c r="O68" s="27">
        <f t="shared" si="44"/>
        <v>1129728</v>
      </c>
      <c r="P68" s="27">
        <f t="shared" si="44"/>
        <v>1170528</v>
      </c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ht="15.75" customHeight="1">
      <c r="A69" s="28" t="s">
        <v>101</v>
      </c>
      <c r="B69" s="22">
        <v>121827.0</v>
      </c>
      <c r="C69" s="22">
        <v>129377.0</v>
      </c>
      <c r="D69" s="22">
        <v>130771.0</v>
      </c>
      <c r="E69" s="22">
        <v>149862.0</v>
      </c>
      <c r="F69" s="22">
        <v>147905.0</v>
      </c>
      <c r="G69" s="22">
        <v>141785.0</v>
      </c>
      <c r="H69" s="22">
        <v>128261.0</v>
      </c>
      <c r="I69" s="22">
        <v>268028.0</v>
      </c>
      <c r="J69" s="22">
        <v>267982.0</v>
      </c>
      <c r="K69" s="19">
        <f t="shared" ref="K69:P69" si="45">SUM(J69:J73,K201)-K203</f>
        <v>395354</v>
      </c>
      <c r="L69" s="19">
        <f t="shared" si="45"/>
        <v>436154</v>
      </c>
      <c r="M69" s="19">
        <f t="shared" si="45"/>
        <v>476954</v>
      </c>
      <c r="N69" s="19">
        <f t="shared" si="45"/>
        <v>517754</v>
      </c>
      <c r="O69" s="19">
        <f t="shared" si="45"/>
        <v>558554</v>
      </c>
      <c r="P69" s="19">
        <f t="shared" si="45"/>
        <v>599354</v>
      </c>
    </row>
    <row r="70" ht="15.75" customHeight="1">
      <c r="A70" s="16" t="s">
        <v>53</v>
      </c>
      <c r="B70" s="22">
        <v>3469.0</v>
      </c>
      <c r="C70" s="22">
        <v>3730.0</v>
      </c>
      <c r="D70" s="22">
        <v>3117.0</v>
      </c>
      <c r="E70" s="22">
        <v>4511.0</v>
      </c>
      <c r="F70" s="22">
        <v>4067.0</v>
      </c>
      <c r="G70" s="22">
        <v>2242.0</v>
      </c>
      <c r="H70" s="22">
        <v>3499.0</v>
      </c>
      <c r="I70" s="22">
        <v>5479.0</v>
      </c>
      <c r="J70" s="22">
        <v>4537.0</v>
      </c>
      <c r="K70" s="115"/>
      <c r="L70" s="115"/>
      <c r="M70" s="115"/>
      <c r="N70" s="115"/>
      <c r="O70" s="115"/>
      <c r="P70" s="115"/>
    </row>
    <row r="71" ht="15.75" customHeight="1">
      <c r="A71" s="16" t="s">
        <v>54</v>
      </c>
      <c r="B71" s="22">
        <v>10069.0</v>
      </c>
      <c r="C71" s="22">
        <v>12523.0</v>
      </c>
      <c r="D71" s="22">
        <v>21321.0</v>
      </c>
      <c r="E71" s="22">
        <v>16069.0</v>
      </c>
      <c r="F71" s="22">
        <v>13443.0</v>
      </c>
      <c r="G71" s="22">
        <v>11993.0</v>
      </c>
      <c r="H71" s="22">
        <v>26462.0</v>
      </c>
      <c r="I71" s="22">
        <v>40541.0</v>
      </c>
      <c r="J71" s="22">
        <v>75043.0</v>
      </c>
      <c r="K71" s="115"/>
      <c r="L71" s="115"/>
      <c r="M71" s="115"/>
      <c r="N71" s="115"/>
      <c r="O71" s="115"/>
      <c r="P71" s="115"/>
    </row>
    <row r="72" ht="15.75" customHeight="1">
      <c r="A72" s="16" t="s">
        <v>55</v>
      </c>
      <c r="B72" s="22">
        <v>0.0</v>
      </c>
      <c r="C72" s="22">
        <v>0.0</v>
      </c>
      <c r="D72" s="22">
        <v>0.0</v>
      </c>
      <c r="E72" s="22">
        <v>0.0</v>
      </c>
      <c r="F72" s="22">
        <v>0.0</v>
      </c>
      <c r="G72" s="22">
        <v>2975.0</v>
      </c>
      <c r="H72" s="22">
        <v>2903.0</v>
      </c>
      <c r="I72" s="15">
        <v>889.0</v>
      </c>
      <c r="J72" s="22">
        <v>2305.0</v>
      </c>
      <c r="K72" s="115"/>
      <c r="L72" s="115"/>
      <c r="M72" s="115"/>
      <c r="N72" s="115"/>
      <c r="O72" s="115"/>
      <c r="P72" s="115"/>
    </row>
    <row r="73" ht="15.75" customHeight="1">
      <c r="A73" s="29" t="s">
        <v>102</v>
      </c>
      <c r="B73" s="22">
        <v>0.0</v>
      </c>
      <c r="C73" s="22">
        <v>0.0</v>
      </c>
      <c r="D73" s="22">
        <v>0.0</v>
      </c>
      <c r="E73" s="22">
        <v>0.0</v>
      </c>
      <c r="F73" s="22">
        <v>6181.0</v>
      </c>
      <c r="G73" s="22">
        <v>5860.0</v>
      </c>
      <c r="H73" s="22">
        <v>5712.0</v>
      </c>
      <c r="I73" s="22">
        <v>5907.0</v>
      </c>
      <c r="J73" s="22">
        <v>6129.0</v>
      </c>
      <c r="K73" s="115"/>
      <c r="L73" s="115"/>
      <c r="M73" s="115"/>
      <c r="N73" s="115"/>
      <c r="O73" s="115"/>
      <c r="P73" s="115"/>
    </row>
    <row r="74" ht="15.75" customHeight="1">
      <c r="A74" s="1" t="s">
        <v>56</v>
      </c>
      <c r="B74" s="22">
        <v>195345.0</v>
      </c>
      <c r="C74" s="22">
        <v>269718.0</v>
      </c>
      <c r="D74" s="22">
        <v>349058.0</v>
      </c>
      <c r="E74" s="22">
        <v>324581.0</v>
      </c>
      <c r="F74" s="22">
        <v>362692.0</v>
      </c>
      <c r="G74" s="22">
        <v>345291.0</v>
      </c>
      <c r="H74" s="22">
        <v>379348.0</v>
      </c>
      <c r="I74" s="22">
        <v>491843.0</v>
      </c>
      <c r="J74" s="22">
        <v>533838.0</v>
      </c>
      <c r="K74" s="21">
        <f t="shared" ref="K74:P74" si="46">J74</f>
        <v>533838</v>
      </c>
      <c r="L74" s="21">
        <f t="shared" si="46"/>
        <v>533838</v>
      </c>
      <c r="M74" s="21">
        <f t="shared" si="46"/>
        <v>533838</v>
      </c>
      <c r="N74" s="21">
        <f t="shared" si="46"/>
        <v>533838</v>
      </c>
      <c r="O74" s="21">
        <f t="shared" si="46"/>
        <v>533838</v>
      </c>
      <c r="P74" s="21">
        <f t="shared" si="46"/>
        <v>533838</v>
      </c>
    </row>
    <row r="75" ht="15.75" customHeight="1">
      <c r="A75" s="1" t="s">
        <v>57</v>
      </c>
      <c r="B75" s="22">
        <v>234.0</v>
      </c>
      <c r="C75" s="22">
        <v>241.0</v>
      </c>
      <c r="D75" s="22">
        <v>328.0</v>
      </c>
      <c r="E75" s="22">
        <v>344.0</v>
      </c>
      <c r="F75" s="22">
        <v>365.0</v>
      </c>
      <c r="G75" s="22">
        <v>369.0</v>
      </c>
      <c r="H75" s="22">
        <v>375.0</v>
      </c>
      <c r="I75" s="22">
        <v>2398.0</v>
      </c>
      <c r="J75" s="22">
        <v>2981.0</v>
      </c>
      <c r="K75" s="21">
        <f t="shared" ref="K75:P75" si="47">J75</f>
        <v>2981</v>
      </c>
      <c r="L75" s="21">
        <f t="shared" si="47"/>
        <v>2981</v>
      </c>
      <c r="M75" s="21">
        <f t="shared" si="47"/>
        <v>2981</v>
      </c>
      <c r="N75" s="21">
        <f t="shared" si="47"/>
        <v>2981</v>
      </c>
      <c r="O75" s="21">
        <f t="shared" si="47"/>
        <v>2981</v>
      </c>
      <c r="P75" s="21">
        <f t="shared" si="47"/>
        <v>2981</v>
      </c>
    </row>
    <row r="76" ht="15.75" customHeight="1">
      <c r="A76" s="1" t="s">
        <v>58</v>
      </c>
      <c r="B76" s="22">
        <v>4.0</v>
      </c>
      <c r="C76" s="22">
        <v>3.0</v>
      </c>
      <c r="D76" s="22">
        <v>2.0</v>
      </c>
      <c r="E76" s="22">
        <v>2.0</v>
      </c>
      <c r="F76" s="22">
        <v>2.0</v>
      </c>
      <c r="G76" s="22">
        <v>2.0</v>
      </c>
      <c r="H76" s="22">
        <v>5446.0</v>
      </c>
      <c r="I76" s="22">
        <v>2.0</v>
      </c>
      <c r="J76" s="22">
        <v>1.0</v>
      </c>
      <c r="K76" s="21">
        <f t="shared" ref="K76:P76" si="48">J76</f>
        <v>1</v>
      </c>
      <c r="L76" s="21">
        <f t="shared" si="48"/>
        <v>1</v>
      </c>
      <c r="M76" s="21">
        <f t="shared" si="48"/>
        <v>1</v>
      </c>
      <c r="N76" s="21">
        <f t="shared" si="48"/>
        <v>1</v>
      </c>
      <c r="O76" s="21">
        <f t="shared" si="48"/>
        <v>1</v>
      </c>
      <c r="P76" s="21">
        <f t="shared" si="48"/>
        <v>1</v>
      </c>
    </row>
    <row r="77" ht="15.75" customHeight="1">
      <c r="A77" s="1" t="s">
        <v>59</v>
      </c>
      <c r="B77" s="22">
        <v>16796.0</v>
      </c>
      <c r="C77" s="22">
        <v>16033.0</v>
      </c>
      <c r="D77" s="22">
        <v>18587.0</v>
      </c>
      <c r="E77" s="22">
        <v>20591.0</v>
      </c>
      <c r="F77" s="22">
        <v>17216.0</v>
      </c>
      <c r="G77" s="22">
        <v>16867.0</v>
      </c>
      <c r="H77" s="22">
        <v>1411.0</v>
      </c>
      <c r="I77" s="22">
        <v>23226.0</v>
      </c>
      <c r="J77" s="22">
        <v>28049.0</v>
      </c>
      <c r="K77" s="21">
        <f t="shared" ref="K77:P77" si="49">J77</f>
        <v>28049</v>
      </c>
      <c r="L77" s="21">
        <f t="shared" si="49"/>
        <v>28049</v>
      </c>
      <c r="M77" s="21">
        <f t="shared" si="49"/>
        <v>28049</v>
      </c>
      <c r="N77" s="21">
        <f t="shared" si="49"/>
        <v>28049</v>
      </c>
      <c r="O77" s="21">
        <f t="shared" si="49"/>
        <v>28049</v>
      </c>
      <c r="P77" s="21">
        <f t="shared" si="49"/>
        <v>28049</v>
      </c>
    </row>
    <row r="78" ht="15.75" customHeight="1">
      <c r="A78" s="29" t="s">
        <v>103</v>
      </c>
      <c r="B78" s="22">
        <v>0.0</v>
      </c>
      <c r="C78" s="22">
        <v>0.0</v>
      </c>
      <c r="D78" s="22">
        <v>0.0</v>
      </c>
      <c r="E78" s="22">
        <v>0.0</v>
      </c>
      <c r="F78" s="22">
        <v>0.0</v>
      </c>
      <c r="G78" s="22">
        <v>0.0</v>
      </c>
      <c r="H78" s="22">
        <v>0.0</v>
      </c>
      <c r="I78" s="22">
        <v>6055.0</v>
      </c>
      <c r="J78" s="22">
        <v>5838.0</v>
      </c>
      <c r="K78" s="21">
        <f t="shared" ref="K78:P78" si="50">J78</f>
        <v>5838</v>
      </c>
      <c r="L78" s="21">
        <f t="shared" si="50"/>
        <v>5838</v>
      </c>
      <c r="M78" s="21">
        <f t="shared" si="50"/>
        <v>5838</v>
      </c>
      <c r="N78" s="21">
        <f t="shared" si="50"/>
        <v>5838</v>
      </c>
      <c r="O78" s="21">
        <f t="shared" si="50"/>
        <v>5838</v>
      </c>
      <c r="P78" s="21">
        <f t="shared" si="50"/>
        <v>5838</v>
      </c>
    </row>
    <row r="79" ht="15.75" customHeight="1">
      <c r="A79" s="29" t="s">
        <v>104</v>
      </c>
      <c r="B79" s="22">
        <v>0.0</v>
      </c>
      <c r="C79" s="22">
        <v>0.0</v>
      </c>
      <c r="D79" s="22">
        <v>0.0</v>
      </c>
      <c r="E79" s="22">
        <v>0.0</v>
      </c>
      <c r="F79" s="22">
        <v>0.0</v>
      </c>
      <c r="G79" s="22">
        <v>5407.0</v>
      </c>
      <c r="H79" s="22">
        <v>25204.0</v>
      </c>
      <c r="I79" s="22">
        <v>2794.0</v>
      </c>
      <c r="J79" s="22">
        <v>467.0</v>
      </c>
      <c r="K79" s="21">
        <f t="shared" ref="K79:P79" si="51">J79</f>
        <v>467</v>
      </c>
      <c r="L79" s="21">
        <f t="shared" si="51"/>
        <v>467</v>
      </c>
      <c r="M79" s="21">
        <f t="shared" si="51"/>
        <v>467</v>
      </c>
      <c r="N79" s="21">
        <f t="shared" si="51"/>
        <v>467</v>
      </c>
      <c r="O79" s="21">
        <f t="shared" si="51"/>
        <v>467</v>
      </c>
      <c r="P79" s="21">
        <f t="shared" si="51"/>
        <v>467</v>
      </c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ht="15.75" customHeight="1">
      <c r="A80" s="18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ht="15.75" customHeight="1">
      <c r="A81" s="18" t="s">
        <v>60</v>
      </c>
      <c r="B81" s="27">
        <f t="shared" ref="B81:P81" si="52">SUM(B82:B91)</f>
        <v>79511</v>
      </c>
      <c r="C81" s="27">
        <f t="shared" si="52"/>
        <v>87980</v>
      </c>
      <c r="D81" s="27">
        <f t="shared" si="52"/>
        <v>79300</v>
      </c>
      <c r="E81" s="27">
        <f t="shared" si="52"/>
        <v>123727</v>
      </c>
      <c r="F81" s="27">
        <f t="shared" si="52"/>
        <v>84406</v>
      </c>
      <c r="G81" s="27">
        <f t="shared" si="52"/>
        <v>180970</v>
      </c>
      <c r="H81" s="27">
        <f t="shared" si="52"/>
        <v>167934</v>
      </c>
      <c r="I81" s="27">
        <f t="shared" si="52"/>
        <v>156692</v>
      </c>
      <c r="J81" s="27">
        <f t="shared" si="52"/>
        <v>226338</v>
      </c>
      <c r="K81" s="27">
        <f t="shared" si="52"/>
        <v>431565.676</v>
      </c>
      <c r="L81" s="27">
        <f t="shared" si="52"/>
        <v>645634.4271</v>
      </c>
      <c r="M81" s="27">
        <f t="shared" si="52"/>
        <v>903028.5407</v>
      </c>
      <c r="N81" s="27">
        <f t="shared" si="52"/>
        <v>1212064.198</v>
      </c>
      <c r="O81" s="27">
        <f t="shared" si="52"/>
        <v>1582502.408</v>
      </c>
      <c r="P81" s="27">
        <f t="shared" si="52"/>
        <v>2025801.724</v>
      </c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ht="15.75" customHeight="1">
      <c r="A82" s="1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</row>
    <row r="83" ht="15.75" customHeight="1">
      <c r="A83" s="16" t="s">
        <v>61</v>
      </c>
      <c r="B83" s="22">
        <v>31326.0</v>
      </c>
      <c r="C83" s="22">
        <v>32637.0</v>
      </c>
      <c r="D83" s="22">
        <v>31602.0</v>
      </c>
      <c r="E83" s="22">
        <v>33226.0</v>
      </c>
      <c r="F83" s="22">
        <v>32139.0</v>
      </c>
      <c r="G83" s="22">
        <v>30490.0</v>
      </c>
      <c r="H83" s="22">
        <v>35323.0</v>
      </c>
      <c r="I83" s="22">
        <v>54435.0</v>
      </c>
      <c r="J83" s="22">
        <v>53181.0</v>
      </c>
      <c r="K83" s="19">
        <f t="shared" ref="K83:P83" si="53">K155</f>
        <v>69824.85122</v>
      </c>
      <c r="L83" s="19">
        <f t="shared" si="53"/>
        <v>81581.42375</v>
      </c>
      <c r="M83" s="19">
        <f t="shared" si="53"/>
        <v>95352.0403</v>
      </c>
      <c r="N83" s="19">
        <f t="shared" si="53"/>
        <v>111485.7642</v>
      </c>
      <c r="O83" s="19">
        <f t="shared" si="53"/>
        <v>130392.619</v>
      </c>
      <c r="P83" s="19">
        <f t="shared" si="53"/>
        <v>152554.2873</v>
      </c>
    </row>
    <row r="84" ht="15.75" customHeight="1">
      <c r="A84" s="16" t="s">
        <v>62</v>
      </c>
      <c r="B84" s="22">
        <v>13234.0</v>
      </c>
      <c r="C84" s="22">
        <v>12026.0</v>
      </c>
      <c r="D84" s="22">
        <v>14654.0</v>
      </c>
      <c r="E84" s="22">
        <v>23128.0</v>
      </c>
      <c r="F84" s="22">
        <v>21298.0</v>
      </c>
      <c r="G84" s="22">
        <v>12799.0</v>
      </c>
      <c r="H84" s="22">
        <v>20345.0</v>
      </c>
      <c r="I84" s="22">
        <v>32848.0</v>
      </c>
      <c r="J84" s="22">
        <v>45968.0</v>
      </c>
      <c r="K84" s="19">
        <f t="shared" ref="K84:P84" si="54">K156</f>
        <v>52368.63842</v>
      </c>
      <c r="L84" s="19">
        <f t="shared" si="54"/>
        <v>61186.06781</v>
      </c>
      <c r="M84" s="19">
        <f t="shared" si="54"/>
        <v>71514.03023</v>
      </c>
      <c r="N84" s="19">
        <f t="shared" si="54"/>
        <v>83614.32315</v>
      </c>
      <c r="O84" s="19">
        <f t="shared" si="54"/>
        <v>97794.46428</v>
      </c>
      <c r="P84" s="19">
        <f t="shared" si="54"/>
        <v>114415.7154</v>
      </c>
    </row>
    <row r="85" ht="15.75" customHeight="1">
      <c r="A85" s="16" t="s">
        <v>63</v>
      </c>
      <c r="B85" s="22">
        <v>507.0</v>
      </c>
      <c r="C85" s="22">
        <v>235.0</v>
      </c>
      <c r="D85" s="22">
        <v>740.0</v>
      </c>
      <c r="E85" s="22">
        <v>1878.0</v>
      </c>
      <c r="F85" s="22">
        <v>290.0</v>
      </c>
      <c r="G85" s="22">
        <v>30471.0</v>
      </c>
      <c r="H85" s="22">
        <v>30422.0</v>
      </c>
      <c r="I85" s="22">
        <v>27485.0</v>
      </c>
      <c r="J85" s="22">
        <v>28274.0</v>
      </c>
      <c r="K85" s="22">
        <f t="shared" ref="K85:P85" si="55">K215</f>
        <v>221688.7359</v>
      </c>
      <c r="L85" s="22">
        <f t="shared" si="55"/>
        <v>400420.0187</v>
      </c>
      <c r="M85" s="22">
        <f t="shared" si="55"/>
        <v>616422.9254</v>
      </c>
      <c r="N85" s="22">
        <f t="shared" si="55"/>
        <v>876964.436</v>
      </c>
      <c r="O85" s="22">
        <f t="shared" si="55"/>
        <v>1190573.125</v>
      </c>
      <c r="P85" s="22">
        <f t="shared" si="55"/>
        <v>1567259.723</v>
      </c>
    </row>
    <row r="86" ht="15.75" customHeight="1">
      <c r="A86" s="16" t="s">
        <v>64</v>
      </c>
      <c r="B86" s="22">
        <v>31.0</v>
      </c>
      <c r="C86" s="22">
        <v>25.0</v>
      </c>
      <c r="D86" s="22">
        <v>30.0</v>
      </c>
      <c r="E86" s="22">
        <v>161.0</v>
      </c>
      <c r="F86" s="22">
        <v>170.0</v>
      </c>
      <c r="G86" s="22">
        <v>230.0</v>
      </c>
      <c r="H86" s="22">
        <v>305.0</v>
      </c>
      <c r="I86" s="22">
        <v>297.0</v>
      </c>
      <c r="J86" s="22">
        <v>327.0</v>
      </c>
      <c r="K86" s="19">
        <f t="shared" ref="K86:P86" si="56">K157</f>
        <v>402.3864385</v>
      </c>
      <c r="L86" s="19">
        <f t="shared" si="56"/>
        <v>470.1371786</v>
      </c>
      <c r="M86" s="19">
        <f t="shared" si="56"/>
        <v>549.4944455</v>
      </c>
      <c r="N86" s="19">
        <f t="shared" si="56"/>
        <v>642.4698201</v>
      </c>
      <c r="O86" s="19">
        <f t="shared" si="56"/>
        <v>751.4261852</v>
      </c>
      <c r="P86" s="19">
        <f t="shared" si="56"/>
        <v>879.1393789</v>
      </c>
    </row>
    <row r="87" ht="15.75" customHeight="1">
      <c r="A87" s="16" t="s">
        <v>65</v>
      </c>
      <c r="B87" s="22">
        <v>16611.0</v>
      </c>
      <c r="C87" s="22">
        <v>15408.0</v>
      </c>
      <c r="D87" s="22">
        <v>13140.0</v>
      </c>
      <c r="E87" s="22">
        <v>5638.0</v>
      </c>
      <c r="F87" s="22">
        <v>7974.0</v>
      </c>
      <c r="G87" s="22">
        <v>9581.0</v>
      </c>
      <c r="H87" s="22">
        <v>14608.0</v>
      </c>
      <c r="I87" s="22">
        <v>15602.0</v>
      </c>
      <c r="J87" s="22">
        <v>25077.0</v>
      </c>
      <c r="K87" s="19">
        <f t="shared" ref="K87:P87" si="57">K158</f>
        <v>34912.42561</v>
      </c>
      <c r="L87" s="19">
        <f t="shared" si="57"/>
        <v>40790.71187</v>
      </c>
      <c r="M87" s="19">
        <f t="shared" si="57"/>
        <v>47676.02015</v>
      </c>
      <c r="N87" s="19">
        <f t="shared" si="57"/>
        <v>55742.8821</v>
      </c>
      <c r="O87" s="19">
        <f t="shared" si="57"/>
        <v>65196.30952</v>
      </c>
      <c r="P87" s="19">
        <f t="shared" si="57"/>
        <v>76277.14363</v>
      </c>
    </row>
    <row r="88" ht="15.75" customHeight="1">
      <c r="A88" s="16" t="s">
        <v>66</v>
      </c>
      <c r="B88" s="22">
        <v>4906.0</v>
      </c>
      <c r="C88" s="22">
        <v>4910.0</v>
      </c>
      <c r="D88" s="22">
        <v>4115.0</v>
      </c>
      <c r="E88" s="22">
        <v>4277.0</v>
      </c>
      <c r="F88" s="22">
        <v>5272.0</v>
      </c>
      <c r="G88" s="22">
        <v>0.0</v>
      </c>
      <c r="H88" s="22">
        <v>0.0</v>
      </c>
      <c r="I88" s="22">
        <v>0.0</v>
      </c>
      <c r="J88" s="22">
        <v>0.0</v>
      </c>
      <c r="K88" s="19">
        <f t="shared" ref="K88:P88" si="58">K159</f>
        <v>0</v>
      </c>
      <c r="L88" s="19">
        <f t="shared" si="58"/>
        <v>0</v>
      </c>
      <c r="M88" s="19">
        <f t="shared" si="58"/>
        <v>0</v>
      </c>
      <c r="N88" s="19">
        <f t="shared" si="58"/>
        <v>0</v>
      </c>
      <c r="O88" s="19">
        <f t="shared" si="58"/>
        <v>0</v>
      </c>
      <c r="P88" s="19">
        <f t="shared" si="58"/>
        <v>0</v>
      </c>
    </row>
    <row r="89" ht="15.75" customHeight="1">
      <c r="A89" s="16" t="s">
        <v>67</v>
      </c>
      <c r="B89" s="22">
        <v>11413.0</v>
      </c>
      <c r="C89" s="22">
        <v>21788.0</v>
      </c>
      <c r="D89" s="22">
        <v>12173.0</v>
      </c>
      <c r="E89" s="22">
        <v>50455.0</v>
      </c>
      <c r="F89" s="22">
        <v>12188.0</v>
      </c>
      <c r="G89" s="22">
        <v>84157.0</v>
      </c>
      <c r="H89" s="22">
        <v>41001.0</v>
      </c>
      <c r="I89" s="22">
        <v>0.0</v>
      </c>
      <c r="J89" s="22">
        <v>39122.0</v>
      </c>
      <c r="K89" s="19">
        <f t="shared" ref="K89:P89" si="59">K160</f>
        <v>52368.63842</v>
      </c>
      <c r="L89" s="19">
        <f t="shared" si="59"/>
        <v>61186.06781</v>
      </c>
      <c r="M89" s="19">
        <f t="shared" si="59"/>
        <v>71514.03023</v>
      </c>
      <c r="N89" s="19">
        <f t="shared" si="59"/>
        <v>83614.32315</v>
      </c>
      <c r="O89" s="19">
        <f t="shared" si="59"/>
        <v>97794.46428</v>
      </c>
      <c r="P89" s="19">
        <f t="shared" si="59"/>
        <v>114415.7154</v>
      </c>
    </row>
    <row r="90" ht="15.75" customHeight="1">
      <c r="A90" s="1" t="s">
        <v>57</v>
      </c>
      <c r="B90" s="22">
        <v>1483.0</v>
      </c>
      <c r="C90" s="22">
        <v>951.0</v>
      </c>
      <c r="D90" s="22">
        <v>2846.0</v>
      </c>
      <c r="E90" s="22">
        <v>4964.0</v>
      </c>
      <c r="F90" s="22">
        <v>5075.0</v>
      </c>
      <c r="G90" s="22">
        <v>13242.0</v>
      </c>
      <c r="H90" s="22">
        <v>25930.0</v>
      </c>
      <c r="I90" s="22">
        <v>26025.0</v>
      </c>
      <c r="J90" s="22">
        <v>34186.0</v>
      </c>
      <c r="K90" s="115"/>
      <c r="L90" s="115"/>
      <c r="M90" s="115"/>
      <c r="N90" s="115"/>
      <c r="O90" s="115"/>
      <c r="P90" s="115"/>
    </row>
    <row r="91" ht="15.75" customHeight="1">
      <c r="A91" s="29" t="s">
        <v>105</v>
      </c>
      <c r="B91" s="22">
        <v>0.0</v>
      </c>
      <c r="C91" s="22">
        <v>0.0</v>
      </c>
      <c r="D91" s="22">
        <v>0.0</v>
      </c>
      <c r="E91" s="22">
        <v>0.0</v>
      </c>
      <c r="F91" s="22">
        <v>0.0</v>
      </c>
      <c r="G91" s="22">
        <v>0.0</v>
      </c>
      <c r="H91" s="22">
        <v>0.0</v>
      </c>
      <c r="I91" s="22">
        <v>0.0</v>
      </c>
      <c r="J91" s="22">
        <v>203.0</v>
      </c>
      <c r="K91" s="115"/>
      <c r="L91" s="115"/>
      <c r="M91" s="115"/>
      <c r="N91" s="115"/>
      <c r="O91" s="115"/>
      <c r="P91" s="115"/>
    </row>
    <row r="92" ht="15.75" customHeight="1">
      <c r="A92" s="8" t="s">
        <v>49</v>
      </c>
      <c r="B92" s="30">
        <f t="shared" ref="B92:P92" si="60">SUM(B68,B81)</f>
        <v>427255</v>
      </c>
      <c r="C92" s="30">
        <f t="shared" si="60"/>
        <v>519605</v>
      </c>
      <c r="D92" s="30">
        <f t="shared" si="60"/>
        <v>602484</v>
      </c>
      <c r="E92" s="30">
        <f t="shared" si="60"/>
        <v>639687</v>
      </c>
      <c r="F92" s="30">
        <f t="shared" si="60"/>
        <v>636277</v>
      </c>
      <c r="G92" s="30">
        <f t="shared" si="60"/>
        <v>713761</v>
      </c>
      <c r="H92" s="30">
        <f t="shared" si="60"/>
        <v>746555</v>
      </c>
      <c r="I92" s="30">
        <f t="shared" si="60"/>
        <v>1003854</v>
      </c>
      <c r="J92" s="30">
        <f t="shared" si="60"/>
        <v>1153508</v>
      </c>
      <c r="K92" s="30">
        <f t="shared" si="60"/>
        <v>1398093.676</v>
      </c>
      <c r="L92" s="30">
        <f t="shared" si="60"/>
        <v>1652962.427</v>
      </c>
      <c r="M92" s="30">
        <f t="shared" si="60"/>
        <v>1951156.541</v>
      </c>
      <c r="N92" s="30">
        <f t="shared" si="60"/>
        <v>2300992.198</v>
      </c>
      <c r="O92" s="30">
        <f t="shared" si="60"/>
        <v>2712230.408</v>
      </c>
      <c r="P92" s="30">
        <f t="shared" si="60"/>
        <v>3196329.724</v>
      </c>
    </row>
    <row r="93" ht="15.75" customHeight="1">
      <c r="A93" s="32" t="s">
        <v>106</v>
      </c>
      <c r="B93" s="33">
        <f t="shared" ref="B93:P93" si="61">B63-B92</f>
        <v>0</v>
      </c>
      <c r="C93" s="33">
        <f t="shared" si="61"/>
        <v>0</v>
      </c>
      <c r="D93" s="33">
        <f t="shared" si="61"/>
        <v>0</v>
      </c>
      <c r="E93" s="33">
        <f t="shared" si="61"/>
        <v>0</v>
      </c>
      <c r="F93" s="33">
        <f t="shared" si="61"/>
        <v>0</v>
      </c>
      <c r="G93" s="33">
        <f t="shared" si="61"/>
        <v>0</v>
      </c>
      <c r="H93" s="33">
        <f t="shared" si="61"/>
        <v>0</v>
      </c>
      <c r="I93" s="33">
        <f t="shared" si="61"/>
        <v>0</v>
      </c>
      <c r="J93" s="33">
        <f t="shared" si="61"/>
        <v>0</v>
      </c>
      <c r="K93" s="33">
        <f t="shared" si="61"/>
        <v>0</v>
      </c>
      <c r="L93" s="33">
        <f t="shared" si="61"/>
        <v>0</v>
      </c>
      <c r="M93" s="33">
        <f t="shared" si="61"/>
        <v>0.0000000002328306437</v>
      </c>
      <c r="N93" s="33">
        <f t="shared" si="61"/>
        <v>0</v>
      </c>
      <c r="O93" s="33">
        <f t="shared" si="61"/>
        <v>0.0000000004656612873</v>
      </c>
      <c r="P93" s="33">
        <f t="shared" si="61"/>
        <v>0</v>
      </c>
    </row>
    <row r="94" ht="15.75" customHeight="1">
      <c r="A94" s="5"/>
      <c r="B94" s="22"/>
      <c r="C94" s="22"/>
      <c r="D94" s="22"/>
      <c r="E94" s="22"/>
      <c r="F94" s="22"/>
      <c r="G94" s="22"/>
      <c r="H94" s="22"/>
      <c r="I94" s="22"/>
      <c r="J94" s="22"/>
    </row>
    <row r="95" ht="15.75" customHeight="1">
      <c r="A95" s="5" t="s">
        <v>68</v>
      </c>
      <c r="B95" s="22">
        <v>1500000.0</v>
      </c>
      <c r="C95" s="22">
        <v>1550000.0</v>
      </c>
      <c r="D95" s="22">
        <v>1560000.0</v>
      </c>
      <c r="E95" s="22">
        <v>1580000.0</v>
      </c>
      <c r="F95" s="22">
        <v>2000000.0</v>
      </c>
      <c r="G95" s="22">
        <v>2250000.0</v>
      </c>
      <c r="H95" s="22">
        <v>2250000.0</v>
      </c>
      <c r="I95" s="22">
        <v>2250000.0</v>
      </c>
      <c r="J95" s="22">
        <v>2250000.0</v>
      </c>
      <c r="K95" s="19">
        <f t="shared" ref="K95:P95" si="62">J95+K96</f>
        <v>2550000</v>
      </c>
      <c r="L95" s="19">
        <f t="shared" si="62"/>
        <v>2850000</v>
      </c>
      <c r="M95" s="19">
        <f t="shared" si="62"/>
        <v>3150000</v>
      </c>
      <c r="N95" s="19">
        <f t="shared" si="62"/>
        <v>3450000</v>
      </c>
      <c r="O95" s="19">
        <f t="shared" si="62"/>
        <v>3750000</v>
      </c>
      <c r="P95" s="19">
        <f t="shared" si="62"/>
        <v>4050000</v>
      </c>
    </row>
    <row r="96" ht="15.75" customHeight="1">
      <c r="A96" s="5" t="s">
        <v>69</v>
      </c>
      <c r="C96" s="19">
        <f t="shared" ref="C96:J96" si="63">C95-B95</f>
        <v>50000</v>
      </c>
      <c r="D96" s="19">
        <f t="shared" si="63"/>
        <v>10000</v>
      </c>
      <c r="E96" s="19">
        <f t="shared" si="63"/>
        <v>20000</v>
      </c>
      <c r="F96" s="19">
        <f t="shared" si="63"/>
        <v>420000</v>
      </c>
      <c r="G96" s="19">
        <f t="shared" si="63"/>
        <v>250000</v>
      </c>
      <c r="H96" s="19">
        <f t="shared" si="63"/>
        <v>0</v>
      </c>
      <c r="I96" s="19">
        <f t="shared" si="63"/>
        <v>0</v>
      </c>
      <c r="J96" s="19">
        <f t="shared" si="63"/>
        <v>0</v>
      </c>
      <c r="K96" s="20">
        <v>300000.0</v>
      </c>
      <c r="L96" s="116">
        <f t="shared" ref="L96:P96" si="64">K96</f>
        <v>300000</v>
      </c>
      <c r="M96" s="116">
        <f t="shared" si="64"/>
        <v>300000</v>
      </c>
      <c r="N96" s="116">
        <f t="shared" si="64"/>
        <v>300000</v>
      </c>
      <c r="O96" s="116">
        <f t="shared" si="64"/>
        <v>300000</v>
      </c>
      <c r="P96" s="116">
        <f t="shared" si="64"/>
        <v>300000</v>
      </c>
      <c r="Q96" s="19"/>
    </row>
    <row r="97" ht="15.75" customHeight="1">
      <c r="A97" s="5"/>
    </row>
    <row r="98" ht="15.75" customHeight="1">
      <c r="A98" s="5" t="s">
        <v>70</v>
      </c>
      <c r="B98" s="22">
        <v>1305351.0</v>
      </c>
      <c r="C98" s="22">
        <v>1444541.0</v>
      </c>
      <c r="D98" s="22">
        <v>1653500.0</v>
      </c>
      <c r="E98" s="22">
        <v>1753700.0</v>
      </c>
      <c r="F98" s="22">
        <v>1461126.0</v>
      </c>
      <c r="G98" s="22">
        <v>1361722.0</v>
      </c>
      <c r="H98" s="22">
        <v>1414277.0</v>
      </c>
      <c r="I98" s="22">
        <v>1706831.0</v>
      </c>
      <c r="J98" s="22">
        <v>1852256.0</v>
      </c>
      <c r="K98" s="114"/>
      <c r="L98" s="114"/>
      <c r="M98" s="114"/>
      <c r="N98" s="114"/>
      <c r="O98" s="114"/>
      <c r="P98" s="114"/>
    </row>
    <row r="99" ht="15.75" customHeight="1">
      <c r="A99" s="15" t="s">
        <v>181</v>
      </c>
      <c r="B99" s="22">
        <v>123897.0</v>
      </c>
      <c r="C99" s="22">
        <v>124062.0</v>
      </c>
      <c r="D99" s="22">
        <v>126074.0</v>
      </c>
      <c r="E99" s="22">
        <v>108749.0</v>
      </c>
      <c r="F99" s="22">
        <v>102171.0</v>
      </c>
      <c r="G99" s="22">
        <v>96139.0</v>
      </c>
      <c r="H99" s="22">
        <v>238376.0</v>
      </c>
      <c r="I99" s="22">
        <v>259333.0</v>
      </c>
      <c r="J99" s="22">
        <v>283067.0</v>
      </c>
      <c r="K99" s="114"/>
      <c r="L99" s="114"/>
      <c r="M99" s="114"/>
      <c r="N99" s="114"/>
      <c r="O99" s="114"/>
      <c r="P99" s="114"/>
    </row>
    <row r="100" ht="15.75" customHeight="1">
      <c r="A100" s="17" t="s">
        <v>49</v>
      </c>
      <c r="B100" s="27">
        <f t="shared" ref="B100:J100" si="65">SUM(B98:B99)</f>
        <v>1429248</v>
      </c>
      <c r="C100" s="27">
        <f t="shared" si="65"/>
        <v>1568603</v>
      </c>
      <c r="D100" s="27">
        <f t="shared" si="65"/>
        <v>1779574</v>
      </c>
      <c r="E100" s="27">
        <f t="shared" si="65"/>
        <v>1862449</v>
      </c>
      <c r="F100" s="27">
        <f t="shared" si="65"/>
        <v>1563297</v>
      </c>
      <c r="G100" s="27">
        <f t="shared" si="65"/>
        <v>1457861</v>
      </c>
      <c r="H100" s="27">
        <f t="shared" si="65"/>
        <v>1652653</v>
      </c>
      <c r="I100" s="27">
        <f t="shared" si="65"/>
        <v>1966164</v>
      </c>
      <c r="J100" s="27">
        <f t="shared" si="65"/>
        <v>2135323</v>
      </c>
      <c r="K100" s="52">
        <f t="shared" ref="K100:P100" si="66">K111*K118</f>
        <v>2388726.764</v>
      </c>
      <c r="L100" s="52">
        <f t="shared" si="66"/>
        <v>2537202.039</v>
      </c>
      <c r="M100" s="52">
        <f t="shared" si="66"/>
        <v>2695883.226</v>
      </c>
      <c r="N100" s="52">
        <f t="shared" si="66"/>
        <v>2865482.868</v>
      </c>
      <c r="O100" s="52">
        <f t="shared" si="66"/>
        <v>3046763.362</v>
      </c>
      <c r="P100" s="52">
        <f t="shared" si="66"/>
        <v>3240540.458</v>
      </c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ht="15.75" customHeight="1">
      <c r="A101" s="5"/>
    </row>
    <row r="102" ht="15.75" customHeight="1">
      <c r="A102" s="5" t="s">
        <v>72</v>
      </c>
      <c r="B102" s="35">
        <f t="shared" ref="B102:P102" si="67">B100/B95</f>
        <v>0.952832</v>
      </c>
      <c r="C102" s="35">
        <f t="shared" si="67"/>
        <v>1.012001935</v>
      </c>
      <c r="D102" s="35">
        <f t="shared" si="67"/>
        <v>1.140752564</v>
      </c>
      <c r="E102" s="35">
        <f t="shared" si="67"/>
        <v>1.17876519</v>
      </c>
      <c r="F102" s="35">
        <f t="shared" si="67"/>
        <v>0.7816485</v>
      </c>
      <c r="G102" s="35">
        <f t="shared" si="67"/>
        <v>0.6479382222</v>
      </c>
      <c r="H102" s="35">
        <f t="shared" si="67"/>
        <v>0.7345124444</v>
      </c>
      <c r="I102" s="35">
        <f t="shared" si="67"/>
        <v>0.8738506667</v>
      </c>
      <c r="J102" s="35">
        <f t="shared" si="67"/>
        <v>0.9490324444</v>
      </c>
      <c r="K102" s="35">
        <f t="shared" si="67"/>
        <v>0.9367555938</v>
      </c>
      <c r="L102" s="35">
        <f t="shared" si="67"/>
        <v>0.8902463294</v>
      </c>
      <c r="M102" s="35">
        <f t="shared" si="67"/>
        <v>0.8558359449</v>
      </c>
      <c r="N102" s="35">
        <f t="shared" si="67"/>
        <v>0.8305747443</v>
      </c>
      <c r="O102" s="35">
        <f t="shared" si="67"/>
        <v>0.8124702299</v>
      </c>
      <c r="P102" s="35">
        <f t="shared" si="67"/>
        <v>0.8001334464</v>
      </c>
    </row>
    <row r="103" ht="15.75" customHeight="1">
      <c r="A103" s="5"/>
      <c r="L103" s="117"/>
    </row>
    <row r="104" ht="15.75" customHeight="1">
      <c r="A104" s="5" t="s">
        <v>73</v>
      </c>
      <c r="C104" s="35">
        <f t="shared" ref="C104:J104" si="68">C98/B98-1</f>
        <v>0.106630324</v>
      </c>
      <c r="D104" s="35">
        <f t="shared" si="68"/>
        <v>0.1446542535</v>
      </c>
      <c r="E104" s="35">
        <f t="shared" si="68"/>
        <v>0.06059872997</v>
      </c>
      <c r="F104" s="35">
        <f t="shared" si="68"/>
        <v>-0.1668324115</v>
      </c>
      <c r="G104" s="35">
        <f t="shared" si="68"/>
        <v>-0.06803246263</v>
      </c>
      <c r="H104" s="35">
        <f t="shared" si="68"/>
        <v>0.03859451489</v>
      </c>
      <c r="I104" s="35">
        <f t="shared" si="68"/>
        <v>0.2068576382</v>
      </c>
      <c r="J104" s="35">
        <f t="shared" si="68"/>
        <v>0.08520175694</v>
      </c>
    </row>
    <row r="105" ht="15.75" customHeight="1">
      <c r="A105" s="5" t="s">
        <v>74</v>
      </c>
      <c r="C105" s="35">
        <f t="shared" ref="C105:J105" si="69">C99/B99-1</f>
        <v>0.001331751374</v>
      </c>
      <c r="D105" s="35">
        <f t="shared" si="69"/>
        <v>0.0162176976</v>
      </c>
      <c r="E105" s="35">
        <f t="shared" si="69"/>
        <v>-0.1374192934</v>
      </c>
      <c r="F105" s="35">
        <f t="shared" si="69"/>
        <v>-0.06048791253</v>
      </c>
      <c r="G105" s="35">
        <f t="shared" si="69"/>
        <v>-0.05903827896</v>
      </c>
      <c r="H105" s="35">
        <f t="shared" si="69"/>
        <v>1.479493234</v>
      </c>
      <c r="I105" s="35">
        <f t="shared" si="69"/>
        <v>0.08791572977</v>
      </c>
      <c r="J105" s="35">
        <f t="shared" si="69"/>
        <v>0.09151939784</v>
      </c>
    </row>
    <row r="106" ht="15.75" customHeight="1">
      <c r="A106" s="17" t="s">
        <v>75</v>
      </c>
      <c r="B106" s="34"/>
      <c r="C106" s="36">
        <f t="shared" ref="C106:J106" si="70">C100/B100-1</f>
        <v>0.0975023229</v>
      </c>
      <c r="D106" s="36">
        <f t="shared" si="70"/>
        <v>0.134496109</v>
      </c>
      <c r="E106" s="36">
        <f t="shared" si="70"/>
        <v>0.0465701342</v>
      </c>
      <c r="F106" s="36">
        <f t="shared" si="70"/>
        <v>-0.1606229218</v>
      </c>
      <c r="G106" s="36">
        <f t="shared" si="70"/>
        <v>-0.06744463784</v>
      </c>
      <c r="H106" s="36">
        <f t="shared" si="70"/>
        <v>0.1336149331</v>
      </c>
      <c r="I106" s="36">
        <f t="shared" si="70"/>
        <v>0.1897016494</v>
      </c>
      <c r="J106" s="36">
        <f t="shared" si="70"/>
        <v>0.08603504082</v>
      </c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ht="15.75" customHeight="1">
      <c r="A107" s="5"/>
    </row>
    <row r="108" ht="15.75" customHeight="1">
      <c r="A108" s="17" t="s">
        <v>76</v>
      </c>
    </row>
    <row r="109" ht="15.75" customHeight="1">
      <c r="A109" s="5" t="s">
        <v>77</v>
      </c>
      <c r="B109" s="22">
        <v>2789208.0</v>
      </c>
      <c r="C109" s="22">
        <v>3047582.0</v>
      </c>
      <c r="D109" s="22">
        <v>3288581.0</v>
      </c>
      <c r="E109" s="22">
        <v>3377389.0</v>
      </c>
      <c r="F109" s="22">
        <v>2773519.0</v>
      </c>
      <c r="G109" s="22">
        <v>2711457.0</v>
      </c>
      <c r="H109" s="22">
        <v>3069523.0</v>
      </c>
      <c r="I109" s="22">
        <v>3890114.0</v>
      </c>
      <c r="J109" s="22">
        <v>4218746.0</v>
      </c>
      <c r="K109" s="19">
        <f t="shared" ref="K109:P109" si="71">J109*(1+K112)</f>
        <v>4514058.22</v>
      </c>
      <c r="L109" s="19">
        <f t="shared" si="71"/>
        <v>4830042.295</v>
      </c>
      <c r="M109" s="19">
        <f t="shared" si="71"/>
        <v>5168145.256</v>
      </c>
      <c r="N109" s="19">
        <f t="shared" si="71"/>
        <v>5529915.424</v>
      </c>
      <c r="O109" s="19">
        <f t="shared" si="71"/>
        <v>5917009.504</v>
      </c>
      <c r="P109" s="19">
        <f t="shared" si="71"/>
        <v>6331200.169</v>
      </c>
    </row>
    <row r="110" ht="15.75" customHeight="1">
      <c r="A110" s="5" t="s">
        <v>71</v>
      </c>
      <c r="B110" s="22">
        <v>653053.0</v>
      </c>
      <c r="C110" s="22">
        <v>758727.0</v>
      </c>
      <c r="D110" s="22">
        <v>748366.0</v>
      </c>
      <c r="E110" s="22">
        <v>676192.0</v>
      </c>
      <c r="F110" s="22">
        <v>662118.0</v>
      </c>
      <c r="G110" s="22">
        <v>404397.0</v>
      </c>
      <c r="H110" s="22">
        <v>577875.0</v>
      </c>
      <c r="I110" s="22">
        <v>662891.0</v>
      </c>
      <c r="J110" s="22">
        <v>672105.0</v>
      </c>
      <c r="K110" s="19">
        <f t="shared" ref="K110:P110" si="72">J110*(1+K113)</f>
        <v>678826.05</v>
      </c>
      <c r="L110" s="19">
        <f t="shared" si="72"/>
        <v>685614.3105</v>
      </c>
      <c r="M110" s="19">
        <f t="shared" si="72"/>
        <v>692470.4536</v>
      </c>
      <c r="N110" s="19">
        <f t="shared" si="72"/>
        <v>699395.1581</v>
      </c>
      <c r="O110" s="19">
        <f t="shared" si="72"/>
        <v>706389.1097</v>
      </c>
      <c r="P110" s="19">
        <f t="shared" si="72"/>
        <v>713453.0008</v>
      </c>
    </row>
    <row r="111" ht="15.75" customHeight="1">
      <c r="A111" s="17" t="s">
        <v>49</v>
      </c>
      <c r="B111" s="27">
        <f t="shared" ref="B111:P111" si="73">SUM(B109:B110)</f>
        <v>3442261</v>
      </c>
      <c r="C111" s="27">
        <f t="shared" si="73"/>
        <v>3806309</v>
      </c>
      <c r="D111" s="27">
        <f t="shared" si="73"/>
        <v>4036947</v>
      </c>
      <c r="E111" s="27">
        <f t="shared" si="73"/>
        <v>4053581</v>
      </c>
      <c r="F111" s="27">
        <f t="shared" si="73"/>
        <v>3435637</v>
      </c>
      <c r="G111" s="27">
        <f t="shared" si="73"/>
        <v>3115854</v>
      </c>
      <c r="H111" s="27">
        <f t="shared" si="73"/>
        <v>3647398</v>
      </c>
      <c r="I111" s="27">
        <f t="shared" si="73"/>
        <v>4553005</v>
      </c>
      <c r="J111" s="27">
        <f t="shared" si="73"/>
        <v>4890851</v>
      </c>
      <c r="K111" s="27">
        <f t="shared" si="73"/>
        <v>5192884.27</v>
      </c>
      <c r="L111" s="27">
        <f t="shared" si="73"/>
        <v>5515656.606</v>
      </c>
      <c r="M111" s="27">
        <f t="shared" si="73"/>
        <v>5860615.71</v>
      </c>
      <c r="N111" s="27">
        <f t="shared" si="73"/>
        <v>6229310.582</v>
      </c>
      <c r="O111" s="27">
        <f t="shared" si="73"/>
        <v>6623398.613</v>
      </c>
      <c r="P111" s="27">
        <f t="shared" si="73"/>
        <v>7044653.17</v>
      </c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ht="15.75" customHeight="1">
      <c r="A112" s="5" t="s">
        <v>78</v>
      </c>
      <c r="C112" s="35">
        <f t="shared" ref="C112:J112" si="74">C109/B109-1</f>
        <v>0.09263346441</v>
      </c>
      <c r="D112" s="35">
        <f t="shared" si="74"/>
        <v>0.07907875818</v>
      </c>
      <c r="E112" s="35">
        <f t="shared" si="74"/>
        <v>0.0270049605</v>
      </c>
      <c r="F112" s="35">
        <f t="shared" si="74"/>
        <v>-0.178797882</v>
      </c>
      <c r="G112" s="35">
        <f t="shared" si="74"/>
        <v>-0.02237662695</v>
      </c>
      <c r="H112" s="35">
        <f t="shared" si="74"/>
        <v>0.1320566765</v>
      </c>
      <c r="I112" s="35">
        <f t="shared" si="74"/>
        <v>0.2673350224</v>
      </c>
      <c r="J112" s="35">
        <f t="shared" si="74"/>
        <v>0.08447875821</v>
      </c>
      <c r="K112" s="37">
        <v>0.07</v>
      </c>
      <c r="L112" s="38">
        <f t="shared" ref="L112:P112" si="75">K112</f>
        <v>0.07</v>
      </c>
      <c r="M112" s="38">
        <f t="shared" si="75"/>
        <v>0.07</v>
      </c>
      <c r="N112" s="38">
        <f t="shared" si="75"/>
        <v>0.07</v>
      </c>
      <c r="O112" s="38">
        <f t="shared" si="75"/>
        <v>0.07</v>
      </c>
      <c r="P112" s="38">
        <f t="shared" si="75"/>
        <v>0.07</v>
      </c>
    </row>
    <row r="113" ht="15.75" customHeight="1">
      <c r="A113" s="5" t="s">
        <v>79</v>
      </c>
      <c r="C113" s="35">
        <f t="shared" ref="C113:J113" si="76">C110/B110-1</f>
        <v>0.1618153504</v>
      </c>
      <c r="D113" s="35">
        <f t="shared" si="76"/>
        <v>-0.01365576815</v>
      </c>
      <c r="E113" s="35">
        <f t="shared" si="76"/>
        <v>-0.09644211522</v>
      </c>
      <c r="F113" s="35">
        <f t="shared" si="76"/>
        <v>-0.02081361507</v>
      </c>
      <c r="G113" s="35">
        <f t="shared" si="76"/>
        <v>-0.3892372659</v>
      </c>
      <c r="H113" s="35">
        <f t="shared" si="76"/>
        <v>0.4289794435</v>
      </c>
      <c r="I113" s="35">
        <f t="shared" si="76"/>
        <v>0.1471183214</v>
      </c>
      <c r="J113" s="35">
        <f t="shared" si="76"/>
        <v>0.01389972107</v>
      </c>
      <c r="K113" s="37">
        <v>0.01</v>
      </c>
      <c r="L113" s="38">
        <f t="shared" ref="L113:P113" si="77">K113</f>
        <v>0.01</v>
      </c>
      <c r="M113" s="38">
        <f t="shared" si="77"/>
        <v>0.01</v>
      </c>
      <c r="N113" s="38">
        <f t="shared" si="77"/>
        <v>0.01</v>
      </c>
      <c r="O113" s="38">
        <f t="shared" si="77"/>
        <v>0.01</v>
      </c>
      <c r="P113" s="38">
        <f t="shared" si="77"/>
        <v>0.01</v>
      </c>
    </row>
    <row r="114" ht="15.75" customHeight="1">
      <c r="A114" s="5"/>
    </row>
    <row r="115" ht="15.75" customHeight="1">
      <c r="A115" s="17" t="s">
        <v>80</v>
      </c>
    </row>
    <row r="116" ht="15.75" customHeight="1">
      <c r="A116" s="5" t="s">
        <v>70</v>
      </c>
      <c r="B116" s="35">
        <f t="shared" ref="B116:J116" si="78">B98/B109</f>
        <v>0.4680005937</v>
      </c>
      <c r="C116" s="35">
        <f t="shared" si="78"/>
        <v>0.4739957776</v>
      </c>
      <c r="D116" s="35">
        <f t="shared" si="78"/>
        <v>0.502800448</v>
      </c>
      <c r="E116" s="35">
        <f t="shared" si="78"/>
        <v>0.5192472647</v>
      </c>
      <c r="F116" s="35">
        <f t="shared" si="78"/>
        <v>0.5268130487</v>
      </c>
      <c r="G116" s="35">
        <f t="shared" si="78"/>
        <v>0.5022104352</v>
      </c>
      <c r="H116" s="35">
        <f t="shared" si="78"/>
        <v>0.4607481358</v>
      </c>
      <c r="I116" s="35">
        <f t="shared" si="78"/>
        <v>0.4387611777</v>
      </c>
      <c r="J116" s="35">
        <f t="shared" si="78"/>
        <v>0.4390536904</v>
      </c>
    </row>
    <row r="117" ht="15.75" customHeight="1">
      <c r="A117" s="5" t="s">
        <v>71</v>
      </c>
      <c r="B117" s="35">
        <f t="shared" ref="B117:J117" si="79">B99/B110</f>
        <v>0.1897196705</v>
      </c>
      <c r="C117" s="35">
        <f t="shared" si="79"/>
        <v>0.1635133586</v>
      </c>
      <c r="D117" s="35">
        <f t="shared" si="79"/>
        <v>0.1684656973</v>
      </c>
      <c r="E117" s="35">
        <f t="shared" si="79"/>
        <v>0.1608256235</v>
      </c>
      <c r="F117" s="35">
        <f t="shared" si="79"/>
        <v>0.1543093527</v>
      </c>
      <c r="G117" s="35">
        <f t="shared" si="79"/>
        <v>0.2377342067</v>
      </c>
      <c r="H117" s="35">
        <f t="shared" si="79"/>
        <v>0.4125044343</v>
      </c>
      <c r="I117" s="35">
        <f t="shared" si="79"/>
        <v>0.391215147</v>
      </c>
      <c r="J117" s="35">
        <f t="shared" si="79"/>
        <v>0.4211648478</v>
      </c>
    </row>
    <row r="118" ht="15.75" customHeight="1">
      <c r="A118" s="17" t="s">
        <v>81</v>
      </c>
      <c r="B118" s="36">
        <f t="shared" ref="B118:J118" si="80">B100/B111</f>
        <v>0.4152061683</v>
      </c>
      <c r="C118" s="36">
        <f t="shared" si="80"/>
        <v>0.4121060587</v>
      </c>
      <c r="D118" s="36">
        <f t="shared" si="80"/>
        <v>0.4408217398</v>
      </c>
      <c r="E118" s="36">
        <f t="shared" si="80"/>
        <v>0.4594576993</v>
      </c>
      <c r="F118" s="36">
        <f t="shared" si="80"/>
        <v>0.4550239155</v>
      </c>
      <c r="G118" s="36">
        <f t="shared" si="80"/>
        <v>0.4678848881</v>
      </c>
      <c r="H118" s="36">
        <f t="shared" si="80"/>
        <v>0.4531046516</v>
      </c>
      <c r="I118" s="36">
        <f t="shared" si="80"/>
        <v>0.4318387526</v>
      </c>
      <c r="J118" s="36">
        <f t="shared" si="80"/>
        <v>0.43659539</v>
      </c>
      <c r="K118" s="118">
        <v>0.46</v>
      </c>
      <c r="L118" s="119">
        <f t="shared" ref="L118:P118" si="81">K118</f>
        <v>0.46</v>
      </c>
      <c r="M118" s="119">
        <f t="shared" si="81"/>
        <v>0.46</v>
      </c>
      <c r="N118" s="119">
        <f t="shared" si="81"/>
        <v>0.46</v>
      </c>
      <c r="O118" s="119">
        <f t="shared" si="81"/>
        <v>0.46</v>
      </c>
      <c r="P118" s="119">
        <f t="shared" si="81"/>
        <v>0.46</v>
      </c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ht="15.75" customHeight="1">
      <c r="A119" s="5"/>
    </row>
    <row r="120" ht="15.75" customHeight="1">
      <c r="A120" s="5" t="s">
        <v>82</v>
      </c>
      <c r="B120" s="19">
        <f t="shared" ref="B120:J120" si="82">(B3/B100)*10^6</f>
        <v>399241.4193</v>
      </c>
      <c r="C120" s="19">
        <f t="shared" si="82"/>
        <v>434048.6407</v>
      </c>
      <c r="D120" s="19">
        <f t="shared" si="82"/>
        <v>448474.7473</v>
      </c>
      <c r="E120" s="19">
        <f t="shared" si="82"/>
        <v>462125.4059</v>
      </c>
      <c r="F120" s="19">
        <f t="shared" si="82"/>
        <v>483977.1329</v>
      </c>
      <c r="G120" s="19">
        <f t="shared" si="82"/>
        <v>482707.1991</v>
      </c>
      <c r="H120" s="19">
        <f t="shared" si="82"/>
        <v>534472.7538</v>
      </c>
      <c r="I120" s="19">
        <f t="shared" si="82"/>
        <v>602238.1653</v>
      </c>
      <c r="J120" s="19">
        <f t="shared" si="82"/>
        <v>664340.711</v>
      </c>
      <c r="K120" s="19">
        <f t="shared" ref="K120:P120" si="83">J120*(1+K121)</f>
        <v>730774.7821</v>
      </c>
      <c r="L120" s="19">
        <f t="shared" si="83"/>
        <v>803852.2603</v>
      </c>
      <c r="M120" s="19">
        <f t="shared" si="83"/>
        <v>884237.4863</v>
      </c>
      <c r="N120" s="19">
        <f t="shared" si="83"/>
        <v>972661.235</v>
      </c>
      <c r="O120" s="19">
        <f t="shared" si="83"/>
        <v>1069927.358</v>
      </c>
      <c r="P120" s="19">
        <f t="shared" si="83"/>
        <v>1176920.094</v>
      </c>
    </row>
    <row r="121" ht="15.75" customHeight="1">
      <c r="A121" s="5" t="s">
        <v>83</v>
      </c>
      <c r="C121" s="35">
        <f t="shared" ref="C121:J121" si="84">C120/B120-1</f>
        <v>0.08718339278</v>
      </c>
      <c r="D121" s="35">
        <f t="shared" si="84"/>
        <v>0.03323615199</v>
      </c>
      <c r="E121" s="35">
        <f t="shared" si="84"/>
        <v>0.03043796469</v>
      </c>
      <c r="F121" s="35">
        <f t="shared" si="84"/>
        <v>0.04728527542</v>
      </c>
      <c r="G121" s="35">
        <f t="shared" si="84"/>
        <v>-0.002623954209</v>
      </c>
      <c r="H121" s="35">
        <f t="shared" si="84"/>
        <v>0.1072400718</v>
      </c>
      <c r="I121" s="35">
        <f t="shared" si="84"/>
        <v>0.1267892722</v>
      </c>
      <c r="J121" s="35">
        <f t="shared" si="84"/>
        <v>0.1031195784</v>
      </c>
      <c r="K121" s="37">
        <v>0.1</v>
      </c>
      <c r="L121" s="38">
        <f t="shared" ref="L121:P121" si="85">K121</f>
        <v>0.1</v>
      </c>
      <c r="M121" s="38">
        <f t="shared" si="85"/>
        <v>0.1</v>
      </c>
      <c r="N121" s="38">
        <f t="shared" si="85"/>
        <v>0.1</v>
      </c>
      <c r="O121" s="38">
        <f t="shared" si="85"/>
        <v>0.1</v>
      </c>
      <c r="P121" s="38">
        <f t="shared" si="85"/>
        <v>0.1</v>
      </c>
    </row>
    <row r="122" ht="15.75" customHeight="1">
      <c r="A122" s="5"/>
    </row>
    <row r="123" ht="15.75" customHeight="1">
      <c r="A123" s="17" t="s">
        <v>84</v>
      </c>
    </row>
    <row r="124" ht="15.75" customHeight="1">
      <c r="A124" s="5"/>
    </row>
    <row r="125" ht="15.75" customHeight="1">
      <c r="A125" s="1" t="s">
        <v>5</v>
      </c>
      <c r="B125" s="35">
        <f t="shared" ref="B125:J125" si="86">B9/B$3</f>
        <v>0.6344154991</v>
      </c>
      <c r="C125" s="35">
        <f t="shared" si="86"/>
        <v>0.6260982595</v>
      </c>
      <c r="D125" s="35">
        <f t="shared" si="86"/>
        <v>0.5631316612</v>
      </c>
      <c r="E125" s="35">
        <f t="shared" si="86"/>
        <v>0.5231379657</v>
      </c>
      <c r="F125" s="35">
        <f t="shared" si="86"/>
        <v>0.4577689664</v>
      </c>
      <c r="G125" s="35">
        <f t="shared" si="86"/>
        <v>0.4731484113</v>
      </c>
      <c r="H125" s="35">
        <f t="shared" si="86"/>
        <v>0.4499002602</v>
      </c>
      <c r="I125" s="35">
        <f t="shared" si="86"/>
        <v>0.6194769187</v>
      </c>
      <c r="J125" s="35">
        <f t="shared" si="86"/>
        <v>0.5562970628</v>
      </c>
      <c r="K125" s="37">
        <v>0.6</v>
      </c>
      <c r="L125" s="38">
        <f t="shared" ref="L125:P125" si="87">K125</f>
        <v>0.6</v>
      </c>
      <c r="M125" s="38">
        <f t="shared" si="87"/>
        <v>0.6</v>
      </c>
      <c r="N125" s="38">
        <f t="shared" si="87"/>
        <v>0.6</v>
      </c>
      <c r="O125" s="38">
        <f t="shared" si="87"/>
        <v>0.6</v>
      </c>
      <c r="P125" s="38">
        <f t="shared" si="87"/>
        <v>0.6</v>
      </c>
    </row>
    <row r="126" ht="15.75" customHeight="1">
      <c r="A126" s="1" t="s">
        <v>6</v>
      </c>
      <c r="B126" s="35">
        <f t="shared" ref="B126:J126" si="88">B10/B$3</f>
        <v>0.05558038257</v>
      </c>
      <c r="C126" s="35">
        <f t="shared" si="88"/>
        <v>0.06599985312</v>
      </c>
      <c r="D126" s="35">
        <f t="shared" si="88"/>
        <v>0.1253248364</v>
      </c>
      <c r="E126" s="35">
        <f t="shared" si="88"/>
        <v>0.1663895618</v>
      </c>
      <c r="F126" s="35">
        <f t="shared" si="88"/>
        <v>0.2480465239</v>
      </c>
      <c r="G126" s="35">
        <f t="shared" si="88"/>
        <v>0.2451841642</v>
      </c>
      <c r="H126" s="35">
        <f t="shared" si="88"/>
        <v>0.2988515767</v>
      </c>
      <c r="I126" s="35">
        <f t="shared" si="88"/>
        <v>0.1073786905</v>
      </c>
      <c r="J126" s="35">
        <f t="shared" si="88"/>
        <v>0.1494746162</v>
      </c>
      <c r="K126" s="37">
        <v>0.08</v>
      </c>
      <c r="L126" s="38">
        <f t="shared" ref="L126:P126" si="89">K126</f>
        <v>0.08</v>
      </c>
      <c r="M126" s="38">
        <f t="shared" si="89"/>
        <v>0.08</v>
      </c>
      <c r="N126" s="38">
        <f t="shared" si="89"/>
        <v>0.08</v>
      </c>
      <c r="O126" s="38">
        <f t="shared" si="89"/>
        <v>0.08</v>
      </c>
      <c r="P126" s="38">
        <f t="shared" si="89"/>
        <v>0.08</v>
      </c>
    </row>
    <row r="127" ht="15.75" customHeight="1">
      <c r="A127" s="1" t="s">
        <v>8</v>
      </c>
      <c r="B127" s="35">
        <f t="shared" ref="B127:J127" si="90">B11/B$3</f>
        <v>0.0001104071922</v>
      </c>
      <c r="C127" s="35">
        <f t="shared" si="90"/>
        <v>-0.005570977455</v>
      </c>
      <c r="D127" s="35">
        <f t="shared" si="90"/>
        <v>0.0005112179768</v>
      </c>
      <c r="E127" s="35">
        <f t="shared" si="90"/>
        <v>0.002458506887</v>
      </c>
      <c r="F127" s="35">
        <f t="shared" si="90"/>
        <v>-0.003154903516</v>
      </c>
      <c r="G127" s="35">
        <f t="shared" si="90"/>
        <v>0.003887909964</v>
      </c>
      <c r="H127" s="35">
        <f t="shared" si="90"/>
        <v>-0.001054004424</v>
      </c>
      <c r="I127" s="35">
        <f t="shared" si="90"/>
        <v>-0.004902461703</v>
      </c>
      <c r="J127" s="35">
        <f t="shared" si="90"/>
        <v>-0.002668862286</v>
      </c>
      <c r="K127" s="38">
        <f t="shared" ref="K127:P127" si="91">J127</f>
        <v>-0.002668862286</v>
      </c>
      <c r="L127" s="38">
        <f t="shared" si="91"/>
        <v>-0.002668862286</v>
      </c>
      <c r="M127" s="38">
        <f t="shared" si="91"/>
        <v>-0.002668862286</v>
      </c>
      <c r="N127" s="38">
        <f t="shared" si="91"/>
        <v>-0.002668862286</v>
      </c>
      <c r="O127" s="38">
        <f t="shared" si="91"/>
        <v>-0.002668862286</v>
      </c>
      <c r="P127" s="38">
        <f t="shared" si="91"/>
        <v>-0.002668862286</v>
      </c>
    </row>
    <row r="128" ht="15.75" customHeight="1">
      <c r="A128" s="1" t="s">
        <v>10</v>
      </c>
      <c r="B128" s="35">
        <f t="shared" ref="B128:J128" si="92">B12/B$3</f>
        <v>0.03610490436</v>
      </c>
      <c r="C128" s="35">
        <f t="shared" si="92"/>
        <v>0.03466696042</v>
      </c>
      <c r="D128" s="35">
        <f t="shared" si="92"/>
        <v>0.03587797929</v>
      </c>
      <c r="E128" s="35">
        <f t="shared" si="92"/>
        <v>0.03816727374</v>
      </c>
      <c r="F128" s="35">
        <f t="shared" si="92"/>
        <v>0.04515199577</v>
      </c>
      <c r="G128" s="35">
        <f t="shared" si="92"/>
        <v>0.04876371284</v>
      </c>
      <c r="H128" s="35">
        <f t="shared" si="92"/>
        <v>0.04586674033</v>
      </c>
      <c r="I128" s="35">
        <f t="shared" si="92"/>
        <v>0.04483155547</v>
      </c>
      <c r="J128" s="35">
        <f t="shared" si="92"/>
        <v>0.04442182405</v>
      </c>
      <c r="K128" s="37">
        <v>0.04</v>
      </c>
      <c r="L128" s="38">
        <f t="shared" ref="L128:P128" si="93">K128</f>
        <v>0.04</v>
      </c>
      <c r="M128" s="38">
        <f t="shared" si="93"/>
        <v>0.04</v>
      </c>
      <c r="N128" s="38">
        <f t="shared" si="93"/>
        <v>0.04</v>
      </c>
      <c r="O128" s="38">
        <f t="shared" si="93"/>
        <v>0.04</v>
      </c>
      <c r="P128" s="38">
        <f t="shared" si="93"/>
        <v>0.04</v>
      </c>
    </row>
    <row r="129" ht="15.75" customHeight="1">
      <c r="A129" s="1" t="s">
        <v>12</v>
      </c>
      <c r="B129" s="35">
        <f t="shared" ref="B129:J129" si="94">B13/B$3</f>
        <v>0.1422097211</v>
      </c>
      <c r="C129" s="35">
        <f t="shared" si="94"/>
        <v>0.1281927003</v>
      </c>
      <c r="D129" s="35">
        <f t="shared" si="94"/>
        <v>0.1252433924</v>
      </c>
      <c r="E129" s="35">
        <f t="shared" si="94"/>
        <v>0.1434229712</v>
      </c>
      <c r="F129" s="35">
        <f t="shared" si="94"/>
        <v>0.1571451229</v>
      </c>
      <c r="G129" s="35">
        <f t="shared" si="94"/>
        <v>0.1540030126</v>
      </c>
      <c r="H129" s="35">
        <f t="shared" si="94"/>
        <v>0.1434702671</v>
      </c>
      <c r="I129" s="35">
        <f t="shared" si="94"/>
        <v>0.123951629</v>
      </c>
      <c r="J129" s="35">
        <f t="shared" si="94"/>
        <v>0.1237157951</v>
      </c>
      <c r="K129" s="38">
        <f t="shared" ref="K129:P129" si="95">J129</f>
        <v>0.1237157951</v>
      </c>
      <c r="L129" s="38">
        <f t="shared" si="95"/>
        <v>0.1237157951</v>
      </c>
      <c r="M129" s="38">
        <f t="shared" si="95"/>
        <v>0.1237157951</v>
      </c>
      <c r="N129" s="38">
        <f t="shared" si="95"/>
        <v>0.1237157951</v>
      </c>
      <c r="O129" s="38">
        <f t="shared" si="95"/>
        <v>0.1237157951</v>
      </c>
      <c r="P129" s="38">
        <f t="shared" si="95"/>
        <v>0.1237157951</v>
      </c>
    </row>
    <row r="130" ht="15.75" customHeight="1">
      <c r="A130" s="1" t="s">
        <v>85</v>
      </c>
      <c r="B130" s="35">
        <f t="shared" ref="B130:J130" si="96">B14/B$3</f>
        <v>-0.001055002059</v>
      </c>
      <c r="C130" s="35">
        <f t="shared" si="96"/>
        <v>-0.001521627378</v>
      </c>
      <c r="D130" s="35">
        <f t="shared" si="96"/>
        <v>-0.00124170837</v>
      </c>
      <c r="E130" s="35">
        <f t="shared" si="96"/>
        <v>-0.001418637481</v>
      </c>
      <c r="F130" s="35">
        <f t="shared" si="96"/>
        <v>-0.001608511763</v>
      </c>
      <c r="G130" s="35">
        <f t="shared" si="96"/>
        <v>-0.001034502359</v>
      </c>
      <c r="H130" s="35">
        <f t="shared" si="96"/>
        <v>-0.001635914493</v>
      </c>
      <c r="I130" s="35">
        <f t="shared" si="96"/>
        <v>-0.001321680028</v>
      </c>
      <c r="J130" s="35">
        <f t="shared" si="96"/>
        <v>-0.001837750655</v>
      </c>
      <c r="K130" s="38">
        <f t="shared" ref="K130:P130" si="97">J130</f>
        <v>-0.001837750655</v>
      </c>
      <c r="L130" s="38">
        <f t="shared" si="97"/>
        <v>-0.001837750655</v>
      </c>
      <c r="M130" s="38">
        <f t="shared" si="97"/>
        <v>-0.001837750655</v>
      </c>
      <c r="N130" s="38">
        <f t="shared" si="97"/>
        <v>-0.001837750655</v>
      </c>
      <c r="O130" s="38">
        <f t="shared" si="97"/>
        <v>-0.001837750655</v>
      </c>
      <c r="P130" s="38">
        <f t="shared" si="97"/>
        <v>-0.001837750655</v>
      </c>
    </row>
    <row r="131" ht="15.75" customHeight="1">
      <c r="A131" s="5"/>
    </row>
    <row r="132" ht="15.75" hidden="1" customHeight="1">
      <c r="A132" s="5"/>
    </row>
    <row r="133" ht="15.75" hidden="1" customHeight="1">
      <c r="A133" s="18" t="s">
        <v>86</v>
      </c>
    </row>
    <row r="134" ht="15.75" hidden="1" customHeight="1">
      <c r="A134" s="5"/>
    </row>
    <row r="135" ht="15.75" hidden="1" customHeight="1">
      <c r="A135" s="1" t="s">
        <v>5</v>
      </c>
    </row>
    <row r="136" ht="15.75" hidden="1" customHeight="1">
      <c r="A136" s="1" t="s">
        <v>6</v>
      </c>
    </row>
    <row r="137" ht="15.75" hidden="1" customHeight="1">
      <c r="A137" s="1" t="s">
        <v>8</v>
      </c>
    </row>
    <row r="138" ht="15.75" hidden="1" customHeight="1">
      <c r="A138" s="1" t="s">
        <v>10</v>
      </c>
    </row>
    <row r="139" ht="15.75" hidden="1" customHeight="1">
      <c r="A139" s="1" t="s">
        <v>12</v>
      </c>
    </row>
    <row r="140" ht="15.75" hidden="1" customHeight="1">
      <c r="A140" s="1" t="s">
        <v>85</v>
      </c>
    </row>
    <row r="141" ht="15.75" hidden="1" customHeight="1">
      <c r="A141" s="5"/>
    </row>
    <row r="142" ht="15.75" hidden="1" customHeight="1">
      <c r="A142" s="1" t="s">
        <v>83</v>
      </c>
    </row>
    <row r="143" ht="15.75" hidden="1" customHeight="1">
      <c r="A143" s="1" t="s">
        <v>5</v>
      </c>
    </row>
    <row r="144" ht="15.75" hidden="1" customHeight="1">
      <c r="A144" s="1" t="s">
        <v>6</v>
      </c>
    </row>
    <row r="145" ht="15.75" hidden="1" customHeight="1">
      <c r="A145" s="1" t="s">
        <v>8</v>
      </c>
    </row>
    <row r="146" ht="15.75" hidden="1" customHeight="1">
      <c r="A146" s="1" t="s">
        <v>10</v>
      </c>
    </row>
    <row r="147" ht="15.75" hidden="1" customHeight="1">
      <c r="A147" s="1" t="s">
        <v>12</v>
      </c>
    </row>
    <row r="148" ht="15.75" hidden="1" customHeight="1">
      <c r="A148" s="1" t="s">
        <v>85</v>
      </c>
    </row>
    <row r="149" ht="15.75" hidden="1" customHeight="1">
      <c r="A149" s="5"/>
    </row>
    <row r="150" ht="15.75" hidden="1" customHeight="1">
      <c r="A150" s="5"/>
    </row>
    <row r="151" ht="15.75" hidden="1" customHeight="1">
      <c r="A151" s="5"/>
    </row>
    <row r="152" ht="15.75" customHeight="1">
      <c r="A152" s="18" t="s">
        <v>87</v>
      </c>
    </row>
    <row r="153" ht="15.75" customHeight="1">
      <c r="A153" s="5"/>
    </row>
    <row r="154" ht="15.75" customHeight="1">
      <c r="A154" s="17" t="s">
        <v>60</v>
      </c>
      <c r="B154" s="27">
        <f t="shared" ref="B154:P154" si="98">SUM(B155:B160)</f>
        <v>79004</v>
      </c>
      <c r="C154" s="27">
        <f t="shared" si="98"/>
        <v>87745</v>
      </c>
      <c r="D154" s="27">
        <f t="shared" si="98"/>
        <v>78560</v>
      </c>
      <c r="E154" s="27">
        <f t="shared" si="98"/>
        <v>121849</v>
      </c>
      <c r="F154" s="27">
        <f t="shared" si="98"/>
        <v>84116</v>
      </c>
      <c r="G154" s="27">
        <f t="shared" si="98"/>
        <v>150499</v>
      </c>
      <c r="H154" s="27">
        <f t="shared" si="98"/>
        <v>137512</v>
      </c>
      <c r="I154" s="27">
        <f t="shared" si="98"/>
        <v>129207</v>
      </c>
      <c r="J154" s="27">
        <f t="shared" si="98"/>
        <v>198064</v>
      </c>
      <c r="K154" s="27">
        <f t="shared" si="98"/>
        <v>209876.9401</v>
      </c>
      <c r="L154" s="27">
        <f t="shared" si="98"/>
        <v>245214.4084</v>
      </c>
      <c r="M154" s="27">
        <f t="shared" si="98"/>
        <v>286605.6154</v>
      </c>
      <c r="N154" s="27">
        <f t="shared" si="98"/>
        <v>335099.7624</v>
      </c>
      <c r="O154" s="27">
        <f t="shared" si="98"/>
        <v>391929.2833</v>
      </c>
      <c r="P154" s="27">
        <f t="shared" si="98"/>
        <v>458542.0012</v>
      </c>
    </row>
    <row r="155" ht="15.75" customHeight="1">
      <c r="A155" s="16" t="s">
        <v>61</v>
      </c>
      <c r="B155" s="19">
        <f t="shared" ref="B155:J155" si="99">B83</f>
        <v>31326</v>
      </c>
      <c r="C155" s="19">
        <f t="shared" si="99"/>
        <v>32637</v>
      </c>
      <c r="D155" s="19">
        <f t="shared" si="99"/>
        <v>31602</v>
      </c>
      <c r="E155" s="19">
        <f t="shared" si="99"/>
        <v>33226</v>
      </c>
      <c r="F155" s="19">
        <f t="shared" si="99"/>
        <v>32139</v>
      </c>
      <c r="G155" s="19">
        <f t="shared" si="99"/>
        <v>30490</v>
      </c>
      <c r="H155" s="19">
        <f t="shared" si="99"/>
        <v>35323</v>
      </c>
      <c r="I155" s="19">
        <f t="shared" si="99"/>
        <v>54435</v>
      </c>
      <c r="J155" s="19">
        <f t="shared" si="99"/>
        <v>53181</v>
      </c>
      <c r="K155" s="19">
        <f t="shared" ref="K155:P155" si="100">K$170*K174</f>
        <v>69824.85122</v>
      </c>
      <c r="L155" s="19">
        <f t="shared" si="100"/>
        <v>81581.42375</v>
      </c>
      <c r="M155" s="19">
        <f t="shared" si="100"/>
        <v>95352.0403</v>
      </c>
      <c r="N155" s="19">
        <f t="shared" si="100"/>
        <v>111485.7642</v>
      </c>
      <c r="O155" s="19">
        <f t="shared" si="100"/>
        <v>130392.619</v>
      </c>
      <c r="P155" s="19">
        <f t="shared" si="100"/>
        <v>152554.2873</v>
      </c>
    </row>
    <row r="156" ht="15.75" customHeight="1">
      <c r="A156" s="16" t="s">
        <v>62</v>
      </c>
      <c r="B156" s="19">
        <f t="shared" ref="B156:J156" si="101">B84</f>
        <v>13234</v>
      </c>
      <c r="C156" s="19">
        <f t="shared" si="101"/>
        <v>12026</v>
      </c>
      <c r="D156" s="19">
        <f t="shared" si="101"/>
        <v>14654</v>
      </c>
      <c r="E156" s="19">
        <f t="shared" si="101"/>
        <v>23128</v>
      </c>
      <c r="F156" s="19">
        <f t="shared" si="101"/>
        <v>21298</v>
      </c>
      <c r="G156" s="19">
        <f t="shared" si="101"/>
        <v>12799</v>
      </c>
      <c r="H156" s="19">
        <f t="shared" si="101"/>
        <v>20345</v>
      </c>
      <c r="I156" s="19">
        <f t="shared" si="101"/>
        <v>32848</v>
      </c>
      <c r="J156" s="19">
        <f t="shared" si="101"/>
        <v>45968</v>
      </c>
      <c r="K156" s="19">
        <f t="shared" ref="K156:P156" si="102">K$170*K175</f>
        <v>52368.63842</v>
      </c>
      <c r="L156" s="19">
        <f t="shared" si="102"/>
        <v>61186.06781</v>
      </c>
      <c r="M156" s="19">
        <f t="shared" si="102"/>
        <v>71514.03023</v>
      </c>
      <c r="N156" s="19">
        <f t="shared" si="102"/>
        <v>83614.32315</v>
      </c>
      <c r="O156" s="19">
        <f t="shared" si="102"/>
        <v>97794.46428</v>
      </c>
      <c r="P156" s="19">
        <f t="shared" si="102"/>
        <v>114415.7154</v>
      </c>
    </row>
    <row r="157" ht="15.75" customHeight="1">
      <c r="A157" s="16" t="s">
        <v>64</v>
      </c>
      <c r="B157" s="19">
        <f t="shared" ref="B157:J157" si="103">B86</f>
        <v>31</v>
      </c>
      <c r="C157" s="19">
        <f t="shared" si="103"/>
        <v>25</v>
      </c>
      <c r="D157" s="19">
        <f t="shared" si="103"/>
        <v>30</v>
      </c>
      <c r="E157" s="19">
        <f t="shared" si="103"/>
        <v>161</v>
      </c>
      <c r="F157" s="19">
        <f t="shared" si="103"/>
        <v>170</v>
      </c>
      <c r="G157" s="19">
        <f t="shared" si="103"/>
        <v>230</v>
      </c>
      <c r="H157" s="19">
        <f t="shared" si="103"/>
        <v>305</v>
      </c>
      <c r="I157" s="19">
        <f t="shared" si="103"/>
        <v>297</v>
      </c>
      <c r="J157" s="19">
        <f t="shared" si="103"/>
        <v>327</v>
      </c>
      <c r="K157" s="19">
        <f t="shared" ref="K157:P157" si="104">K$170*K176</f>
        <v>402.3864385</v>
      </c>
      <c r="L157" s="19">
        <f t="shared" si="104"/>
        <v>470.1371786</v>
      </c>
      <c r="M157" s="19">
        <f t="shared" si="104"/>
        <v>549.4944455</v>
      </c>
      <c r="N157" s="19">
        <f t="shared" si="104"/>
        <v>642.4698201</v>
      </c>
      <c r="O157" s="19">
        <f t="shared" si="104"/>
        <v>751.4261852</v>
      </c>
      <c r="P157" s="19">
        <f t="shared" si="104"/>
        <v>879.1393789</v>
      </c>
    </row>
    <row r="158" ht="15.75" customHeight="1">
      <c r="A158" s="16" t="s">
        <v>65</v>
      </c>
      <c r="B158" s="19">
        <f t="shared" ref="B158:J158" si="105">B87</f>
        <v>16611</v>
      </c>
      <c r="C158" s="19">
        <f t="shared" si="105"/>
        <v>15408</v>
      </c>
      <c r="D158" s="19">
        <f t="shared" si="105"/>
        <v>13140</v>
      </c>
      <c r="E158" s="19">
        <f t="shared" si="105"/>
        <v>5638</v>
      </c>
      <c r="F158" s="19">
        <f t="shared" si="105"/>
        <v>7974</v>
      </c>
      <c r="G158" s="19">
        <f t="shared" si="105"/>
        <v>9581</v>
      </c>
      <c r="H158" s="19">
        <f t="shared" si="105"/>
        <v>14608</v>
      </c>
      <c r="I158" s="19">
        <f t="shared" si="105"/>
        <v>15602</v>
      </c>
      <c r="J158" s="19">
        <f t="shared" si="105"/>
        <v>25077</v>
      </c>
      <c r="K158" s="19">
        <f t="shared" ref="K158:P158" si="106">K$170*K177</f>
        <v>34912.42561</v>
      </c>
      <c r="L158" s="19">
        <f t="shared" si="106"/>
        <v>40790.71187</v>
      </c>
      <c r="M158" s="19">
        <f t="shared" si="106"/>
        <v>47676.02015</v>
      </c>
      <c r="N158" s="19">
        <f t="shared" si="106"/>
        <v>55742.8821</v>
      </c>
      <c r="O158" s="19">
        <f t="shared" si="106"/>
        <v>65196.30952</v>
      </c>
      <c r="P158" s="19">
        <f t="shared" si="106"/>
        <v>76277.14363</v>
      </c>
    </row>
    <row r="159" ht="15.75" customHeight="1">
      <c r="A159" s="16" t="s">
        <v>66</v>
      </c>
      <c r="B159" s="19">
        <f t="shared" ref="B159:J159" si="107">B88</f>
        <v>4906</v>
      </c>
      <c r="C159" s="19">
        <f t="shared" si="107"/>
        <v>4910</v>
      </c>
      <c r="D159" s="19">
        <f t="shared" si="107"/>
        <v>4115</v>
      </c>
      <c r="E159" s="19">
        <f t="shared" si="107"/>
        <v>4277</v>
      </c>
      <c r="F159" s="19">
        <f t="shared" si="107"/>
        <v>5272</v>
      </c>
      <c r="G159" s="19">
        <f t="shared" si="107"/>
        <v>0</v>
      </c>
      <c r="H159" s="19">
        <f t="shared" si="107"/>
        <v>0</v>
      </c>
      <c r="I159" s="19">
        <f t="shared" si="107"/>
        <v>0</v>
      </c>
      <c r="J159" s="19">
        <f t="shared" si="107"/>
        <v>0</v>
      </c>
      <c r="K159" s="19">
        <f t="shared" ref="K159:P159" si="108">K$170*K178</f>
        <v>0</v>
      </c>
      <c r="L159" s="19">
        <f t="shared" si="108"/>
        <v>0</v>
      </c>
      <c r="M159" s="19">
        <f t="shared" si="108"/>
        <v>0</v>
      </c>
      <c r="N159" s="19">
        <f t="shared" si="108"/>
        <v>0</v>
      </c>
      <c r="O159" s="19">
        <f t="shared" si="108"/>
        <v>0</v>
      </c>
      <c r="P159" s="19">
        <f t="shared" si="108"/>
        <v>0</v>
      </c>
    </row>
    <row r="160" ht="15.75" customHeight="1">
      <c r="A160" s="1" t="s">
        <v>57</v>
      </c>
      <c r="B160" s="19">
        <f t="shared" ref="B160:J160" si="109">B89+B90+B91</f>
        <v>12896</v>
      </c>
      <c r="C160" s="19">
        <f t="shared" si="109"/>
        <v>22739</v>
      </c>
      <c r="D160" s="19">
        <f t="shared" si="109"/>
        <v>15019</v>
      </c>
      <c r="E160" s="19">
        <f t="shared" si="109"/>
        <v>55419</v>
      </c>
      <c r="F160" s="19">
        <f t="shared" si="109"/>
        <v>17263</v>
      </c>
      <c r="G160" s="19">
        <f t="shared" si="109"/>
        <v>97399</v>
      </c>
      <c r="H160" s="19">
        <f t="shared" si="109"/>
        <v>66931</v>
      </c>
      <c r="I160" s="19">
        <f t="shared" si="109"/>
        <v>26025</v>
      </c>
      <c r="J160" s="19">
        <f t="shared" si="109"/>
        <v>73511</v>
      </c>
      <c r="K160" s="19">
        <f t="shared" ref="K160:P160" si="110">K$170*K179</f>
        <v>52368.63842</v>
      </c>
      <c r="L160" s="19">
        <f t="shared" si="110"/>
        <v>61186.06781</v>
      </c>
      <c r="M160" s="19">
        <f t="shared" si="110"/>
        <v>71514.03023</v>
      </c>
      <c r="N160" s="19">
        <f t="shared" si="110"/>
        <v>83614.32315</v>
      </c>
      <c r="O160" s="19">
        <f t="shared" si="110"/>
        <v>97794.46428</v>
      </c>
      <c r="P160" s="19">
        <f t="shared" si="110"/>
        <v>114415.7154</v>
      </c>
    </row>
    <row r="161" ht="15.75" customHeight="1">
      <c r="A161" s="5"/>
    </row>
    <row r="162" ht="15.75" customHeight="1">
      <c r="A162" s="17" t="s">
        <v>42</v>
      </c>
      <c r="B162" s="27">
        <f t="shared" ref="B162:P162" si="111">SUM(B163:B168)</f>
        <v>110441</v>
      </c>
      <c r="C162" s="27">
        <f t="shared" si="111"/>
        <v>132368</v>
      </c>
      <c r="D162" s="27">
        <f t="shared" si="111"/>
        <v>154485</v>
      </c>
      <c r="E162" s="27">
        <f t="shared" si="111"/>
        <v>141605</v>
      </c>
      <c r="F162" s="27">
        <f t="shared" si="111"/>
        <v>113054</v>
      </c>
      <c r="G162" s="27">
        <f t="shared" si="111"/>
        <v>162139</v>
      </c>
      <c r="H162" s="27">
        <f t="shared" si="111"/>
        <v>170235</v>
      </c>
      <c r="I162" s="27">
        <f t="shared" si="111"/>
        <v>227667</v>
      </c>
      <c r="J162" s="27">
        <f t="shared" si="111"/>
        <v>259518</v>
      </c>
      <c r="K162" s="27">
        <f t="shared" si="111"/>
        <v>333413.6646</v>
      </c>
      <c r="L162" s="27">
        <f t="shared" si="111"/>
        <v>389551.2984</v>
      </c>
      <c r="M162" s="27">
        <f t="shared" si="111"/>
        <v>455305.9924</v>
      </c>
      <c r="N162" s="27">
        <f t="shared" si="111"/>
        <v>532344.524</v>
      </c>
      <c r="O162" s="27">
        <f t="shared" si="111"/>
        <v>622624.7559</v>
      </c>
      <c r="P162" s="27">
        <f t="shared" si="111"/>
        <v>728446.7217</v>
      </c>
    </row>
    <row r="163" ht="15.75" customHeight="1">
      <c r="A163" s="1" t="s">
        <v>43</v>
      </c>
      <c r="B163" s="120">
        <f t="shared" ref="B163:J163" si="112">B56</f>
        <v>7956</v>
      </c>
      <c r="C163" s="120">
        <f t="shared" si="112"/>
        <v>8036</v>
      </c>
      <c r="D163" s="120">
        <f t="shared" si="112"/>
        <v>8541</v>
      </c>
      <c r="E163" s="120">
        <f t="shared" si="112"/>
        <v>6729</v>
      </c>
      <c r="F163" s="120">
        <f t="shared" si="112"/>
        <v>6962</v>
      </c>
      <c r="G163" s="120">
        <f t="shared" si="112"/>
        <v>8547</v>
      </c>
      <c r="H163" s="120">
        <f t="shared" si="112"/>
        <v>11113</v>
      </c>
      <c r="I163" s="120">
        <f t="shared" si="112"/>
        <v>11584</v>
      </c>
      <c r="J163" s="120">
        <f t="shared" si="112"/>
        <v>12030</v>
      </c>
      <c r="K163" s="19">
        <f t="shared" ref="K163:P163" si="113">K$170*K182</f>
        <v>17456.21281</v>
      </c>
      <c r="L163" s="19">
        <f t="shared" si="113"/>
        <v>20395.35594</v>
      </c>
      <c r="M163" s="19">
        <f t="shared" si="113"/>
        <v>23838.01008</v>
      </c>
      <c r="N163" s="19">
        <f t="shared" si="113"/>
        <v>27871.44105</v>
      </c>
      <c r="O163" s="19">
        <f t="shared" si="113"/>
        <v>32598.15476</v>
      </c>
      <c r="P163" s="19">
        <f t="shared" si="113"/>
        <v>38138.57181</v>
      </c>
    </row>
    <row r="164" ht="15.75" customHeight="1">
      <c r="A164" s="1" t="s">
        <v>44</v>
      </c>
      <c r="B164" s="120">
        <f t="shared" ref="B164:J164" si="114">B57</f>
        <v>774</v>
      </c>
      <c r="C164" s="120">
        <f t="shared" si="114"/>
        <v>4838</v>
      </c>
      <c r="D164" s="120">
        <f t="shared" si="114"/>
        <v>1108</v>
      </c>
      <c r="E164" s="120">
        <f t="shared" si="114"/>
        <v>1496</v>
      </c>
      <c r="F164" s="120">
        <f t="shared" si="114"/>
        <v>1063</v>
      </c>
      <c r="G164" s="120">
        <f t="shared" si="114"/>
        <v>4962</v>
      </c>
      <c r="H164" s="120">
        <f t="shared" si="114"/>
        <v>3819</v>
      </c>
      <c r="I164" s="120">
        <f t="shared" si="114"/>
        <v>12226</v>
      </c>
      <c r="J164" s="120">
        <f t="shared" si="114"/>
        <v>509</v>
      </c>
      <c r="K164" s="19">
        <f t="shared" ref="K164:P164" si="115">K$170*K183</f>
        <v>1745.621281</v>
      </c>
      <c r="L164" s="19">
        <f t="shared" si="115"/>
        <v>2039.535594</v>
      </c>
      <c r="M164" s="19">
        <f t="shared" si="115"/>
        <v>2383.801008</v>
      </c>
      <c r="N164" s="19">
        <f t="shared" si="115"/>
        <v>2787.144105</v>
      </c>
      <c r="O164" s="19">
        <f t="shared" si="115"/>
        <v>3259.815476</v>
      </c>
      <c r="P164" s="19">
        <f t="shared" si="115"/>
        <v>3813.857181</v>
      </c>
    </row>
    <row r="165" ht="15.75" customHeight="1">
      <c r="A165" s="1" t="s">
        <v>45</v>
      </c>
      <c r="B165" s="120">
        <f t="shared" ref="B165:J165" si="116">B58+B59</f>
        <v>74089</v>
      </c>
      <c r="C165" s="120">
        <f t="shared" si="116"/>
        <v>83692</v>
      </c>
      <c r="D165" s="120">
        <f t="shared" si="116"/>
        <v>104993</v>
      </c>
      <c r="E165" s="120">
        <f t="shared" si="116"/>
        <v>96377</v>
      </c>
      <c r="F165" s="120">
        <f t="shared" si="116"/>
        <v>75091</v>
      </c>
      <c r="G165" s="120">
        <f t="shared" si="116"/>
        <v>101681</v>
      </c>
      <c r="H165" s="120">
        <f t="shared" si="116"/>
        <v>97732</v>
      </c>
      <c r="I165" s="120">
        <f t="shared" si="116"/>
        <v>136755</v>
      </c>
      <c r="J165" s="120">
        <f t="shared" si="116"/>
        <v>169884</v>
      </c>
      <c r="K165" s="19">
        <f t="shared" ref="K165:P165" si="117">K$170*K184</f>
        <v>209474.5537</v>
      </c>
      <c r="L165" s="19">
        <f t="shared" si="117"/>
        <v>244744.2712</v>
      </c>
      <c r="M165" s="19">
        <f t="shared" si="117"/>
        <v>286056.1209</v>
      </c>
      <c r="N165" s="19">
        <f t="shared" si="117"/>
        <v>334457.2926</v>
      </c>
      <c r="O165" s="19">
        <f t="shared" si="117"/>
        <v>391177.8571</v>
      </c>
      <c r="P165" s="19">
        <f t="shared" si="117"/>
        <v>457662.8618</v>
      </c>
    </row>
    <row r="166" ht="15.75" customHeight="1">
      <c r="A166" s="1" t="s">
        <v>46</v>
      </c>
      <c r="B166" s="120">
        <f t="shared" ref="B166:J166" si="118">B60</f>
        <v>11650</v>
      </c>
      <c r="C166" s="120">
        <f t="shared" si="118"/>
        <v>18278</v>
      </c>
      <c r="D166" s="120">
        <f t="shared" si="118"/>
        <v>20896</v>
      </c>
      <c r="E166" s="120">
        <f t="shared" si="118"/>
        <v>16329</v>
      </c>
      <c r="F166" s="120">
        <f t="shared" si="118"/>
        <v>14091</v>
      </c>
      <c r="G166" s="120">
        <f t="shared" si="118"/>
        <v>26801</v>
      </c>
      <c r="H166" s="120">
        <f t="shared" si="118"/>
        <v>28686</v>
      </c>
      <c r="I166" s="120">
        <f t="shared" si="118"/>
        <v>33372</v>
      </c>
      <c r="J166" s="120">
        <f t="shared" si="118"/>
        <v>41739</v>
      </c>
      <c r="K166" s="19">
        <f t="shared" ref="K166:P166" si="119">K$170*K185</f>
        <v>52368.63842</v>
      </c>
      <c r="L166" s="19">
        <f t="shared" si="119"/>
        <v>61186.06781</v>
      </c>
      <c r="M166" s="19">
        <f t="shared" si="119"/>
        <v>71514.03023</v>
      </c>
      <c r="N166" s="19">
        <f t="shared" si="119"/>
        <v>83614.32315</v>
      </c>
      <c r="O166" s="19">
        <f t="shared" si="119"/>
        <v>97794.46428</v>
      </c>
      <c r="P166" s="19">
        <f t="shared" si="119"/>
        <v>114415.7154</v>
      </c>
    </row>
    <row r="167" ht="15.75" customHeight="1">
      <c r="A167" s="1" t="s">
        <v>47</v>
      </c>
      <c r="B167" s="120">
        <f t="shared" ref="B167:J167" si="120">B61</f>
        <v>3994</v>
      </c>
      <c r="C167" s="120">
        <f t="shared" si="120"/>
        <v>4496</v>
      </c>
      <c r="D167" s="120">
        <f t="shared" si="120"/>
        <v>5609</v>
      </c>
      <c r="E167" s="120">
        <f t="shared" si="120"/>
        <v>6254</v>
      </c>
      <c r="F167" s="120">
        <f t="shared" si="120"/>
        <v>6807</v>
      </c>
      <c r="G167" s="120">
        <f t="shared" si="120"/>
        <v>7428</v>
      </c>
      <c r="H167" s="120">
        <f t="shared" si="120"/>
        <v>8613</v>
      </c>
      <c r="I167" s="120">
        <f t="shared" si="120"/>
        <v>10830</v>
      </c>
      <c r="J167" s="120">
        <f t="shared" si="120"/>
        <v>13119</v>
      </c>
      <c r="K167" s="19">
        <f t="shared" ref="K167:P167" si="121">K$170*K186</f>
        <v>17456.21281</v>
      </c>
      <c r="L167" s="19">
        <f t="shared" si="121"/>
        <v>20395.35594</v>
      </c>
      <c r="M167" s="19">
        <f t="shared" si="121"/>
        <v>23838.01008</v>
      </c>
      <c r="N167" s="19">
        <f t="shared" si="121"/>
        <v>27871.44105</v>
      </c>
      <c r="O167" s="19">
        <f t="shared" si="121"/>
        <v>32598.15476</v>
      </c>
      <c r="P167" s="19">
        <f t="shared" si="121"/>
        <v>38138.57181</v>
      </c>
    </row>
    <row r="168" ht="15.75" customHeight="1">
      <c r="A168" s="1" t="s">
        <v>48</v>
      </c>
      <c r="B168" s="120">
        <f t="shared" ref="B168:J168" si="122">B62</f>
        <v>11978</v>
      </c>
      <c r="C168" s="120">
        <f t="shared" si="122"/>
        <v>13028</v>
      </c>
      <c r="D168" s="120">
        <f t="shared" si="122"/>
        <v>13338</v>
      </c>
      <c r="E168" s="120">
        <f t="shared" si="122"/>
        <v>14420</v>
      </c>
      <c r="F168" s="120">
        <f t="shared" si="122"/>
        <v>9040</v>
      </c>
      <c r="G168" s="120">
        <f t="shared" si="122"/>
        <v>12720</v>
      </c>
      <c r="H168" s="120">
        <f t="shared" si="122"/>
        <v>20272</v>
      </c>
      <c r="I168" s="120">
        <f t="shared" si="122"/>
        <v>22900</v>
      </c>
      <c r="J168" s="120">
        <f t="shared" si="122"/>
        <v>22237</v>
      </c>
      <c r="K168" s="19">
        <f t="shared" ref="K168:P168" si="123">K$170*K187</f>
        <v>34912.42561</v>
      </c>
      <c r="L168" s="19">
        <f t="shared" si="123"/>
        <v>40790.71187</v>
      </c>
      <c r="M168" s="19">
        <f t="shared" si="123"/>
        <v>47676.02015</v>
      </c>
      <c r="N168" s="19">
        <f t="shared" si="123"/>
        <v>55742.8821</v>
      </c>
      <c r="O168" s="19">
        <f t="shared" si="123"/>
        <v>65196.30952</v>
      </c>
      <c r="P168" s="19">
        <f t="shared" si="123"/>
        <v>76277.14363</v>
      </c>
    </row>
    <row r="169" ht="15.75" customHeight="1">
      <c r="A169" s="5"/>
    </row>
    <row r="170" ht="15.75" customHeight="1">
      <c r="A170" s="18" t="s">
        <v>88</v>
      </c>
      <c r="B170" s="27">
        <f t="shared" ref="B170:P170" si="124">B3</f>
        <v>570615</v>
      </c>
      <c r="C170" s="27">
        <f t="shared" si="124"/>
        <v>680850</v>
      </c>
      <c r="D170" s="27">
        <f t="shared" si="124"/>
        <v>798094</v>
      </c>
      <c r="E170" s="27">
        <f t="shared" si="124"/>
        <v>860685</v>
      </c>
      <c r="F170" s="27">
        <f t="shared" si="124"/>
        <v>756600</v>
      </c>
      <c r="G170" s="27">
        <f t="shared" si="124"/>
        <v>703720</v>
      </c>
      <c r="H170" s="27">
        <f t="shared" si="124"/>
        <v>883298</v>
      </c>
      <c r="I170" s="27">
        <f t="shared" si="124"/>
        <v>1184099</v>
      </c>
      <c r="J170" s="27">
        <f t="shared" si="124"/>
        <v>1418582</v>
      </c>
      <c r="K170" s="27">
        <f t="shared" si="124"/>
        <v>1745621.281</v>
      </c>
      <c r="L170" s="27">
        <f t="shared" si="124"/>
        <v>2039535.594</v>
      </c>
      <c r="M170" s="27">
        <f t="shared" si="124"/>
        <v>2383801.008</v>
      </c>
      <c r="N170" s="27">
        <f t="shared" si="124"/>
        <v>2787144.105</v>
      </c>
      <c r="O170" s="27">
        <f t="shared" si="124"/>
        <v>3259815.476</v>
      </c>
      <c r="P170" s="27">
        <f t="shared" si="124"/>
        <v>3813857.181</v>
      </c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ht="15.75" customHeight="1">
      <c r="A171" s="5"/>
    </row>
    <row r="172" ht="15.75" customHeight="1">
      <c r="A172" s="18" t="s">
        <v>89</v>
      </c>
    </row>
    <row r="173" ht="15.75" customHeight="1">
      <c r="A173" s="17" t="s">
        <v>60</v>
      </c>
      <c r="B173" s="36"/>
      <c r="C173" s="36"/>
      <c r="D173" s="36"/>
      <c r="E173" s="36"/>
      <c r="F173" s="36"/>
      <c r="G173" s="36"/>
      <c r="H173" s="36"/>
      <c r="I173" s="36"/>
      <c r="J173" s="36"/>
      <c r="K173" s="36">
        <f>average(F174:J174)</f>
        <v>0.04185109842</v>
      </c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ht="15.75" customHeight="1">
      <c r="A174" s="16" t="s">
        <v>61</v>
      </c>
      <c r="B174" s="35">
        <f t="shared" ref="B174:J174" si="125">B155/B$170</f>
        <v>0.05489866197</v>
      </c>
      <c r="C174" s="35">
        <f t="shared" si="125"/>
        <v>0.04793566865</v>
      </c>
      <c r="D174" s="35">
        <f t="shared" si="125"/>
        <v>0.03959683947</v>
      </c>
      <c r="E174" s="35">
        <f t="shared" si="125"/>
        <v>0.03860413508</v>
      </c>
      <c r="F174" s="35">
        <f t="shared" si="125"/>
        <v>0.04247819191</v>
      </c>
      <c r="G174" s="35">
        <f t="shared" si="125"/>
        <v>0.04332689138</v>
      </c>
      <c r="H174" s="35">
        <f t="shared" si="125"/>
        <v>0.03998990148</v>
      </c>
      <c r="I174" s="35">
        <f t="shared" si="125"/>
        <v>0.04597166284</v>
      </c>
      <c r="J174" s="35">
        <f t="shared" si="125"/>
        <v>0.03748884449</v>
      </c>
      <c r="K174" s="37">
        <v>0.04</v>
      </c>
      <c r="L174" s="38">
        <f t="shared" ref="L174:P174" si="126">K174</f>
        <v>0.04</v>
      </c>
      <c r="M174" s="38">
        <f t="shared" si="126"/>
        <v>0.04</v>
      </c>
      <c r="N174" s="38">
        <f t="shared" si="126"/>
        <v>0.04</v>
      </c>
      <c r="O174" s="38">
        <f t="shared" si="126"/>
        <v>0.04</v>
      </c>
      <c r="P174" s="38">
        <f t="shared" si="126"/>
        <v>0.04</v>
      </c>
    </row>
    <row r="175" ht="15.75" customHeight="1">
      <c r="A175" s="16" t="s">
        <v>62</v>
      </c>
      <c r="B175" s="35">
        <f t="shared" ref="B175:J175" si="127">B156/B$170</f>
        <v>0.02319252035</v>
      </c>
      <c r="C175" s="35">
        <f t="shared" si="127"/>
        <v>0.0176632151</v>
      </c>
      <c r="D175" s="35">
        <f t="shared" si="127"/>
        <v>0.01836124567</v>
      </c>
      <c r="E175" s="35">
        <f t="shared" si="127"/>
        <v>0.0268716197</v>
      </c>
      <c r="F175" s="35">
        <f t="shared" si="127"/>
        <v>0.02814961671</v>
      </c>
      <c r="G175" s="35">
        <f t="shared" si="127"/>
        <v>0.01818763144</v>
      </c>
      <c r="H175" s="35">
        <f t="shared" si="127"/>
        <v>0.02303299679</v>
      </c>
      <c r="I175" s="35">
        <f t="shared" si="127"/>
        <v>0.02774092369</v>
      </c>
      <c r="J175" s="35">
        <f t="shared" si="127"/>
        <v>0.03240418954</v>
      </c>
      <c r="K175" s="37">
        <v>0.03</v>
      </c>
      <c r="L175" s="38">
        <f t="shared" ref="L175:P175" si="128">K175</f>
        <v>0.03</v>
      </c>
      <c r="M175" s="38">
        <f t="shared" si="128"/>
        <v>0.03</v>
      </c>
      <c r="N175" s="38">
        <f t="shared" si="128"/>
        <v>0.03</v>
      </c>
      <c r="O175" s="38">
        <f t="shared" si="128"/>
        <v>0.03</v>
      </c>
      <c r="P175" s="38">
        <f t="shared" si="128"/>
        <v>0.03</v>
      </c>
    </row>
    <row r="176" ht="15.75" customHeight="1">
      <c r="A176" s="16" t="s">
        <v>64</v>
      </c>
      <c r="B176" s="35">
        <f t="shared" ref="B176:J176" si="129">B157/B$170</f>
        <v>0.00005432734856</v>
      </c>
      <c r="C176" s="35">
        <f t="shared" si="129"/>
        <v>0.00003671880737</v>
      </c>
      <c r="D176" s="35">
        <f t="shared" si="129"/>
        <v>0.00003758955712</v>
      </c>
      <c r="E176" s="35">
        <f t="shared" si="129"/>
        <v>0.0001870603066</v>
      </c>
      <c r="F176" s="35">
        <f t="shared" si="129"/>
        <v>0.0002246893999</v>
      </c>
      <c r="G176" s="35">
        <f t="shared" si="129"/>
        <v>0.0003268345365</v>
      </c>
      <c r="H176" s="35">
        <f t="shared" si="129"/>
        <v>0.0003452968307</v>
      </c>
      <c r="I176" s="35">
        <f t="shared" si="129"/>
        <v>0.000250823622</v>
      </c>
      <c r="J176" s="35">
        <f t="shared" si="129"/>
        <v>0.0002305118774</v>
      </c>
      <c r="K176" s="38">
        <f t="shared" ref="K176:P176" si="130">J176</f>
        <v>0.0002305118774</v>
      </c>
      <c r="L176" s="38">
        <f t="shared" si="130"/>
        <v>0.0002305118774</v>
      </c>
      <c r="M176" s="38">
        <f t="shared" si="130"/>
        <v>0.0002305118774</v>
      </c>
      <c r="N176" s="38">
        <f t="shared" si="130"/>
        <v>0.0002305118774</v>
      </c>
      <c r="O176" s="38">
        <f t="shared" si="130"/>
        <v>0.0002305118774</v>
      </c>
      <c r="P176" s="38">
        <f t="shared" si="130"/>
        <v>0.0002305118774</v>
      </c>
    </row>
    <row r="177" ht="15.75" customHeight="1">
      <c r="A177" s="16" t="s">
        <v>65</v>
      </c>
      <c r="B177" s="35">
        <f t="shared" ref="B177:J177" si="131">B158/B$170</f>
        <v>0.02911069635</v>
      </c>
      <c r="C177" s="35">
        <f t="shared" si="131"/>
        <v>0.02263053536</v>
      </c>
      <c r="D177" s="35">
        <f t="shared" si="131"/>
        <v>0.01646422602</v>
      </c>
      <c r="E177" s="35">
        <f t="shared" si="131"/>
        <v>0.006550596327</v>
      </c>
      <c r="F177" s="35">
        <f t="shared" si="131"/>
        <v>0.01053925456</v>
      </c>
      <c r="G177" s="35">
        <f t="shared" si="131"/>
        <v>0.01361478997</v>
      </c>
      <c r="H177" s="35">
        <f t="shared" si="131"/>
        <v>0.01653802001</v>
      </c>
      <c r="I177" s="35">
        <f t="shared" si="131"/>
        <v>0.01317626313</v>
      </c>
      <c r="J177" s="35">
        <f t="shared" si="131"/>
        <v>0.01767751177</v>
      </c>
      <c r="K177" s="37">
        <v>0.02</v>
      </c>
      <c r="L177" s="38">
        <f t="shared" ref="L177:P177" si="132">K177</f>
        <v>0.02</v>
      </c>
      <c r="M177" s="38">
        <f t="shared" si="132"/>
        <v>0.02</v>
      </c>
      <c r="N177" s="38">
        <f t="shared" si="132"/>
        <v>0.02</v>
      </c>
      <c r="O177" s="38">
        <f t="shared" si="132"/>
        <v>0.02</v>
      </c>
      <c r="P177" s="38">
        <f t="shared" si="132"/>
        <v>0.02</v>
      </c>
    </row>
    <row r="178" ht="15.75" customHeight="1">
      <c r="A178" s="16" t="s">
        <v>66</v>
      </c>
      <c r="B178" s="35">
        <f t="shared" ref="B178:J178" si="133">B159/B$170</f>
        <v>0.008597741034</v>
      </c>
      <c r="C178" s="35">
        <f t="shared" si="133"/>
        <v>0.007211573768</v>
      </c>
      <c r="D178" s="35">
        <f t="shared" si="133"/>
        <v>0.005156034252</v>
      </c>
      <c r="E178" s="35">
        <f t="shared" si="133"/>
        <v>0.004969297711</v>
      </c>
      <c r="F178" s="35">
        <f t="shared" si="133"/>
        <v>0.006968014803</v>
      </c>
      <c r="G178" s="35">
        <f t="shared" si="133"/>
        <v>0</v>
      </c>
      <c r="H178" s="35">
        <f t="shared" si="133"/>
        <v>0</v>
      </c>
      <c r="I178" s="35">
        <f t="shared" si="133"/>
        <v>0</v>
      </c>
      <c r="J178" s="35">
        <f t="shared" si="133"/>
        <v>0</v>
      </c>
      <c r="K178" s="38">
        <f t="shared" ref="K178:P178" si="134">J178</f>
        <v>0</v>
      </c>
      <c r="L178" s="38">
        <f t="shared" si="134"/>
        <v>0</v>
      </c>
      <c r="M178" s="38">
        <f t="shared" si="134"/>
        <v>0</v>
      </c>
      <c r="N178" s="38">
        <f t="shared" si="134"/>
        <v>0</v>
      </c>
      <c r="O178" s="38">
        <f t="shared" si="134"/>
        <v>0</v>
      </c>
      <c r="P178" s="38">
        <f t="shared" si="134"/>
        <v>0</v>
      </c>
    </row>
    <row r="179" ht="15.75" customHeight="1">
      <c r="A179" s="1" t="s">
        <v>57</v>
      </c>
      <c r="B179" s="35">
        <f t="shared" ref="B179:J179" si="135">B160/B$170</f>
        <v>0.022600177</v>
      </c>
      <c r="C179" s="35">
        <f t="shared" si="135"/>
        <v>0.03339795843</v>
      </c>
      <c r="D179" s="35">
        <f t="shared" si="135"/>
        <v>0.01881858528</v>
      </c>
      <c r="E179" s="35">
        <f t="shared" si="135"/>
        <v>0.06438941076</v>
      </c>
      <c r="F179" s="35">
        <f t="shared" si="135"/>
        <v>0.02281654771</v>
      </c>
      <c r="G179" s="35">
        <f t="shared" si="135"/>
        <v>0.1384059001</v>
      </c>
      <c r="H179" s="35">
        <f t="shared" si="135"/>
        <v>0.07577397436</v>
      </c>
      <c r="I179" s="35">
        <f t="shared" si="135"/>
        <v>0.02197873658</v>
      </c>
      <c r="J179" s="35">
        <f t="shared" si="135"/>
        <v>0.05182005693</v>
      </c>
      <c r="K179" s="37">
        <v>0.03</v>
      </c>
      <c r="L179" s="38">
        <f t="shared" ref="L179:P179" si="136">K179</f>
        <v>0.03</v>
      </c>
      <c r="M179" s="38">
        <f t="shared" si="136"/>
        <v>0.03</v>
      </c>
      <c r="N179" s="38">
        <f t="shared" si="136"/>
        <v>0.03</v>
      </c>
      <c r="O179" s="38">
        <f t="shared" si="136"/>
        <v>0.03</v>
      </c>
      <c r="P179" s="38">
        <f t="shared" si="136"/>
        <v>0.03</v>
      </c>
    </row>
    <row r="180" ht="15.75" customHeight="1">
      <c r="A180" s="5"/>
    </row>
    <row r="181" ht="15.75" customHeight="1">
      <c r="A181" s="17" t="s">
        <v>42</v>
      </c>
      <c r="B181" s="36"/>
      <c r="C181" s="36"/>
      <c r="D181" s="36"/>
      <c r="E181" s="36"/>
      <c r="F181" s="36"/>
      <c r="G181" s="36"/>
      <c r="H181" s="36"/>
      <c r="I181" s="36"/>
      <c r="J181" s="36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ht="15.75" customHeight="1">
      <c r="A182" s="1" t="s">
        <v>43</v>
      </c>
      <c r="B182" s="35">
        <f t="shared" ref="B182:J182" si="137">B163/B$170</f>
        <v>0.01394285113</v>
      </c>
      <c r="C182" s="35">
        <f t="shared" si="137"/>
        <v>0.01180289344</v>
      </c>
      <c r="D182" s="35">
        <f t="shared" si="137"/>
        <v>0.01070174691</v>
      </c>
      <c r="E182" s="35">
        <f t="shared" si="137"/>
        <v>0.007818191324</v>
      </c>
      <c r="F182" s="35">
        <f t="shared" si="137"/>
        <v>0.009201691779</v>
      </c>
      <c r="G182" s="35">
        <f t="shared" si="137"/>
        <v>0.01214545558</v>
      </c>
      <c r="H182" s="35">
        <f t="shared" si="137"/>
        <v>0.01258125797</v>
      </c>
      <c r="I182" s="35">
        <f t="shared" si="137"/>
        <v>0.009782965782</v>
      </c>
      <c r="J182" s="35">
        <f t="shared" si="137"/>
        <v>0.008480299341</v>
      </c>
      <c r="K182" s="37">
        <v>0.01</v>
      </c>
      <c r="L182" s="38">
        <f t="shared" ref="L182:P182" si="138">K182</f>
        <v>0.01</v>
      </c>
      <c r="M182" s="38">
        <f t="shared" si="138"/>
        <v>0.01</v>
      </c>
      <c r="N182" s="38">
        <f t="shared" si="138"/>
        <v>0.01</v>
      </c>
      <c r="O182" s="38">
        <f t="shared" si="138"/>
        <v>0.01</v>
      </c>
      <c r="P182" s="38">
        <f t="shared" si="138"/>
        <v>0.01</v>
      </c>
    </row>
    <row r="183" ht="15.75" customHeight="1">
      <c r="A183" s="1" t="s">
        <v>44</v>
      </c>
      <c r="B183" s="35">
        <f t="shared" ref="B183:J183" si="139">B164/B$170</f>
        <v>0.001356431219</v>
      </c>
      <c r="C183" s="35">
        <f t="shared" si="139"/>
        <v>0.007105823603</v>
      </c>
      <c r="D183" s="35">
        <f t="shared" si="139"/>
        <v>0.001388307643</v>
      </c>
      <c r="E183" s="35">
        <f t="shared" si="139"/>
        <v>0.001738150427</v>
      </c>
      <c r="F183" s="35">
        <f t="shared" si="139"/>
        <v>0.001404969601</v>
      </c>
      <c r="G183" s="35">
        <f t="shared" si="139"/>
        <v>0.007051099869</v>
      </c>
      <c r="H183" s="35">
        <f t="shared" si="139"/>
        <v>0.004323569169</v>
      </c>
      <c r="I183" s="35">
        <f t="shared" si="139"/>
        <v>0.01032515018</v>
      </c>
      <c r="J183" s="35">
        <f t="shared" si="139"/>
        <v>0.0003588090079</v>
      </c>
      <c r="K183" s="37">
        <v>0.001</v>
      </c>
      <c r="L183" s="38">
        <f t="shared" ref="L183:P183" si="140">K183</f>
        <v>0.001</v>
      </c>
      <c r="M183" s="38">
        <f t="shared" si="140"/>
        <v>0.001</v>
      </c>
      <c r="N183" s="38">
        <f t="shared" si="140"/>
        <v>0.001</v>
      </c>
      <c r="O183" s="38">
        <f t="shared" si="140"/>
        <v>0.001</v>
      </c>
      <c r="P183" s="38">
        <f t="shared" si="140"/>
        <v>0.001</v>
      </c>
    </row>
    <row r="184" ht="15.75" customHeight="1">
      <c r="A184" s="1" t="s">
        <v>45</v>
      </c>
      <c r="B184" s="35">
        <f t="shared" ref="B184:J184" si="141">B165/B$170</f>
        <v>0.1298406106</v>
      </c>
      <c r="C184" s="35">
        <f t="shared" si="141"/>
        <v>0.1229228171</v>
      </c>
      <c r="D184" s="35">
        <f t="shared" si="141"/>
        <v>0.131554679</v>
      </c>
      <c r="E184" s="35">
        <f t="shared" si="141"/>
        <v>0.111977088</v>
      </c>
      <c r="F184" s="35">
        <f t="shared" si="141"/>
        <v>0.09924795136</v>
      </c>
      <c r="G184" s="35">
        <f t="shared" si="141"/>
        <v>0.1444907065</v>
      </c>
      <c r="H184" s="35">
        <f t="shared" si="141"/>
        <v>0.1106444258</v>
      </c>
      <c r="I184" s="35">
        <f t="shared" si="141"/>
        <v>0.1154928769</v>
      </c>
      <c r="J184" s="35">
        <f t="shared" si="141"/>
        <v>0.1197562073</v>
      </c>
      <c r="K184" s="37">
        <v>0.12</v>
      </c>
      <c r="L184" s="38">
        <f t="shared" ref="L184:P184" si="142">K184</f>
        <v>0.12</v>
      </c>
      <c r="M184" s="38">
        <f t="shared" si="142"/>
        <v>0.12</v>
      </c>
      <c r="N184" s="38">
        <f t="shared" si="142"/>
        <v>0.12</v>
      </c>
      <c r="O184" s="38">
        <f t="shared" si="142"/>
        <v>0.12</v>
      </c>
      <c r="P184" s="38">
        <f t="shared" si="142"/>
        <v>0.12</v>
      </c>
    </row>
    <row r="185" ht="15.75" customHeight="1">
      <c r="A185" s="1" t="s">
        <v>46</v>
      </c>
      <c r="B185" s="35">
        <f t="shared" ref="B185:J185" si="143">B166/B$170</f>
        <v>0.02041656809</v>
      </c>
      <c r="C185" s="35">
        <f t="shared" si="143"/>
        <v>0.02684585445</v>
      </c>
      <c r="D185" s="35">
        <f t="shared" si="143"/>
        <v>0.02618237952</v>
      </c>
      <c r="E185" s="35">
        <f t="shared" si="143"/>
        <v>0.01897209781</v>
      </c>
      <c r="F185" s="35">
        <f t="shared" si="143"/>
        <v>0.01862410785</v>
      </c>
      <c r="G185" s="35">
        <f t="shared" si="143"/>
        <v>0.03808474962</v>
      </c>
      <c r="H185" s="35">
        <f t="shared" si="143"/>
        <v>0.03247601602</v>
      </c>
      <c r="I185" s="35">
        <f t="shared" si="143"/>
        <v>0.02818345426</v>
      </c>
      <c r="J185" s="35">
        <f t="shared" si="143"/>
        <v>0.02942304357</v>
      </c>
      <c r="K185" s="37">
        <v>0.03</v>
      </c>
      <c r="L185" s="38">
        <f t="shared" ref="L185:P185" si="144">K185</f>
        <v>0.03</v>
      </c>
      <c r="M185" s="38">
        <f t="shared" si="144"/>
        <v>0.03</v>
      </c>
      <c r="N185" s="38">
        <f t="shared" si="144"/>
        <v>0.03</v>
      </c>
      <c r="O185" s="38">
        <f t="shared" si="144"/>
        <v>0.03</v>
      </c>
      <c r="P185" s="38">
        <f t="shared" si="144"/>
        <v>0.03</v>
      </c>
    </row>
    <row r="186" ht="15.75" customHeight="1">
      <c r="A186" s="1" t="s">
        <v>47</v>
      </c>
      <c r="B186" s="35">
        <f t="shared" ref="B186:J186" si="145">B167/B$170</f>
        <v>0.006999465489</v>
      </c>
      <c r="C186" s="35">
        <f t="shared" si="145"/>
        <v>0.006603510318</v>
      </c>
      <c r="D186" s="35">
        <f t="shared" si="145"/>
        <v>0.007027994196</v>
      </c>
      <c r="E186" s="35">
        <f t="shared" si="145"/>
        <v>0.007266305327</v>
      </c>
      <c r="F186" s="35">
        <f t="shared" si="145"/>
        <v>0.008996827914</v>
      </c>
      <c r="G186" s="35">
        <f t="shared" si="145"/>
        <v>0.01055533451</v>
      </c>
      <c r="H186" s="35">
        <f t="shared" si="145"/>
        <v>0.009750956076</v>
      </c>
      <c r="I186" s="35">
        <f t="shared" si="145"/>
        <v>0.009146194702</v>
      </c>
      <c r="J186" s="35">
        <f t="shared" si="145"/>
        <v>0.009247967336</v>
      </c>
      <c r="K186" s="37">
        <v>0.01</v>
      </c>
      <c r="L186" s="38">
        <f t="shared" ref="L186:P186" si="146">K186</f>
        <v>0.01</v>
      </c>
      <c r="M186" s="38">
        <f t="shared" si="146"/>
        <v>0.01</v>
      </c>
      <c r="N186" s="38">
        <f t="shared" si="146"/>
        <v>0.01</v>
      </c>
      <c r="O186" s="38">
        <f t="shared" si="146"/>
        <v>0.01</v>
      </c>
      <c r="P186" s="38">
        <f t="shared" si="146"/>
        <v>0.01</v>
      </c>
    </row>
    <row r="187" ht="15.75" customHeight="1">
      <c r="A187" s="1" t="s">
        <v>48</v>
      </c>
      <c r="B187" s="35">
        <f t="shared" ref="B187:J187" si="147">B168/B$170</f>
        <v>0.02099138649</v>
      </c>
      <c r="C187" s="35">
        <f t="shared" si="147"/>
        <v>0.0191349049</v>
      </c>
      <c r="D187" s="35">
        <f t="shared" si="147"/>
        <v>0.0167123171</v>
      </c>
      <c r="E187" s="35">
        <f t="shared" si="147"/>
        <v>0.01675409703</v>
      </c>
      <c r="F187" s="35">
        <f t="shared" si="147"/>
        <v>0.01194818927</v>
      </c>
      <c r="G187" s="35">
        <f t="shared" si="147"/>
        <v>0.01807537089</v>
      </c>
      <c r="H187" s="35">
        <f t="shared" si="147"/>
        <v>0.02295035198</v>
      </c>
      <c r="I187" s="35">
        <f t="shared" si="147"/>
        <v>0.01933959914</v>
      </c>
      <c r="J187" s="35">
        <f t="shared" si="147"/>
        <v>0.01567551259</v>
      </c>
      <c r="K187" s="37">
        <v>0.02</v>
      </c>
      <c r="L187" s="38">
        <f t="shared" ref="L187:P187" si="148">K187</f>
        <v>0.02</v>
      </c>
      <c r="M187" s="38">
        <f t="shared" si="148"/>
        <v>0.02</v>
      </c>
      <c r="N187" s="38">
        <f t="shared" si="148"/>
        <v>0.02</v>
      </c>
      <c r="O187" s="38">
        <f t="shared" si="148"/>
        <v>0.02</v>
      </c>
      <c r="P187" s="38">
        <f t="shared" si="148"/>
        <v>0.02</v>
      </c>
    </row>
    <row r="188" ht="15.75" customHeight="1">
      <c r="A188" s="5"/>
    </row>
    <row r="189" ht="15.75" customHeight="1">
      <c r="A189" s="18" t="s">
        <v>90</v>
      </c>
      <c r="B189" s="27">
        <f t="shared" ref="B189:P189" si="149">B154-B162</f>
        <v>-31437</v>
      </c>
      <c r="C189" s="27">
        <f t="shared" si="149"/>
        <v>-44623</v>
      </c>
      <c r="D189" s="27">
        <f t="shared" si="149"/>
        <v>-75925</v>
      </c>
      <c r="E189" s="27">
        <f t="shared" si="149"/>
        <v>-19756</v>
      </c>
      <c r="F189" s="27">
        <f t="shared" si="149"/>
        <v>-28938</v>
      </c>
      <c r="G189" s="27">
        <f t="shared" si="149"/>
        <v>-11640</v>
      </c>
      <c r="H189" s="27">
        <f t="shared" si="149"/>
        <v>-32723</v>
      </c>
      <c r="I189" s="27">
        <f t="shared" si="149"/>
        <v>-98460</v>
      </c>
      <c r="J189" s="27">
        <f t="shared" si="149"/>
        <v>-61454</v>
      </c>
      <c r="K189" s="27">
        <f t="shared" si="149"/>
        <v>-123536.7245</v>
      </c>
      <c r="L189" s="27">
        <f t="shared" si="149"/>
        <v>-144336.89</v>
      </c>
      <c r="M189" s="27">
        <f t="shared" si="149"/>
        <v>-168700.3771</v>
      </c>
      <c r="N189" s="27">
        <f t="shared" si="149"/>
        <v>-197244.7616</v>
      </c>
      <c r="O189" s="27">
        <f t="shared" si="149"/>
        <v>-230695.4726</v>
      </c>
      <c r="P189" s="27">
        <f t="shared" si="149"/>
        <v>-269904.7205</v>
      </c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ht="15.75" customHeight="1">
      <c r="A190" s="1" t="s">
        <v>91</v>
      </c>
      <c r="C190" s="19">
        <f t="shared" ref="C190:P190" si="150">C189-B189</f>
        <v>-13186</v>
      </c>
      <c r="D190" s="19">
        <f t="shared" si="150"/>
        <v>-31302</v>
      </c>
      <c r="E190" s="19">
        <f t="shared" si="150"/>
        <v>56169</v>
      </c>
      <c r="F190" s="19">
        <f t="shared" si="150"/>
        <v>-9182</v>
      </c>
      <c r="G190" s="19">
        <f t="shared" si="150"/>
        <v>17298</v>
      </c>
      <c r="H190" s="19">
        <f t="shared" si="150"/>
        <v>-21083</v>
      </c>
      <c r="I190" s="19">
        <f t="shared" si="150"/>
        <v>-65737</v>
      </c>
      <c r="J190" s="19">
        <f t="shared" si="150"/>
        <v>37006</v>
      </c>
      <c r="K190" s="19">
        <f t="shared" si="150"/>
        <v>-62082.72448</v>
      </c>
      <c r="L190" s="19">
        <f t="shared" si="150"/>
        <v>-20800.16549</v>
      </c>
      <c r="M190" s="19">
        <f t="shared" si="150"/>
        <v>-24363.48712</v>
      </c>
      <c r="N190" s="19">
        <f t="shared" si="150"/>
        <v>-28544.38454</v>
      </c>
      <c r="O190" s="19">
        <f t="shared" si="150"/>
        <v>-33450.71097</v>
      </c>
      <c r="P190" s="19">
        <f t="shared" si="150"/>
        <v>-39209.2479</v>
      </c>
    </row>
    <row r="191" ht="15.75" customHeight="1">
      <c r="A191" s="5"/>
    </row>
    <row r="192" ht="15.75" customHeight="1">
      <c r="A192" s="18" t="s">
        <v>92</v>
      </c>
    </row>
    <row r="193" ht="15.75" customHeight="1">
      <c r="A193" s="5" t="s">
        <v>93</v>
      </c>
      <c r="B193" s="19">
        <f t="shared" ref="B193:J193" si="151">sum(B69,B71,B73)</f>
        <v>131896</v>
      </c>
      <c r="C193" s="19">
        <f t="shared" si="151"/>
        <v>141900</v>
      </c>
      <c r="D193" s="19">
        <f t="shared" si="151"/>
        <v>152092</v>
      </c>
      <c r="E193" s="19">
        <f t="shared" si="151"/>
        <v>165931</v>
      </c>
      <c r="F193" s="19">
        <f t="shared" si="151"/>
        <v>167529</v>
      </c>
      <c r="G193" s="19">
        <f t="shared" si="151"/>
        <v>159638</v>
      </c>
      <c r="H193" s="19">
        <f t="shared" si="151"/>
        <v>160435</v>
      </c>
      <c r="I193" s="19">
        <f t="shared" si="151"/>
        <v>314476</v>
      </c>
      <c r="J193" s="19">
        <f t="shared" si="151"/>
        <v>349154</v>
      </c>
    </row>
    <row r="194" ht="15.75" customHeight="1">
      <c r="A194" s="5" t="s">
        <v>94</v>
      </c>
      <c r="B194" s="19">
        <f t="shared" ref="B194:J194" si="152">sum(B70,B72)</f>
        <v>3469</v>
      </c>
      <c r="C194" s="19">
        <f t="shared" si="152"/>
        <v>3730</v>
      </c>
      <c r="D194" s="19">
        <f t="shared" si="152"/>
        <v>3117</v>
      </c>
      <c r="E194" s="19">
        <f t="shared" si="152"/>
        <v>4511</v>
      </c>
      <c r="F194" s="19">
        <f t="shared" si="152"/>
        <v>4067</v>
      </c>
      <c r="G194" s="19">
        <f t="shared" si="152"/>
        <v>5217</v>
      </c>
      <c r="H194" s="19">
        <f t="shared" si="152"/>
        <v>6402</v>
      </c>
      <c r="I194" s="19">
        <f t="shared" si="152"/>
        <v>6368</v>
      </c>
      <c r="J194" s="19">
        <f t="shared" si="152"/>
        <v>6842</v>
      </c>
    </row>
    <row r="195" ht="15.75" customHeight="1">
      <c r="A195" s="17" t="s">
        <v>49</v>
      </c>
      <c r="B195" s="27">
        <f t="shared" ref="B195:J195" si="153">sum(B193:B194)</f>
        <v>135365</v>
      </c>
      <c r="C195" s="27">
        <f t="shared" si="153"/>
        <v>145630</v>
      </c>
      <c r="D195" s="27">
        <f t="shared" si="153"/>
        <v>155209</v>
      </c>
      <c r="E195" s="27">
        <f t="shared" si="153"/>
        <v>170442</v>
      </c>
      <c r="F195" s="27">
        <f t="shared" si="153"/>
        <v>171596</v>
      </c>
      <c r="G195" s="27">
        <f t="shared" si="153"/>
        <v>164855</v>
      </c>
      <c r="H195" s="27">
        <f t="shared" si="153"/>
        <v>166837</v>
      </c>
      <c r="I195" s="27">
        <f t="shared" si="153"/>
        <v>320844</v>
      </c>
      <c r="J195" s="27">
        <f t="shared" si="153"/>
        <v>355996</v>
      </c>
      <c r="K195" s="27">
        <f t="shared" ref="K195:P195" si="154">(K95*K197)/10^6</f>
        <v>408000</v>
      </c>
      <c r="L195" s="27">
        <f t="shared" si="154"/>
        <v>456000</v>
      </c>
      <c r="M195" s="27">
        <f t="shared" si="154"/>
        <v>504000</v>
      </c>
      <c r="N195" s="27">
        <f t="shared" si="154"/>
        <v>552000</v>
      </c>
      <c r="O195" s="27">
        <f t="shared" si="154"/>
        <v>600000</v>
      </c>
      <c r="P195" s="27">
        <f t="shared" si="154"/>
        <v>648000</v>
      </c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ht="15.75" customHeight="1">
      <c r="A196" s="5"/>
    </row>
    <row r="197" ht="15.75" customHeight="1">
      <c r="A197" s="17" t="s">
        <v>95</v>
      </c>
      <c r="B197" s="27">
        <f t="shared" ref="B197:J197" si="155">(B195/B95)*10^6</f>
        <v>90243.33333</v>
      </c>
      <c r="C197" s="27">
        <f t="shared" si="155"/>
        <v>93954.83871</v>
      </c>
      <c r="D197" s="27">
        <f t="shared" si="155"/>
        <v>99492.94872</v>
      </c>
      <c r="E197" s="27">
        <f t="shared" si="155"/>
        <v>107874.6835</v>
      </c>
      <c r="F197" s="27">
        <f t="shared" si="155"/>
        <v>85798</v>
      </c>
      <c r="G197" s="27">
        <f t="shared" si="155"/>
        <v>73268.88889</v>
      </c>
      <c r="H197" s="27">
        <f t="shared" si="155"/>
        <v>74149.77778</v>
      </c>
      <c r="I197" s="27">
        <f t="shared" si="155"/>
        <v>142597.3333</v>
      </c>
      <c r="J197" s="27">
        <f t="shared" si="155"/>
        <v>158220.4444</v>
      </c>
      <c r="K197" s="20">
        <v>160000.0</v>
      </c>
      <c r="L197" s="116">
        <f t="shared" ref="L197:P197" si="156">K197</f>
        <v>160000</v>
      </c>
      <c r="M197" s="116">
        <f t="shared" si="156"/>
        <v>160000</v>
      </c>
      <c r="N197" s="116">
        <f t="shared" si="156"/>
        <v>160000</v>
      </c>
      <c r="O197" s="116">
        <f t="shared" si="156"/>
        <v>160000</v>
      </c>
      <c r="P197" s="116">
        <f t="shared" si="156"/>
        <v>160000</v>
      </c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ht="15.75" customHeight="1">
      <c r="A198" s="5"/>
    </row>
    <row r="199" ht="15.75" customHeight="1">
      <c r="A199" s="5" t="s">
        <v>96</v>
      </c>
      <c r="K199" s="19">
        <f t="shared" ref="K199:P199" si="157">(K197*K96)/10^6</f>
        <v>48000</v>
      </c>
      <c r="L199" s="19">
        <f t="shared" si="157"/>
        <v>48000</v>
      </c>
      <c r="M199" s="19">
        <f t="shared" si="157"/>
        <v>48000</v>
      </c>
      <c r="N199" s="19">
        <f t="shared" si="157"/>
        <v>48000</v>
      </c>
      <c r="O199" s="19">
        <f t="shared" si="157"/>
        <v>48000</v>
      </c>
      <c r="P199" s="19">
        <f t="shared" si="157"/>
        <v>48000</v>
      </c>
    </row>
    <row r="200" ht="15.75" customHeight="1">
      <c r="A200" s="5" t="s">
        <v>97</v>
      </c>
      <c r="K200" s="19">
        <f t="shared" ref="K200:P200" si="158">J203</f>
        <v>52558</v>
      </c>
      <c r="L200" s="19">
        <f t="shared" si="158"/>
        <v>61200</v>
      </c>
      <c r="M200" s="19">
        <f t="shared" si="158"/>
        <v>68400</v>
      </c>
      <c r="N200" s="19">
        <f t="shared" si="158"/>
        <v>75600</v>
      </c>
      <c r="O200" s="19">
        <f t="shared" si="158"/>
        <v>82800</v>
      </c>
      <c r="P200" s="19">
        <f t="shared" si="158"/>
        <v>90000</v>
      </c>
    </row>
    <row r="201" ht="15.75" customHeight="1">
      <c r="A201" s="5" t="s">
        <v>98</v>
      </c>
      <c r="K201" s="19">
        <f t="shared" ref="K201:P201" si="159">SUM(K199:K200)</f>
        <v>100558</v>
      </c>
      <c r="L201" s="19">
        <f t="shared" si="159"/>
        <v>109200</v>
      </c>
      <c r="M201" s="19">
        <f t="shared" si="159"/>
        <v>116400</v>
      </c>
      <c r="N201" s="19">
        <f t="shared" si="159"/>
        <v>123600</v>
      </c>
      <c r="O201" s="19">
        <f t="shared" si="159"/>
        <v>130800</v>
      </c>
      <c r="P201" s="19">
        <f t="shared" si="159"/>
        <v>138000</v>
      </c>
    </row>
    <row r="202" ht="15.75" customHeight="1">
      <c r="A202" s="5"/>
    </row>
    <row r="203" ht="15.75" customHeight="1">
      <c r="A203" s="5" t="s">
        <v>99</v>
      </c>
      <c r="B203" s="19">
        <f t="shared" ref="B203:J203" si="160">B20</f>
        <v>28670</v>
      </c>
      <c r="C203" s="19">
        <f t="shared" si="160"/>
        <v>26039</v>
      </c>
      <c r="D203" s="19">
        <f t="shared" si="160"/>
        <v>27598</v>
      </c>
      <c r="E203" s="19">
        <f t="shared" si="160"/>
        <v>30208</v>
      </c>
      <c r="F203" s="19">
        <f t="shared" si="160"/>
        <v>35284</v>
      </c>
      <c r="G203" s="19">
        <f t="shared" si="160"/>
        <v>30341</v>
      </c>
      <c r="H203" s="19">
        <f t="shared" si="160"/>
        <v>27890</v>
      </c>
      <c r="I203" s="19">
        <f t="shared" si="160"/>
        <v>48460</v>
      </c>
      <c r="J203" s="19">
        <f t="shared" si="160"/>
        <v>52558</v>
      </c>
      <c r="K203" s="19">
        <f t="shared" ref="K203:P203" si="161">K195*K204</f>
        <v>61200</v>
      </c>
      <c r="L203" s="19">
        <f t="shared" si="161"/>
        <v>68400</v>
      </c>
      <c r="M203" s="19">
        <f t="shared" si="161"/>
        <v>75600</v>
      </c>
      <c r="N203" s="19">
        <f t="shared" si="161"/>
        <v>82800</v>
      </c>
      <c r="O203" s="19">
        <f t="shared" si="161"/>
        <v>90000</v>
      </c>
      <c r="P203" s="19">
        <f t="shared" si="161"/>
        <v>97200</v>
      </c>
    </row>
    <row r="204" ht="15.75" customHeight="1">
      <c r="A204" s="5" t="s">
        <v>100</v>
      </c>
      <c r="B204" s="35">
        <f t="shared" ref="B204:J204" si="162">B203/B195</f>
        <v>0.2117977321</v>
      </c>
      <c r="C204" s="35">
        <f t="shared" si="162"/>
        <v>0.1788024446</v>
      </c>
      <c r="D204" s="35">
        <f t="shared" si="162"/>
        <v>0.1778118537</v>
      </c>
      <c r="E204" s="35">
        <f t="shared" si="162"/>
        <v>0.177233311</v>
      </c>
      <c r="F204" s="35">
        <f t="shared" si="162"/>
        <v>0.2056225087</v>
      </c>
      <c r="G204" s="35">
        <f t="shared" si="162"/>
        <v>0.1840465864</v>
      </c>
      <c r="H204" s="35">
        <f t="shared" si="162"/>
        <v>0.1671691531</v>
      </c>
      <c r="I204" s="35">
        <f t="shared" si="162"/>
        <v>0.1510391343</v>
      </c>
      <c r="J204" s="35">
        <f t="shared" si="162"/>
        <v>0.1476364903</v>
      </c>
      <c r="K204" s="37">
        <v>0.15</v>
      </c>
      <c r="L204" s="38">
        <f t="shared" ref="L204:P204" si="163">K204</f>
        <v>0.15</v>
      </c>
      <c r="M204" s="38">
        <f t="shared" si="163"/>
        <v>0.15</v>
      </c>
      <c r="N204" s="38">
        <f t="shared" si="163"/>
        <v>0.15</v>
      </c>
      <c r="O204" s="38">
        <f t="shared" si="163"/>
        <v>0.15</v>
      </c>
      <c r="P204" s="38">
        <f t="shared" si="163"/>
        <v>0.15</v>
      </c>
    </row>
    <row r="205" ht="15.75" customHeight="1">
      <c r="A205" s="1"/>
    </row>
    <row r="206" ht="15.75" customHeight="1">
      <c r="A206" s="121" t="s">
        <v>115</v>
      </c>
    </row>
    <row r="207" ht="15.75" customHeight="1">
      <c r="A207" s="29" t="s">
        <v>116</v>
      </c>
      <c r="B207" s="19">
        <f t="shared" ref="B207:P207" si="164">B36</f>
        <v>46988</v>
      </c>
      <c r="C207" s="19">
        <f t="shared" si="164"/>
        <v>77326</v>
      </c>
      <c r="D207" s="19">
        <f t="shared" si="164"/>
        <v>82118</v>
      </c>
      <c r="E207" s="19">
        <f t="shared" si="164"/>
        <v>74103</v>
      </c>
      <c r="F207" s="19">
        <f t="shared" si="164"/>
        <v>52359</v>
      </c>
      <c r="G207" s="19">
        <f t="shared" si="164"/>
        <v>49027</v>
      </c>
      <c r="H207" s="19">
        <f t="shared" si="164"/>
        <v>41924</v>
      </c>
      <c r="I207" s="19">
        <f t="shared" si="164"/>
        <v>83223</v>
      </c>
      <c r="J207" s="19">
        <f t="shared" si="164"/>
        <v>137551</v>
      </c>
      <c r="K207" s="19">
        <f t="shared" si="164"/>
        <v>170690.0114</v>
      </c>
      <c r="L207" s="19">
        <f t="shared" si="164"/>
        <v>198731.1173</v>
      </c>
      <c r="M207" s="19">
        <f t="shared" si="164"/>
        <v>232439.4196</v>
      </c>
      <c r="N207" s="19">
        <f t="shared" si="164"/>
        <v>272797.1261</v>
      </c>
      <c r="O207" s="19">
        <f t="shared" si="164"/>
        <v>320957.9775</v>
      </c>
      <c r="P207" s="19">
        <f t="shared" si="164"/>
        <v>378277.3508</v>
      </c>
    </row>
    <row r="208" ht="15.75" customHeight="1">
      <c r="A208" s="29" t="s">
        <v>117</v>
      </c>
      <c r="B208" s="19">
        <f t="shared" ref="B208:P208" si="165">B20</f>
        <v>28670</v>
      </c>
      <c r="C208" s="19">
        <f t="shared" si="165"/>
        <v>26039</v>
      </c>
      <c r="D208" s="19">
        <f t="shared" si="165"/>
        <v>27598</v>
      </c>
      <c r="E208" s="19">
        <f t="shared" si="165"/>
        <v>30208</v>
      </c>
      <c r="F208" s="19">
        <f t="shared" si="165"/>
        <v>35284</v>
      </c>
      <c r="G208" s="19">
        <f t="shared" si="165"/>
        <v>30341</v>
      </c>
      <c r="H208" s="19">
        <f t="shared" si="165"/>
        <v>27890</v>
      </c>
      <c r="I208" s="19">
        <f t="shared" si="165"/>
        <v>48460</v>
      </c>
      <c r="J208" s="19">
        <f t="shared" si="165"/>
        <v>52558</v>
      </c>
      <c r="K208" s="19">
        <f t="shared" si="165"/>
        <v>61200</v>
      </c>
      <c r="L208" s="19">
        <f t="shared" si="165"/>
        <v>68400</v>
      </c>
      <c r="M208" s="19">
        <f t="shared" si="165"/>
        <v>75600</v>
      </c>
      <c r="N208" s="19">
        <f t="shared" si="165"/>
        <v>82800</v>
      </c>
      <c r="O208" s="19">
        <f t="shared" si="165"/>
        <v>90000</v>
      </c>
      <c r="P208" s="19">
        <f t="shared" si="165"/>
        <v>97200</v>
      </c>
    </row>
    <row r="209" ht="15.75" customHeight="1">
      <c r="A209" s="29" t="s">
        <v>118</v>
      </c>
      <c r="B209" s="15">
        <v>0.0</v>
      </c>
      <c r="C209" s="15">
        <v>0.0</v>
      </c>
      <c r="D209" s="15">
        <v>0.0</v>
      </c>
      <c r="E209" s="15">
        <v>0.0</v>
      </c>
      <c r="F209" s="15">
        <v>0.0</v>
      </c>
      <c r="G209" s="15">
        <v>0.0</v>
      </c>
      <c r="H209" s="15">
        <v>0.0</v>
      </c>
      <c r="I209" s="15">
        <v>0.0</v>
      </c>
      <c r="J209" s="15">
        <v>0.0</v>
      </c>
      <c r="K209" s="19">
        <f t="shared" ref="K209:P209" si="166">K50-J50</f>
        <v>0</v>
      </c>
      <c r="L209" s="19">
        <f t="shared" si="166"/>
        <v>0</v>
      </c>
      <c r="M209" s="19">
        <f t="shared" si="166"/>
        <v>0</v>
      </c>
      <c r="N209" s="19">
        <f t="shared" si="166"/>
        <v>0</v>
      </c>
      <c r="O209" s="19">
        <f t="shared" si="166"/>
        <v>0</v>
      </c>
      <c r="P209" s="19">
        <f t="shared" si="166"/>
        <v>0</v>
      </c>
    </row>
    <row r="210" ht="15.75" customHeight="1">
      <c r="A210" s="29" t="s">
        <v>119</v>
      </c>
      <c r="B210" s="44" t="str">
        <f t="shared" ref="B210:P210" si="167">B190</f>
        <v/>
      </c>
      <c r="C210" s="19">
        <f t="shared" si="167"/>
        <v>-13186</v>
      </c>
      <c r="D210" s="19">
        <f t="shared" si="167"/>
        <v>-31302</v>
      </c>
      <c r="E210" s="19">
        <f t="shared" si="167"/>
        <v>56169</v>
      </c>
      <c r="F210" s="19">
        <f t="shared" si="167"/>
        <v>-9182</v>
      </c>
      <c r="G210" s="19">
        <f t="shared" si="167"/>
        <v>17298</v>
      </c>
      <c r="H210" s="19">
        <f t="shared" si="167"/>
        <v>-21083</v>
      </c>
      <c r="I210" s="19">
        <f t="shared" si="167"/>
        <v>-65737</v>
      </c>
      <c r="J210" s="19">
        <f t="shared" si="167"/>
        <v>37006</v>
      </c>
      <c r="K210" s="19">
        <f t="shared" si="167"/>
        <v>-62082.72448</v>
      </c>
      <c r="L210" s="19">
        <f t="shared" si="167"/>
        <v>-20800.16549</v>
      </c>
      <c r="M210" s="19">
        <f t="shared" si="167"/>
        <v>-24363.48712</v>
      </c>
      <c r="N210" s="19">
        <f t="shared" si="167"/>
        <v>-28544.38454</v>
      </c>
      <c r="O210" s="19">
        <f t="shared" si="167"/>
        <v>-33450.71097</v>
      </c>
      <c r="P210" s="19">
        <f t="shared" si="167"/>
        <v>-39209.2479</v>
      </c>
    </row>
    <row r="211" ht="15.75" customHeight="1">
      <c r="A211" s="29" t="s">
        <v>120</v>
      </c>
      <c r="B211" s="44" t="str">
        <f t="shared" ref="B211:P211" si="168">B201</f>
        <v/>
      </c>
      <c r="C211" s="44" t="str">
        <f t="shared" si="168"/>
        <v/>
      </c>
      <c r="D211" s="44" t="str">
        <f t="shared" si="168"/>
        <v/>
      </c>
      <c r="E211" s="44" t="str">
        <f t="shared" si="168"/>
        <v/>
      </c>
      <c r="F211" s="44" t="str">
        <f t="shared" si="168"/>
        <v/>
      </c>
      <c r="G211" s="44" t="str">
        <f t="shared" si="168"/>
        <v/>
      </c>
      <c r="H211" s="44" t="str">
        <f t="shared" si="168"/>
        <v/>
      </c>
      <c r="I211" s="44" t="str">
        <f t="shared" si="168"/>
        <v/>
      </c>
      <c r="J211" s="44" t="str">
        <f t="shared" si="168"/>
        <v/>
      </c>
      <c r="K211" s="19">
        <f t="shared" si="168"/>
        <v>100558</v>
      </c>
      <c r="L211" s="19">
        <f t="shared" si="168"/>
        <v>109200</v>
      </c>
      <c r="M211" s="19">
        <f t="shared" si="168"/>
        <v>116400</v>
      </c>
      <c r="N211" s="19">
        <f t="shared" si="168"/>
        <v>123600</v>
      </c>
      <c r="O211" s="19">
        <f t="shared" si="168"/>
        <v>130800</v>
      </c>
      <c r="P211" s="19">
        <f t="shared" si="168"/>
        <v>138000</v>
      </c>
    </row>
    <row r="212" ht="15.75" customHeight="1">
      <c r="A212" s="1"/>
    </row>
    <row r="213" ht="15.75" customHeight="1">
      <c r="A213" s="29" t="s">
        <v>121</v>
      </c>
      <c r="B213" s="114"/>
      <c r="C213" s="114"/>
      <c r="D213" s="114"/>
      <c r="E213" s="114"/>
      <c r="F213" s="114"/>
      <c r="G213" s="114"/>
      <c r="H213" s="114"/>
      <c r="I213" s="114"/>
      <c r="J213" s="114"/>
      <c r="K213" s="19">
        <f t="shared" ref="K213:P213" si="169">J215</f>
        <v>28274</v>
      </c>
      <c r="L213" s="19">
        <f t="shared" si="169"/>
        <v>221688.7359</v>
      </c>
      <c r="M213" s="19">
        <f t="shared" si="169"/>
        <v>400420.0187</v>
      </c>
      <c r="N213" s="19">
        <f t="shared" si="169"/>
        <v>616422.9254</v>
      </c>
      <c r="O213" s="19">
        <f t="shared" si="169"/>
        <v>876964.436</v>
      </c>
      <c r="P213" s="19">
        <f t="shared" si="169"/>
        <v>1190573.125</v>
      </c>
    </row>
    <row r="214" ht="15.75" customHeight="1">
      <c r="A214" s="29" t="s">
        <v>122</v>
      </c>
      <c r="B214" s="114"/>
      <c r="C214" s="114"/>
      <c r="D214" s="114"/>
      <c r="E214" s="114"/>
      <c r="F214" s="114"/>
      <c r="G214" s="114"/>
      <c r="H214" s="114"/>
      <c r="I214" s="114"/>
      <c r="J214" s="114"/>
      <c r="K214" s="19">
        <f t="shared" ref="K214:P214" si="170">K207+K208+K209-K210-K211</f>
        <v>193414.7359</v>
      </c>
      <c r="L214" s="19">
        <f t="shared" si="170"/>
        <v>178731.2828</v>
      </c>
      <c r="M214" s="19">
        <f t="shared" si="170"/>
        <v>216002.9067</v>
      </c>
      <c r="N214" s="19">
        <f t="shared" si="170"/>
        <v>260541.5106</v>
      </c>
      <c r="O214" s="19">
        <f t="shared" si="170"/>
        <v>313608.6885</v>
      </c>
      <c r="P214" s="19">
        <f t="shared" si="170"/>
        <v>376686.5987</v>
      </c>
      <c r="Q214" s="19">
        <f t="shared" ref="Q214:V214" si="171">P214*(1+Q216)</f>
        <v>443034.565</v>
      </c>
      <c r="R214" s="19">
        <f t="shared" si="171"/>
        <v>509992.9142</v>
      </c>
      <c r="S214" s="19">
        <f t="shared" si="171"/>
        <v>574321.239</v>
      </c>
      <c r="T214" s="19">
        <f t="shared" si="171"/>
        <v>632405.6326</v>
      </c>
      <c r="U214" s="19">
        <f t="shared" si="171"/>
        <v>680554.2925</v>
      </c>
      <c r="V214" s="19">
        <f t="shared" si="171"/>
        <v>715354.9281</v>
      </c>
      <c r="W214" s="19">
        <f>V214*(1+W216)/(B221-W216)</f>
        <v>7296620.266</v>
      </c>
    </row>
    <row r="215" ht="15.75" customHeight="1">
      <c r="A215" s="121" t="s">
        <v>123</v>
      </c>
      <c r="B215" s="122"/>
      <c r="C215" s="122"/>
      <c r="D215" s="122"/>
      <c r="E215" s="122"/>
      <c r="F215" s="122"/>
      <c r="G215" s="122"/>
      <c r="H215" s="122"/>
      <c r="I215" s="122"/>
      <c r="J215" s="123">
        <f>J85</f>
        <v>28274</v>
      </c>
      <c r="K215" s="27">
        <f t="shared" ref="K215:P215" si="172">K213+K214</f>
        <v>221688.7359</v>
      </c>
      <c r="L215" s="27">
        <f t="shared" si="172"/>
        <v>400420.0187</v>
      </c>
      <c r="M215" s="27">
        <f t="shared" si="172"/>
        <v>616422.9254</v>
      </c>
      <c r="N215" s="27">
        <f t="shared" si="172"/>
        <v>876964.436</v>
      </c>
      <c r="O215" s="27">
        <f t="shared" si="172"/>
        <v>1190573.125</v>
      </c>
      <c r="P215" s="27">
        <f t="shared" si="172"/>
        <v>1567259.723</v>
      </c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ht="15.75" customHeight="1">
      <c r="A216" s="29" t="s">
        <v>124</v>
      </c>
      <c r="L216" s="35">
        <f t="shared" ref="L216:P216" si="173">L214/K214-1</f>
        <v>-0.07591693042</v>
      </c>
      <c r="M216" s="35">
        <f t="shared" si="173"/>
        <v>0.208534417</v>
      </c>
      <c r="N216" s="35">
        <f t="shared" si="173"/>
        <v>0.2061944659</v>
      </c>
      <c r="O216" s="35">
        <f t="shared" si="173"/>
        <v>0.2036803185</v>
      </c>
      <c r="P216" s="35">
        <f t="shared" si="173"/>
        <v>0.2011357227</v>
      </c>
      <c r="Q216" s="35">
        <f t="shared" ref="Q216:V216" si="174">P216-$B$220</f>
        <v>0.1761357227</v>
      </c>
      <c r="R216" s="35">
        <f t="shared" si="174"/>
        <v>0.1511357227</v>
      </c>
      <c r="S216" s="35">
        <f t="shared" si="174"/>
        <v>0.1261357227</v>
      </c>
      <c r="T216" s="35">
        <f t="shared" si="174"/>
        <v>0.1011357227</v>
      </c>
      <c r="U216" s="35">
        <f t="shared" si="174"/>
        <v>0.07613572271</v>
      </c>
      <c r="V216" s="35">
        <f t="shared" si="174"/>
        <v>0.05113572271</v>
      </c>
      <c r="W216" s="35">
        <f>B219</f>
        <v>0.02</v>
      </c>
    </row>
    <row r="217" ht="15.75" customHeight="1">
      <c r="A217" s="1"/>
    </row>
    <row r="218" ht="15.75" customHeight="1">
      <c r="A218" s="1"/>
    </row>
    <row r="219" ht="15.75" customHeight="1">
      <c r="A219" s="29" t="s">
        <v>125</v>
      </c>
      <c r="B219" s="37">
        <v>0.02</v>
      </c>
    </row>
    <row r="220" ht="15.75" customHeight="1">
      <c r="A220" s="29" t="s">
        <v>126</v>
      </c>
      <c r="B220" s="37">
        <v>0.025</v>
      </c>
    </row>
    <row r="221" ht="15.75" customHeight="1">
      <c r="A221" s="29" t="s">
        <v>127</v>
      </c>
      <c r="B221" s="35">
        <f>SUM(B222:B223)</f>
        <v>0.12</v>
      </c>
    </row>
    <row r="222" ht="15.75" customHeight="1">
      <c r="A222" s="29" t="s">
        <v>128</v>
      </c>
      <c r="B222" s="37">
        <v>0.07</v>
      </c>
    </row>
    <row r="223" ht="15.75" customHeight="1">
      <c r="A223" s="29" t="s">
        <v>129</v>
      </c>
      <c r="B223" s="35">
        <f>(12%-7%)*B224</f>
        <v>0.05</v>
      </c>
    </row>
    <row r="224" ht="15.75" customHeight="1">
      <c r="A224" s="29" t="s">
        <v>130</v>
      </c>
      <c r="B224" s="124">
        <v>1.0</v>
      </c>
      <c r="J224" s="125"/>
    </row>
    <row r="225" ht="15.75" customHeight="1">
      <c r="A225" s="29" t="s">
        <v>131</v>
      </c>
      <c r="B225" s="19">
        <f>SUM(K225:W225)</f>
        <v>4072516.983</v>
      </c>
      <c r="J225" s="125" t="s">
        <v>182</v>
      </c>
      <c r="K225" s="19">
        <f t="shared" ref="K225:V225" si="175">-PV($B$221,K1-$J$1,,K214)</f>
        <v>172691.7284</v>
      </c>
      <c r="L225" s="19">
        <f t="shared" si="175"/>
        <v>142483.4844</v>
      </c>
      <c r="M225" s="19">
        <f t="shared" si="175"/>
        <v>153746.6024</v>
      </c>
      <c r="N225" s="19">
        <f t="shared" si="175"/>
        <v>165578.8402</v>
      </c>
      <c r="O225" s="19">
        <f t="shared" si="175"/>
        <v>177949.992</v>
      </c>
      <c r="P225" s="19">
        <f t="shared" si="175"/>
        <v>190841.1538</v>
      </c>
      <c r="Q225" s="19">
        <f t="shared" si="175"/>
        <v>200406.3379</v>
      </c>
      <c r="R225" s="19">
        <f t="shared" si="175"/>
        <v>205977.5844</v>
      </c>
      <c r="S225" s="19">
        <f t="shared" si="175"/>
        <v>207105.9963</v>
      </c>
      <c r="T225" s="19">
        <f t="shared" si="175"/>
        <v>203617.6884</v>
      </c>
      <c r="U225" s="19">
        <f t="shared" si="175"/>
        <v>195643.0966</v>
      </c>
      <c r="V225" s="19">
        <f t="shared" si="175"/>
        <v>183613.7927</v>
      </c>
      <c r="W225" s="19">
        <f>-PV($B$221,V1-$J$1,,W214)</f>
        <v>1872860.685</v>
      </c>
    </row>
    <row r="226" ht="15.75" customHeight="1">
      <c r="A226" s="29" t="s">
        <v>132</v>
      </c>
      <c r="B226" s="19">
        <f>sum(J85,J89,J90)</f>
        <v>101582</v>
      </c>
    </row>
    <row r="227" ht="15.75" customHeight="1">
      <c r="A227" s="126" t="s">
        <v>133</v>
      </c>
      <c r="B227" s="127">
        <f>B225+B226</f>
        <v>4174098.983</v>
      </c>
      <c r="C227" s="15" t="s">
        <v>183</v>
      </c>
    </row>
    <row r="228" ht="15.75" customHeight="1">
      <c r="A228" s="29" t="s">
        <v>135</v>
      </c>
      <c r="B228" s="19">
        <f>314400202/10^6</f>
        <v>314.400202</v>
      </c>
    </row>
    <row r="229" ht="15.75" customHeight="1">
      <c r="A229" s="29" t="s">
        <v>136</v>
      </c>
      <c r="B229" s="19">
        <f>B227/B228</f>
        <v>13276.38773</v>
      </c>
    </row>
    <row r="230" ht="15.75" customHeight="1">
      <c r="A230" s="121" t="s">
        <v>137</v>
      </c>
      <c r="B230" s="52">
        <v>15374.0</v>
      </c>
    </row>
    <row r="231" ht="15.75" customHeight="1">
      <c r="A231" s="1"/>
      <c r="B231" s="19">
        <f>B230-B229</f>
        <v>2097.612275</v>
      </c>
      <c r="C231" s="15" t="s">
        <v>138</v>
      </c>
    </row>
    <row r="232" ht="15.75" customHeight="1">
      <c r="A232" s="1"/>
    </row>
    <row r="233" ht="15.75" customHeight="1">
      <c r="A233" s="1"/>
      <c r="C233" s="19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>
      <c r="A403" s="1"/>
    </row>
    <row r="404" ht="15.75" customHeight="1">
      <c r="A404" s="1"/>
    </row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printOptions/>
  <pageMargins bottom="0.75" footer="0.0" header="0.0" left="0.7" right="0.7" top="0.75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1"/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</row>
    <row r="5" ht="15.75" customHeight="1">
      <c r="A5" s="7"/>
    </row>
    <row r="6" ht="15.75" customHeight="1">
      <c r="A6" s="8" t="s">
        <v>3</v>
      </c>
      <c r="B6" s="9">
        <f t="shared" ref="B6:J6" si="2">SUM(B3:B4)</f>
        <v>586120</v>
      </c>
      <c r="C6" s="9">
        <f t="shared" si="2"/>
        <v>703746</v>
      </c>
      <c r="D6" s="9">
        <f t="shared" si="2"/>
        <v>818552</v>
      </c>
      <c r="E6" s="9">
        <f t="shared" si="2"/>
        <v>886301</v>
      </c>
      <c r="F6" s="9">
        <f t="shared" si="2"/>
        <v>789944</v>
      </c>
      <c r="G6" s="9">
        <f t="shared" si="2"/>
        <v>733083</v>
      </c>
      <c r="H6" s="9">
        <f t="shared" si="2"/>
        <v>900745</v>
      </c>
      <c r="I6" s="9">
        <f t="shared" si="2"/>
        <v>1206746</v>
      </c>
      <c r="J6" s="9">
        <f t="shared" si="2"/>
        <v>1459517</v>
      </c>
      <c r="K6" s="10"/>
      <c r="L6" s="10"/>
      <c r="M6" s="10"/>
      <c r="N6" s="10"/>
      <c r="O6" s="10"/>
      <c r="P6" s="10"/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</row>
    <row r="15" ht="15.75" customHeight="1">
      <c r="A15" s="7"/>
    </row>
    <row r="16" ht="15.75" customHeight="1">
      <c r="A16" s="8" t="s">
        <v>14</v>
      </c>
      <c r="B16" s="13">
        <f t="shared" ref="B16:J16" si="3">SUM(B9:B14)</f>
        <v>494932</v>
      </c>
      <c r="C16" s="13">
        <f t="shared" si="3"/>
        <v>577269</v>
      </c>
      <c r="D16" s="13">
        <f t="shared" si="3"/>
        <v>677460</v>
      </c>
      <c r="E16" s="13">
        <f t="shared" si="3"/>
        <v>750653</v>
      </c>
      <c r="F16" s="13">
        <f t="shared" si="3"/>
        <v>683474</v>
      </c>
      <c r="G16" s="13">
        <f t="shared" si="3"/>
        <v>650204</v>
      </c>
      <c r="H16" s="13">
        <f t="shared" si="3"/>
        <v>826236</v>
      </c>
      <c r="I16" s="13">
        <f t="shared" si="3"/>
        <v>1053155</v>
      </c>
      <c r="J16" s="13">
        <f t="shared" si="3"/>
        <v>1233319</v>
      </c>
      <c r="K16" s="14"/>
      <c r="L16" s="14"/>
      <c r="M16" s="14"/>
      <c r="N16" s="14"/>
      <c r="O16" s="14"/>
      <c r="P16" s="14"/>
    </row>
    <row r="17" ht="15.75" customHeight="1">
      <c r="A17" s="7"/>
    </row>
    <row r="18" ht="15.75" customHeight="1">
      <c r="A18" s="4" t="s">
        <v>15</v>
      </c>
      <c r="B18" s="6">
        <f t="shared" ref="B18:J18" si="4">B6-B16</f>
        <v>91188</v>
      </c>
      <c r="C18" s="6">
        <f t="shared" si="4"/>
        <v>126477</v>
      </c>
      <c r="D18" s="6">
        <f t="shared" si="4"/>
        <v>141092</v>
      </c>
      <c r="E18" s="6">
        <f t="shared" si="4"/>
        <v>135648</v>
      </c>
      <c r="F18" s="6">
        <f t="shared" si="4"/>
        <v>106470</v>
      </c>
      <c r="G18" s="6">
        <f t="shared" si="4"/>
        <v>82879</v>
      </c>
      <c r="H18" s="6">
        <f t="shared" si="4"/>
        <v>74509</v>
      </c>
      <c r="I18" s="6">
        <f t="shared" si="4"/>
        <v>153591</v>
      </c>
      <c r="J18" s="6">
        <f t="shared" si="4"/>
        <v>226198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</row>
    <row r="21" ht="15.75" customHeight="1">
      <c r="A21" s="7"/>
    </row>
    <row r="22" ht="15.75" customHeight="1">
      <c r="A22" s="7" t="s">
        <v>18</v>
      </c>
      <c r="B22" s="6">
        <f t="shared" ref="B22:J22" si="5">B18-B20</f>
        <v>62518</v>
      </c>
      <c r="C22" s="6">
        <f t="shared" si="5"/>
        <v>100438</v>
      </c>
      <c r="D22" s="6">
        <f t="shared" si="5"/>
        <v>113494</v>
      </c>
      <c r="E22" s="6">
        <f t="shared" si="5"/>
        <v>105440</v>
      </c>
      <c r="F22" s="6">
        <f t="shared" si="5"/>
        <v>71186</v>
      </c>
      <c r="G22" s="6">
        <f t="shared" si="5"/>
        <v>52538</v>
      </c>
      <c r="H22" s="6">
        <f t="shared" si="5"/>
        <v>46619</v>
      </c>
      <c r="I22" s="6">
        <f t="shared" si="5"/>
        <v>105131</v>
      </c>
      <c r="J22" s="6">
        <f t="shared" si="5"/>
        <v>173640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</row>
    <row r="25" ht="15.75" customHeight="1">
      <c r="A25" s="7"/>
    </row>
    <row r="26" ht="15.75" customHeight="1">
      <c r="A26" s="7" t="s">
        <v>23</v>
      </c>
      <c r="B26" s="6">
        <f t="shared" ref="B26:J26" si="6">B22-B24</f>
        <v>61581</v>
      </c>
      <c r="C26" s="6">
        <f t="shared" si="6"/>
        <v>99544</v>
      </c>
      <c r="D26" s="6">
        <f t="shared" si="6"/>
        <v>110036</v>
      </c>
      <c r="E26" s="6">
        <f t="shared" si="6"/>
        <v>104681</v>
      </c>
      <c r="F26" s="6">
        <f t="shared" si="6"/>
        <v>69844</v>
      </c>
      <c r="G26" s="6">
        <f t="shared" si="6"/>
        <v>51520</v>
      </c>
      <c r="H26" s="6">
        <f t="shared" si="6"/>
        <v>45353</v>
      </c>
      <c r="I26" s="6">
        <f t="shared" si="6"/>
        <v>102608</v>
      </c>
      <c r="J26" s="6">
        <f t="shared" si="6"/>
        <v>171704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</row>
    <row r="28" ht="15.75" customHeight="1">
      <c r="A28" s="7" t="s">
        <v>25</v>
      </c>
      <c r="B28" s="6">
        <f t="shared" ref="B28:J28" si="7">SUM(B26:B27)</f>
        <v>66296</v>
      </c>
      <c r="C28" s="6">
        <f t="shared" si="7"/>
        <v>101272</v>
      </c>
      <c r="D28" s="6">
        <f t="shared" si="7"/>
        <v>111669</v>
      </c>
      <c r="E28" s="6">
        <f t="shared" si="7"/>
        <v>102651</v>
      </c>
      <c r="F28" s="6">
        <f t="shared" si="7"/>
        <v>65427</v>
      </c>
      <c r="G28" s="6">
        <f t="shared" si="7"/>
        <v>56656</v>
      </c>
      <c r="H28" s="6">
        <f t="shared" si="7"/>
        <v>48482</v>
      </c>
      <c r="I28" s="6">
        <f t="shared" si="7"/>
        <v>103194</v>
      </c>
      <c r="J28" s="6">
        <f t="shared" si="7"/>
        <v>174373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</row>
    <row r="31" ht="15.75" customHeight="1">
      <c r="A31" s="7"/>
    </row>
    <row r="32" ht="15.75" customHeight="1">
      <c r="A32" s="7" t="s">
        <v>27</v>
      </c>
      <c r="B32" s="6">
        <f t="shared" ref="B32:J32" si="8">B28-B30</f>
        <v>46309</v>
      </c>
      <c r="C32" s="6">
        <f t="shared" si="8"/>
        <v>75110</v>
      </c>
      <c r="D32" s="6">
        <f t="shared" si="8"/>
        <v>78807</v>
      </c>
      <c r="E32" s="6">
        <f t="shared" si="8"/>
        <v>72919</v>
      </c>
      <c r="F32" s="6">
        <f t="shared" si="8"/>
        <v>51175</v>
      </c>
      <c r="G32" s="6">
        <f t="shared" si="8"/>
        <v>47337</v>
      </c>
      <c r="H32" s="6">
        <f t="shared" si="8"/>
        <v>40305</v>
      </c>
      <c r="I32" s="6">
        <f t="shared" si="8"/>
        <v>81449</v>
      </c>
      <c r="J32" s="6">
        <f t="shared" si="8"/>
        <v>135010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9">B32+B33</f>
        <v>46988</v>
      </c>
      <c r="C36" s="9">
        <f t="shared" si="9"/>
        <v>77326</v>
      </c>
      <c r="D36" s="9">
        <f t="shared" si="9"/>
        <v>82118</v>
      </c>
      <c r="E36" s="9">
        <f>E32+F33</f>
        <v>74103</v>
      </c>
      <c r="F36" s="9">
        <f t="shared" ref="F36:J36" si="10">F32+F33</f>
        <v>52359</v>
      </c>
      <c r="G36" s="9">
        <f t="shared" si="10"/>
        <v>49027</v>
      </c>
      <c r="H36" s="9">
        <f t="shared" si="10"/>
        <v>41924</v>
      </c>
      <c r="I36" s="9">
        <f t="shared" si="10"/>
        <v>83223</v>
      </c>
      <c r="J36" s="9">
        <f t="shared" si="10"/>
        <v>137551</v>
      </c>
      <c r="K36" s="10"/>
      <c r="L36" s="10"/>
      <c r="M36" s="10"/>
      <c r="N36" s="10"/>
      <c r="O36" s="10"/>
      <c r="P36" s="10"/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</row>
    <row r="42" ht="15.75" customHeight="1">
      <c r="A42" s="1" t="s">
        <v>32</v>
      </c>
    </row>
    <row r="43" ht="15.75" customHeight="1">
      <c r="A43" s="1" t="s">
        <v>33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</row>
    <row r="47" ht="15.75" customHeight="1">
      <c r="A47" s="7" t="s">
        <v>36</v>
      </c>
    </row>
    <row r="48" ht="15.75" customHeight="1">
      <c r="A48" s="7"/>
    </row>
    <row r="49" ht="15.75" customHeight="1">
      <c r="A49" s="7" t="s">
        <v>37</v>
      </c>
    </row>
    <row r="50" ht="15.75" customHeight="1">
      <c r="A50" s="1" t="s">
        <v>38</v>
      </c>
    </row>
    <row r="51" ht="15.75" customHeight="1">
      <c r="A51" s="1" t="s">
        <v>39</v>
      </c>
    </row>
    <row r="52" ht="15.75" customHeight="1">
      <c r="A52" s="1" t="s">
        <v>40</v>
      </c>
    </row>
    <row r="53" ht="15.75" customHeight="1">
      <c r="A53" s="1" t="s">
        <v>41</v>
      </c>
    </row>
    <row r="54" ht="15.75" customHeight="1">
      <c r="A54" s="7"/>
    </row>
    <row r="55" ht="15.75" customHeight="1">
      <c r="A55" s="1" t="s">
        <v>42</v>
      </c>
    </row>
    <row r="56" ht="15.75" customHeight="1">
      <c r="A56" s="1" t="s">
        <v>43</v>
      </c>
    </row>
    <row r="57" ht="15.75" customHeight="1">
      <c r="A57" s="1" t="s">
        <v>44</v>
      </c>
    </row>
    <row r="58" ht="15.75" customHeight="1">
      <c r="A58" s="1" t="s">
        <v>45</v>
      </c>
    </row>
    <row r="59" ht="15.75" customHeight="1">
      <c r="A59" s="1" t="s">
        <v>46</v>
      </c>
    </row>
    <row r="60" ht="15.75" customHeight="1">
      <c r="A60" s="1" t="s">
        <v>47</v>
      </c>
    </row>
    <row r="61" ht="15.75" customHeight="1">
      <c r="A61" s="1" t="s">
        <v>48</v>
      </c>
    </row>
    <row r="62" ht="15.75" customHeight="1">
      <c r="A62" s="8" t="s">
        <v>49</v>
      </c>
    </row>
    <row r="63" ht="15.75" customHeight="1">
      <c r="A63" s="7"/>
    </row>
    <row r="64" ht="15.75" customHeight="1">
      <c r="A64" s="7"/>
    </row>
    <row r="65" ht="15.75" customHeight="1">
      <c r="A65" s="4" t="s">
        <v>50</v>
      </c>
    </row>
    <row r="66" ht="15.75" customHeight="1">
      <c r="A66" s="7"/>
    </row>
    <row r="67" ht="15.75" customHeight="1">
      <c r="A67" s="1" t="s">
        <v>51</v>
      </c>
    </row>
    <row r="68" ht="15.75" customHeight="1">
      <c r="A68" s="16" t="s">
        <v>52</v>
      </c>
    </row>
    <row r="69" ht="15.75" customHeight="1">
      <c r="A69" s="16" t="s">
        <v>53</v>
      </c>
    </row>
    <row r="70" ht="15.75" customHeight="1">
      <c r="A70" s="16" t="s">
        <v>54</v>
      </c>
    </row>
    <row r="71" ht="15.75" customHeight="1">
      <c r="A71" s="16" t="s">
        <v>55</v>
      </c>
    </row>
    <row r="72" ht="15.75" customHeight="1">
      <c r="A72" s="1"/>
    </row>
    <row r="73" ht="15.75" customHeight="1">
      <c r="A73" s="1" t="s">
        <v>56</v>
      </c>
    </row>
    <row r="74" ht="15.75" customHeight="1">
      <c r="A74" s="1" t="s">
        <v>57</v>
      </c>
    </row>
    <row r="75" ht="15.75" customHeight="1">
      <c r="A75" s="1" t="s">
        <v>58</v>
      </c>
    </row>
    <row r="76" ht="15.75" customHeight="1">
      <c r="A76" s="1" t="s">
        <v>59</v>
      </c>
    </row>
    <row r="77" ht="15.75" customHeight="1">
      <c r="A77" s="1"/>
    </row>
    <row r="78" ht="15.75" customHeight="1">
      <c r="A78" s="1" t="s">
        <v>60</v>
      </c>
    </row>
    <row r="79" ht="15.75" customHeight="1">
      <c r="A79" s="1"/>
    </row>
    <row r="80" ht="15.75" customHeight="1">
      <c r="A80" s="16" t="s">
        <v>61</v>
      </c>
    </row>
    <row r="81" ht="15.75" customHeight="1">
      <c r="A81" s="16" t="s">
        <v>62</v>
      </c>
    </row>
    <row r="82" ht="15.75" customHeight="1">
      <c r="A82" s="16" t="s">
        <v>63</v>
      </c>
    </row>
    <row r="83" ht="15.75" customHeight="1">
      <c r="A83" s="16" t="s">
        <v>64</v>
      </c>
    </row>
    <row r="84" ht="15.75" customHeight="1">
      <c r="A84" s="16" t="s">
        <v>65</v>
      </c>
    </row>
    <row r="85" ht="15.75" customHeight="1">
      <c r="A85" s="16" t="s">
        <v>66</v>
      </c>
    </row>
    <row r="86" ht="15.75" customHeight="1">
      <c r="A86" s="16" t="s">
        <v>67</v>
      </c>
    </row>
    <row r="87" ht="15.75" customHeight="1">
      <c r="A87" s="1" t="s">
        <v>57</v>
      </c>
    </row>
    <row r="88" ht="15.75" customHeight="1">
      <c r="A88" s="8" t="s">
        <v>49</v>
      </c>
    </row>
    <row r="89" ht="15.75" customHeight="1">
      <c r="A89" s="1"/>
    </row>
    <row r="90" ht="15.75" customHeight="1">
      <c r="A90" s="5" t="s">
        <v>68</v>
      </c>
    </row>
    <row r="91" ht="15.75" customHeight="1">
      <c r="A91" s="5" t="s">
        <v>69</v>
      </c>
    </row>
    <row r="92" ht="15.75" customHeight="1">
      <c r="A92" s="5"/>
    </row>
    <row r="93" ht="15.75" customHeight="1">
      <c r="A93" s="5" t="s">
        <v>70</v>
      </c>
    </row>
    <row r="94" ht="15.75" customHeight="1">
      <c r="A94" s="5" t="s">
        <v>71</v>
      </c>
    </row>
    <row r="95" ht="15.75" customHeight="1">
      <c r="A95" s="5" t="s">
        <v>49</v>
      </c>
    </row>
    <row r="96" ht="15.75" customHeight="1">
      <c r="A96" s="5"/>
    </row>
    <row r="97" ht="15.75" customHeight="1">
      <c r="A97" s="5" t="s">
        <v>72</v>
      </c>
    </row>
    <row r="98" ht="15.75" customHeight="1">
      <c r="A98" s="5"/>
    </row>
    <row r="99" ht="15.75" customHeight="1">
      <c r="A99" s="17" t="s">
        <v>73</v>
      </c>
    </row>
    <row r="100" ht="15.75" customHeight="1">
      <c r="A100" s="5" t="s">
        <v>74</v>
      </c>
    </row>
    <row r="101" ht="15.75" customHeight="1">
      <c r="A101" s="5" t="s">
        <v>75</v>
      </c>
    </row>
    <row r="102" ht="15.75" customHeight="1">
      <c r="A102" s="5"/>
    </row>
    <row r="103" ht="15.75" customHeight="1">
      <c r="A103" s="17" t="s">
        <v>76</v>
      </c>
    </row>
    <row r="104" ht="15.75" customHeight="1">
      <c r="A104" s="5" t="s">
        <v>77</v>
      </c>
    </row>
    <row r="105" ht="15.75" customHeight="1">
      <c r="A105" s="5" t="s">
        <v>71</v>
      </c>
    </row>
    <row r="106" ht="15.75" customHeight="1">
      <c r="A106" s="5" t="s">
        <v>49</v>
      </c>
    </row>
    <row r="107" ht="15.75" customHeight="1">
      <c r="A107" s="5" t="s">
        <v>78</v>
      </c>
    </row>
    <row r="108" ht="15.75" customHeight="1">
      <c r="A108" s="5" t="s">
        <v>79</v>
      </c>
    </row>
    <row r="109" ht="15.75" customHeight="1">
      <c r="A109" s="5"/>
    </row>
    <row r="110" ht="15.75" customHeight="1">
      <c r="A110" s="17" t="s">
        <v>80</v>
      </c>
    </row>
    <row r="111" ht="15.75" customHeight="1">
      <c r="A111" s="5" t="s">
        <v>70</v>
      </c>
    </row>
    <row r="112" ht="15.75" customHeight="1">
      <c r="A112" s="5" t="s">
        <v>71</v>
      </c>
    </row>
    <row r="113" ht="15.75" customHeight="1">
      <c r="A113" s="5" t="s">
        <v>81</v>
      </c>
    </row>
    <row r="114" ht="15.75" customHeight="1">
      <c r="A114" s="5"/>
    </row>
    <row r="115" ht="15.75" customHeight="1">
      <c r="A115" s="5"/>
    </row>
    <row r="116" ht="15.75" customHeight="1">
      <c r="A116" s="5" t="s">
        <v>82</v>
      </c>
    </row>
    <row r="117" ht="15.75" customHeight="1">
      <c r="A117" s="5" t="s">
        <v>83</v>
      </c>
    </row>
    <row r="118" ht="15.75" customHeight="1">
      <c r="A118" s="5"/>
    </row>
    <row r="119" ht="15.75" customHeight="1">
      <c r="A119" s="17" t="s">
        <v>84</v>
      </c>
    </row>
    <row r="120" ht="15.75" customHeight="1">
      <c r="A120" s="5"/>
    </row>
    <row r="121" ht="15.75" customHeight="1">
      <c r="A121" s="1" t="s">
        <v>5</v>
      </c>
    </row>
    <row r="122" ht="15.75" customHeight="1">
      <c r="A122" s="1" t="s">
        <v>6</v>
      </c>
    </row>
    <row r="123" ht="15.75" customHeight="1">
      <c r="A123" s="1" t="s">
        <v>8</v>
      </c>
    </row>
    <row r="124" ht="15.75" customHeight="1">
      <c r="A124" s="1" t="s">
        <v>10</v>
      </c>
    </row>
    <row r="125" ht="15.75" customHeight="1">
      <c r="A125" s="1" t="s">
        <v>12</v>
      </c>
    </row>
    <row r="126" ht="15.75" customHeight="1">
      <c r="A126" s="1" t="s">
        <v>85</v>
      </c>
    </row>
    <row r="127" ht="15.75" customHeight="1">
      <c r="A127" s="5"/>
    </row>
    <row r="128" ht="15.75" customHeight="1">
      <c r="A128" s="5"/>
    </row>
    <row r="129" ht="15.75" customHeight="1">
      <c r="A129" s="18" t="s">
        <v>86</v>
      </c>
    </row>
    <row r="130" ht="15.75" customHeight="1">
      <c r="A130" s="5"/>
    </row>
    <row r="131" ht="15.75" customHeight="1">
      <c r="A131" s="1" t="s">
        <v>5</v>
      </c>
    </row>
    <row r="132" ht="15.75" customHeight="1">
      <c r="A132" s="1" t="s">
        <v>6</v>
      </c>
    </row>
    <row r="133" ht="15.75" customHeight="1">
      <c r="A133" s="1" t="s">
        <v>8</v>
      </c>
    </row>
    <row r="134" ht="15.75" customHeight="1">
      <c r="A134" s="1" t="s">
        <v>10</v>
      </c>
    </row>
    <row r="135" ht="15.75" customHeight="1">
      <c r="A135" s="1" t="s">
        <v>12</v>
      </c>
    </row>
    <row r="136" ht="15.75" customHeight="1">
      <c r="A136" s="1" t="s">
        <v>85</v>
      </c>
    </row>
    <row r="137" ht="15.75" customHeight="1">
      <c r="A137" s="5"/>
    </row>
    <row r="138" ht="15.75" customHeight="1">
      <c r="A138" s="1" t="s">
        <v>83</v>
      </c>
    </row>
    <row r="139" ht="15.75" customHeight="1">
      <c r="A139" s="1" t="s">
        <v>5</v>
      </c>
    </row>
    <row r="140" ht="15.75" customHeight="1">
      <c r="A140" s="1" t="s">
        <v>6</v>
      </c>
    </row>
    <row r="141" ht="15.75" customHeight="1">
      <c r="A141" s="1" t="s">
        <v>8</v>
      </c>
    </row>
    <row r="142" ht="15.75" customHeight="1">
      <c r="A142" s="1" t="s">
        <v>10</v>
      </c>
    </row>
    <row r="143" ht="15.75" customHeight="1">
      <c r="A143" s="1" t="s">
        <v>12</v>
      </c>
    </row>
    <row r="144" ht="15.75" customHeight="1">
      <c r="A144" s="1" t="s">
        <v>85</v>
      </c>
    </row>
    <row r="145" ht="15.75" customHeight="1">
      <c r="A145" s="5"/>
    </row>
    <row r="146" ht="15.75" customHeight="1">
      <c r="A146" s="5"/>
    </row>
    <row r="147" ht="15.75" customHeight="1">
      <c r="A147" s="5"/>
    </row>
    <row r="148" ht="15.75" customHeight="1">
      <c r="A148" s="18" t="s">
        <v>87</v>
      </c>
    </row>
    <row r="149" ht="15.75" customHeight="1">
      <c r="A149" s="5"/>
    </row>
    <row r="150" ht="15.75" customHeight="1">
      <c r="A150" s="5" t="s">
        <v>60</v>
      </c>
    </row>
    <row r="151" ht="15.75" customHeight="1">
      <c r="A151" s="16" t="s">
        <v>61</v>
      </c>
    </row>
    <row r="152" ht="15.75" customHeight="1">
      <c r="A152" s="16" t="s">
        <v>62</v>
      </c>
    </row>
    <row r="153" ht="15.75" customHeight="1">
      <c r="A153" s="16" t="s">
        <v>64</v>
      </c>
    </row>
    <row r="154" ht="15.75" customHeight="1">
      <c r="A154" s="16" t="s">
        <v>65</v>
      </c>
    </row>
    <row r="155" ht="15.75" customHeight="1">
      <c r="A155" s="16" t="s">
        <v>66</v>
      </c>
    </row>
    <row r="156" ht="15.75" customHeight="1">
      <c r="A156" s="1" t="s">
        <v>57</v>
      </c>
    </row>
    <row r="157" ht="15.75" customHeight="1">
      <c r="A157" s="5"/>
    </row>
    <row r="158" ht="15.75" customHeight="1">
      <c r="A158" s="5" t="s">
        <v>42</v>
      </c>
    </row>
    <row r="159" ht="15.75" customHeight="1">
      <c r="A159" s="1" t="s">
        <v>43</v>
      </c>
    </row>
    <row r="160" ht="15.75" customHeight="1">
      <c r="A160" s="1" t="s">
        <v>44</v>
      </c>
    </row>
    <row r="161" ht="15.75" customHeight="1">
      <c r="A161" s="1" t="s">
        <v>45</v>
      </c>
    </row>
    <row r="162" ht="15.75" customHeight="1">
      <c r="A162" s="1" t="s">
        <v>46</v>
      </c>
    </row>
    <row r="163" ht="15.75" customHeight="1">
      <c r="A163" s="1" t="s">
        <v>47</v>
      </c>
    </row>
    <row r="164" ht="15.75" customHeight="1">
      <c r="A164" s="1" t="s">
        <v>48</v>
      </c>
    </row>
    <row r="165" ht="15.75" customHeight="1">
      <c r="A165" s="5"/>
    </row>
    <row r="166" ht="15.75" customHeight="1">
      <c r="A166" s="1" t="s">
        <v>88</v>
      </c>
    </row>
    <row r="167" ht="15.75" customHeight="1">
      <c r="A167" s="5"/>
    </row>
    <row r="168" ht="15.75" customHeight="1">
      <c r="A168" s="18" t="s">
        <v>89</v>
      </c>
    </row>
    <row r="169" ht="15.75" customHeight="1">
      <c r="A169" s="5" t="s">
        <v>60</v>
      </c>
    </row>
    <row r="170" ht="15.75" customHeight="1">
      <c r="A170" s="16" t="s">
        <v>61</v>
      </c>
    </row>
    <row r="171" ht="15.75" customHeight="1">
      <c r="A171" s="16" t="s">
        <v>62</v>
      </c>
    </row>
    <row r="172" ht="15.75" customHeight="1">
      <c r="A172" s="16" t="s">
        <v>64</v>
      </c>
    </row>
    <row r="173" ht="15.75" customHeight="1">
      <c r="A173" s="16" t="s">
        <v>65</v>
      </c>
    </row>
    <row r="174" ht="15.75" customHeight="1">
      <c r="A174" s="16" t="s">
        <v>66</v>
      </c>
    </row>
    <row r="175" ht="15.75" customHeight="1">
      <c r="A175" s="1" t="s">
        <v>57</v>
      </c>
    </row>
    <row r="176" ht="15.75" customHeight="1">
      <c r="A176" s="5"/>
    </row>
    <row r="177" ht="15.75" customHeight="1">
      <c r="A177" s="5" t="s">
        <v>42</v>
      </c>
    </row>
    <row r="178" ht="15.75" customHeight="1">
      <c r="A178" s="1" t="s">
        <v>43</v>
      </c>
    </row>
    <row r="179" ht="15.75" customHeight="1">
      <c r="A179" s="1" t="s">
        <v>44</v>
      </c>
    </row>
    <row r="180" ht="15.75" customHeight="1">
      <c r="A180" s="1" t="s">
        <v>45</v>
      </c>
    </row>
    <row r="181" ht="15.75" customHeight="1">
      <c r="A181" s="1" t="s">
        <v>46</v>
      </c>
    </row>
    <row r="182" ht="15.75" customHeight="1">
      <c r="A182" s="1" t="s">
        <v>47</v>
      </c>
    </row>
    <row r="183" ht="15.75" customHeight="1">
      <c r="A183" s="1" t="s">
        <v>48</v>
      </c>
    </row>
    <row r="184" ht="15.75" customHeight="1">
      <c r="A184" s="5"/>
    </row>
    <row r="185" ht="15.75" customHeight="1">
      <c r="A185" s="1" t="s">
        <v>90</v>
      </c>
    </row>
    <row r="186" ht="15.75" customHeight="1">
      <c r="A186" s="1" t="s">
        <v>91</v>
      </c>
    </row>
    <row r="187" ht="15.75" customHeight="1">
      <c r="A187" s="5"/>
    </row>
    <row r="188" ht="15.75" customHeight="1">
      <c r="A188" s="5"/>
    </row>
    <row r="189" ht="15.75" customHeight="1">
      <c r="A189" s="5"/>
    </row>
    <row r="190" ht="15.75" customHeight="1">
      <c r="A190" s="18" t="s">
        <v>92</v>
      </c>
    </row>
    <row r="191" ht="15.75" customHeight="1">
      <c r="A191" s="5" t="s">
        <v>93</v>
      </c>
    </row>
    <row r="192" ht="15.75" customHeight="1">
      <c r="A192" s="5" t="s">
        <v>94</v>
      </c>
    </row>
    <row r="193" ht="15.75" customHeight="1">
      <c r="A193" s="5" t="s">
        <v>49</v>
      </c>
    </row>
    <row r="194" ht="15.75" customHeight="1">
      <c r="A194" s="5"/>
    </row>
    <row r="195" ht="15.75" customHeight="1">
      <c r="A195" s="5" t="s">
        <v>95</v>
      </c>
    </row>
    <row r="196" ht="15.75" customHeight="1">
      <c r="A196" s="5"/>
    </row>
    <row r="197" ht="15.75" customHeight="1">
      <c r="A197" s="5" t="s">
        <v>96</v>
      </c>
    </row>
    <row r="198" ht="15.75" customHeight="1">
      <c r="A198" s="5" t="s">
        <v>97</v>
      </c>
    </row>
    <row r="199" ht="15.75" customHeight="1">
      <c r="A199" s="5" t="s">
        <v>98</v>
      </c>
    </row>
    <row r="200" ht="15.75" customHeight="1">
      <c r="A200" s="5"/>
    </row>
    <row r="201" ht="15.75" customHeight="1">
      <c r="A201" s="5" t="s">
        <v>99</v>
      </c>
    </row>
    <row r="202" ht="15.75" customHeight="1">
      <c r="A202" s="5" t="s">
        <v>100</v>
      </c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1"/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  <c r="K3" s="19">
        <f t="shared" ref="K3:P3" si="2">(K101*K121)/10^6</f>
        <v>0</v>
      </c>
      <c r="L3" s="19">
        <f t="shared" si="2"/>
        <v>0</v>
      </c>
      <c r="M3" s="19">
        <f t="shared" si="2"/>
        <v>0</v>
      </c>
      <c r="N3" s="19">
        <f t="shared" si="2"/>
        <v>0</v>
      </c>
      <c r="O3" s="19">
        <f t="shared" si="2"/>
        <v>0</v>
      </c>
      <c r="P3" s="19">
        <f t="shared" si="2"/>
        <v>0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  <c r="K4" s="20">
        <v>20000.0</v>
      </c>
      <c r="L4" s="21">
        <f t="shared" ref="L4:P4" si="3">K4</f>
        <v>20000</v>
      </c>
      <c r="M4" s="21">
        <f t="shared" si="3"/>
        <v>20000</v>
      </c>
      <c r="N4" s="21">
        <f t="shared" si="3"/>
        <v>20000</v>
      </c>
      <c r="O4" s="21">
        <f t="shared" si="3"/>
        <v>20000</v>
      </c>
      <c r="P4" s="21">
        <f t="shared" si="3"/>
        <v>20000</v>
      </c>
    </row>
    <row r="5" ht="15.75" customHeight="1">
      <c r="A5" s="7"/>
    </row>
    <row r="6" ht="15.75" customHeight="1">
      <c r="A6" s="8" t="s">
        <v>3</v>
      </c>
      <c r="B6" s="9">
        <f t="shared" ref="B6:P6" si="4">SUM(B3:B4)</f>
        <v>586120</v>
      </c>
      <c r="C6" s="9">
        <f t="shared" si="4"/>
        <v>703746</v>
      </c>
      <c r="D6" s="9">
        <f t="shared" si="4"/>
        <v>818552</v>
      </c>
      <c r="E6" s="9">
        <f t="shared" si="4"/>
        <v>886301</v>
      </c>
      <c r="F6" s="9">
        <f t="shared" si="4"/>
        <v>789944</v>
      </c>
      <c r="G6" s="9">
        <f t="shared" si="4"/>
        <v>733083</v>
      </c>
      <c r="H6" s="9">
        <f t="shared" si="4"/>
        <v>900745</v>
      </c>
      <c r="I6" s="9">
        <f t="shared" si="4"/>
        <v>1206746</v>
      </c>
      <c r="J6" s="9">
        <f t="shared" si="4"/>
        <v>1459517</v>
      </c>
      <c r="K6" s="9">
        <f t="shared" si="4"/>
        <v>20000</v>
      </c>
      <c r="L6" s="9">
        <f t="shared" si="4"/>
        <v>20000</v>
      </c>
      <c r="M6" s="9">
        <f t="shared" si="4"/>
        <v>20000</v>
      </c>
      <c r="N6" s="9">
        <f t="shared" si="4"/>
        <v>20000</v>
      </c>
      <c r="O6" s="9">
        <f t="shared" si="4"/>
        <v>20000</v>
      </c>
      <c r="P6" s="9">
        <f t="shared" si="4"/>
        <v>20000</v>
      </c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  <c r="K9" s="22">
        <f t="shared" ref="K9:P9" si="5">K$3*K126</f>
        <v>0</v>
      </c>
      <c r="L9" s="22">
        <f t="shared" si="5"/>
        <v>0</v>
      </c>
      <c r="M9" s="22">
        <f t="shared" si="5"/>
        <v>0</v>
      </c>
      <c r="N9" s="22">
        <f t="shared" si="5"/>
        <v>0</v>
      </c>
      <c r="O9" s="22">
        <f t="shared" si="5"/>
        <v>0</v>
      </c>
      <c r="P9" s="22">
        <f t="shared" si="5"/>
        <v>0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  <c r="K10" s="22">
        <f t="shared" ref="K10:P10" si="6">K$3*K127</f>
        <v>0</v>
      </c>
      <c r="L10" s="22">
        <f t="shared" si="6"/>
        <v>0</v>
      </c>
      <c r="M10" s="22">
        <f t="shared" si="6"/>
        <v>0</v>
      </c>
      <c r="N10" s="22">
        <f t="shared" si="6"/>
        <v>0</v>
      </c>
      <c r="O10" s="22">
        <f t="shared" si="6"/>
        <v>0</v>
      </c>
      <c r="P10" s="22">
        <f t="shared" si="6"/>
        <v>0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  <c r="K11" s="22">
        <f t="shared" ref="K11:P11" si="7">K$3*K128</f>
        <v>0</v>
      </c>
      <c r="L11" s="22">
        <f t="shared" si="7"/>
        <v>0</v>
      </c>
      <c r="M11" s="22">
        <f t="shared" si="7"/>
        <v>0</v>
      </c>
      <c r="N11" s="22">
        <f t="shared" si="7"/>
        <v>0</v>
      </c>
      <c r="O11" s="22">
        <f t="shared" si="7"/>
        <v>0</v>
      </c>
      <c r="P11" s="22">
        <f t="shared" si="7"/>
        <v>0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  <c r="K12" s="22">
        <f t="shared" ref="K12:P12" si="8">K$3*K129</f>
        <v>0</v>
      </c>
      <c r="L12" s="22">
        <f t="shared" si="8"/>
        <v>0</v>
      </c>
      <c r="M12" s="22">
        <f t="shared" si="8"/>
        <v>0</v>
      </c>
      <c r="N12" s="22">
        <f t="shared" si="8"/>
        <v>0</v>
      </c>
      <c r="O12" s="22">
        <f t="shared" si="8"/>
        <v>0</v>
      </c>
      <c r="P12" s="22">
        <f t="shared" si="8"/>
        <v>0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  <c r="K13" s="22">
        <f t="shared" ref="K13:P13" si="9">K$3*K130</f>
        <v>0</v>
      </c>
      <c r="L13" s="22">
        <f t="shared" si="9"/>
        <v>0</v>
      </c>
      <c r="M13" s="22">
        <f t="shared" si="9"/>
        <v>0</v>
      </c>
      <c r="N13" s="22">
        <f t="shared" si="9"/>
        <v>0</v>
      </c>
      <c r="O13" s="22">
        <f t="shared" si="9"/>
        <v>0</v>
      </c>
      <c r="P13" s="22">
        <f t="shared" si="9"/>
        <v>0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  <c r="K14" s="22">
        <f t="shared" ref="K14:P14" si="10">K$3*K131</f>
        <v>0</v>
      </c>
      <c r="L14" s="22">
        <f t="shared" si="10"/>
        <v>0</v>
      </c>
      <c r="M14" s="22">
        <f t="shared" si="10"/>
        <v>0</v>
      </c>
      <c r="N14" s="22">
        <f t="shared" si="10"/>
        <v>0</v>
      </c>
      <c r="O14" s="22">
        <f t="shared" si="10"/>
        <v>0</v>
      </c>
      <c r="P14" s="22">
        <f t="shared" si="10"/>
        <v>0</v>
      </c>
    </row>
    <row r="15" ht="15.75" customHeight="1">
      <c r="A15" s="7"/>
    </row>
    <row r="16" ht="15.75" customHeight="1">
      <c r="A16" s="8" t="s">
        <v>14</v>
      </c>
      <c r="B16" s="13">
        <f t="shared" ref="B16:P16" si="11">SUM(B9:B14)</f>
        <v>494932</v>
      </c>
      <c r="C16" s="13">
        <f t="shared" si="11"/>
        <v>577269</v>
      </c>
      <c r="D16" s="13">
        <f t="shared" si="11"/>
        <v>677460</v>
      </c>
      <c r="E16" s="13">
        <f t="shared" si="11"/>
        <v>750653</v>
      </c>
      <c r="F16" s="13">
        <f t="shared" si="11"/>
        <v>683474</v>
      </c>
      <c r="G16" s="13">
        <f t="shared" si="11"/>
        <v>650204</v>
      </c>
      <c r="H16" s="13">
        <f t="shared" si="11"/>
        <v>826236</v>
      </c>
      <c r="I16" s="13">
        <f t="shared" si="11"/>
        <v>1053155</v>
      </c>
      <c r="J16" s="13">
        <f t="shared" si="11"/>
        <v>1233319</v>
      </c>
      <c r="K16" s="13">
        <f t="shared" si="11"/>
        <v>0</v>
      </c>
      <c r="L16" s="13">
        <f t="shared" si="11"/>
        <v>0</v>
      </c>
      <c r="M16" s="13">
        <f t="shared" si="11"/>
        <v>0</v>
      </c>
      <c r="N16" s="13">
        <f t="shared" si="11"/>
        <v>0</v>
      </c>
      <c r="O16" s="13">
        <f t="shared" si="11"/>
        <v>0</v>
      </c>
      <c r="P16" s="13">
        <f t="shared" si="11"/>
        <v>0</v>
      </c>
    </row>
    <row r="17" ht="15.75" customHeight="1">
      <c r="A17" s="7"/>
    </row>
    <row r="18" ht="15.75" customHeight="1">
      <c r="A18" s="4" t="s">
        <v>15</v>
      </c>
      <c r="B18" s="6">
        <f t="shared" ref="B18:J18" si="12">B6-B16</f>
        <v>91188</v>
      </c>
      <c r="C18" s="6">
        <f t="shared" si="12"/>
        <v>126477</v>
      </c>
      <c r="D18" s="6">
        <f t="shared" si="12"/>
        <v>141092</v>
      </c>
      <c r="E18" s="6">
        <f t="shared" si="12"/>
        <v>135648</v>
      </c>
      <c r="F18" s="6">
        <f t="shared" si="12"/>
        <v>106470</v>
      </c>
      <c r="G18" s="6">
        <f t="shared" si="12"/>
        <v>82879</v>
      </c>
      <c r="H18" s="6">
        <f t="shared" si="12"/>
        <v>74509</v>
      </c>
      <c r="I18" s="6">
        <f t="shared" si="12"/>
        <v>153591</v>
      </c>
      <c r="J18" s="6">
        <f t="shared" si="12"/>
        <v>226198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</row>
    <row r="21" ht="15.75" customHeight="1">
      <c r="A21" s="7"/>
    </row>
    <row r="22" ht="15.75" customHeight="1">
      <c r="A22" s="7" t="s">
        <v>18</v>
      </c>
      <c r="B22" s="6">
        <f t="shared" ref="B22:J22" si="13">B18-B20</f>
        <v>62518</v>
      </c>
      <c r="C22" s="6">
        <f t="shared" si="13"/>
        <v>100438</v>
      </c>
      <c r="D22" s="6">
        <f t="shared" si="13"/>
        <v>113494</v>
      </c>
      <c r="E22" s="6">
        <f t="shared" si="13"/>
        <v>105440</v>
      </c>
      <c r="F22" s="6">
        <f t="shared" si="13"/>
        <v>71186</v>
      </c>
      <c r="G22" s="6">
        <f t="shared" si="13"/>
        <v>52538</v>
      </c>
      <c r="H22" s="6">
        <f t="shared" si="13"/>
        <v>46619</v>
      </c>
      <c r="I22" s="6">
        <f t="shared" si="13"/>
        <v>105131</v>
      </c>
      <c r="J22" s="6">
        <f t="shared" si="13"/>
        <v>173640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</row>
    <row r="25" ht="15.75" customHeight="1">
      <c r="A25" s="7"/>
    </row>
    <row r="26" ht="15.75" customHeight="1">
      <c r="A26" s="7" t="s">
        <v>23</v>
      </c>
      <c r="B26" s="6">
        <f t="shared" ref="B26:J26" si="14">B22-B24</f>
        <v>61581</v>
      </c>
      <c r="C26" s="6">
        <f t="shared" si="14"/>
        <v>99544</v>
      </c>
      <c r="D26" s="6">
        <f t="shared" si="14"/>
        <v>110036</v>
      </c>
      <c r="E26" s="6">
        <f t="shared" si="14"/>
        <v>104681</v>
      </c>
      <c r="F26" s="6">
        <f t="shared" si="14"/>
        <v>69844</v>
      </c>
      <c r="G26" s="6">
        <f t="shared" si="14"/>
        <v>51520</v>
      </c>
      <c r="H26" s="6">
        <f t="shared" si="14"/>
        <v>45353</v>
      </c>
      <c r="I26" s="6">
        <f t="shared" si="14"/>
        <v>102608</v>
      </c>
      <c r="J26" s="6">
        <f t="shared" si="14"/>
        <v>171704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</row>
    <row r="28" ht="15.75" customHeight="1">
      <c r="A28" s="7" t="s">
        <v>25</v>
      </c>
      <c r="B28" s="6">
        <f t="shared" ref="B28:J28" si="15">SUM(B26:B27)</f>
        <v>66296</v>
      </c>
      <c r="C28" s="6">
        <f t="shared" si="15"/>
        <v>101272</v>
      </c>
      <c r="D28" s="6">
        <f t="shared" si="15"/>
        <v>111669</v>
      </c>
      <c r="E28" s="6">
        <f t="shared" si="15"/>
        <v>102651</v>
      </c>
      <c r="F28" s="6">
        <f t="shared" si="15"/>
        <v>65427</v>
      </c>
      <c r="G28" s="6">
        <f t="shared" si="15"/>
        <v>56656</v>
      </c>
      <c r="H28" s="6">
        <f t="shared" si="15"/>
        <v>48482</v>
      </c>
      <c r="I28" s="6">
        <f t="shared" si="15"/>
        <v>103194</v>
      </c>
      <c r="J28" s="6">
        <f t="shared" si="15"/>
        <v>174373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</row>
    <row r="31" ht="15.75" customHeight="1">
      <c r="A31" s="7"/>
    </row>
    <row r="32" ht="15.75" customHeight="1">
      <c r="A32" s="7" t="s">
        <v>27</v>
      </c>
      <c r="B32" s="6">
        <f t="shared" ref="B32:J32" si="16">B28-B30</f>
        <v>46309</v>
      </c>
      <c r="C32" s="6">
        <f t="shared" si="16"/>
        <v>75110</v>
      </c>
      <c r="D32" s="6">
        <f t="shared" si="16"/>
        <v>78807</v>
      </c>
      <c r="E32" s="6">
        <f t="shared" si="16"/>
        <v>72919</v>
      </c>
      <c r="F32" s="6">
        <f t="shared" si="16"/>
        <v>51175</v>
      </c>
      <c r="G32" s="6">
        <f t="shared" si="16"/>
        <v>47337</v>
      </c>
      <c r="H32" s="6">
        <f t="shared" si="16"/>
        <v>40305</v>
      </c>
      <c r="I32" s="6">
        <f t="shared" si="16"/>
        <v>81449</v>
      </c>
      <c r="J32" s="6">
        <f t="shared" si="16"/>
        <v>135010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17">B32+B33</f>
        <v>46988</v>
      </c>
      <c r="C36" s="9">
        <f t="shared" si="17"/>
        <v>77326</v>
      </c>
      <c r="D36" s="9">
        <f t="shared" si="17"/>
        <v>82118</v>
      </c>
      <c r="E36" s="9">
        <f>E32+F33</f>
        <v>74103</v>
      </c>
      <c r="F36" s="9">
        <f t="shared" ref="F36:J36" si="18">F32+F33</f>
        <v>52359</v>
      </c>
      <c r="G36" s="9">
        <f t="shared" si="18"/>
        <v>49027</v>
      </c>
      <c r="H36" s="9">
        <f t="shared" si="18"/>
        <v>41924</v>
      </c>
      <c r="I36" s="9">
        <f t="shared" si="18"/>
        <v>83223</v>
      </c>
      <c r="J36" s="9">
        <f t="shared" si="18"/>
        <v>137551</v>
      </c>
      <c r="K36" s="10"/>
      <c r="L36" s="10"/>
      <c r="M36" s="10"/>
      <c r="N36" s="10"/>
      <c r="O36" s="10"/>
      <c r="P36" s="10"/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  <c r="B41" s="27">
        <f t="shared" ref="B41:P41" si="19">SUM(B42:B47)</f>
        <v>306304</v>
      </c>
      <c r="C41" s="27">
        <f t="shared" si="19"/>
        <v>370905</v>
      </c>
      <c r="D41" s="27">
        <f t="shared" si="19"/>
        <v>425755</v>
      </c>
      <c r="E41" s="27">
        <f t="shared" si="19"/>
        <v>471097</v>
      </c>
      <c r="F41" s="27">
        <f t="shared" si="19"/>
        <v>494322</v>
      </c>
      <c r="G41" s="27">
        <f t="shared" si="19"/>
        <v>525006</v>
      </c>
      <c r="H41" s="27">
        <f t="shared" si="19"/>
        <v>553335</v>
      </c>
      <c r="I41" s="27">
        <f t="shared" si="19"/>
        <v>746002</v>
      </c>
      <c r="J41" s="27">
        <f t="shared" si="19"/>
        <v>856360</v>
      </c>
      <c r="K41" s="27">
        <f t="shared" si="19"/>
        <v>856360</v>
      </c>
      <c r="L41" s="27">
        <f t="shared" si="19"/>
        <v>856360</v>
      </c>
      <c r="M41" s="27">
        <f t="shared" si="19"/>
        <v>856360</v>
      </c>
      <c r="N41" s="27">
        <f t="shared" si="19"/>
        <v>856360</v>
      </c>
      <c r="O41" s="27">
        <f t="shared" si="19"/>
        <v>856360</v>
      </c>
      <c r="P41" s="27">
        <f t="shared" si="19"/>
        <v>856360</v>
      </c>
    </row>
    <row r="42" ht="15.75" customHeight="1">
      <c r="A42" s="1" t="s">
        <v>32</v>
      </c>
      <c r="B42" s="22">
        <v>1510.0</v>
      </c>
      <c r="C42" s="22">
        <v>1510.0</v>
      </c>
      <c r="D42" s="22">
        <v>1510.0</v>
      </c>
      <c r="E42" s="22">
        <v>1510.0</v>
      </c>
      <c r="F42" s="22">
        <v>1510.0</v>
      </c>
      <c r="G42" s="22">
        <v>1510.0</v>
      </c>
      <c r="H42" s="22">
        <v>1510.0</v>
      </c>
      <c r="I42" s="22">
        <v>1572.0</v>
      </c>
      <c r="J42" s="22">
        <v>1572.0</v>
      </c>
      <c r="K42" s="21">
        <f t="shared" ref="K42:P42" si="20">J42</f>
        <v>1572</v>
      </c>
      <c r="L42" s="21">
        <f t="shared" si="20"/>
        <v>1572</v>
      </c>
      <c r="M42" s="21">
        <f t="shared" si="20"/>
        <v>1572</v>
      </c>
      <c r="N42" s="21">
        <f t="shared" si="20"/>
        <v>1572</v>
      </c>
      <c r="O42" s="21">
        <f t="shared" si="20"/>
        <v>1572</v>
      </c>
      <c r="P42" s="21">
        <f t="shared" si="20"/>
        <v>1572</v>
      </c>
    </row>
    <row r="43" ht="15.75" customHeight="1">
      <c r="A43" s="1" t="s">
        <v>33</v>
      </c>
      <c r="B43" s="22">
        <v>304650.0</v>
      </c>
      <c r="C43" s="22">
        <v>369241.0</v>
      </c>
      <c r="D43" s="22">
        <v>424084.0</v>
      </c>
      <c r="E43" s="22">
        <v>469411.0</v>
      </c>
      <c r="F43" s="22">
        <v>492620.0</v>
      </c>
      <c r="G43" s="22">
        <v>523496.0</v>
      </c>
      <c r="H43" s="22">
        <v>551825.0</v>
      </c>
      <c r="I43" s="22">
        <v>744430.0</v>
      </c>
      <c r="J43" s="22">
        <v>854788.0</v>
      </c>
      <c r="K43" s="19">
        <f t="shared" ref="K43:P43" si="21">J43+K36</f>
        <v>854788</v>
      </c>
      <c r="L43" s="19">
        <f t="shared" si="21"/>
        <v>854788</v>
      </c>
      <c r="M43" s="19">
        <f t="shared" si="21"/>
        <v>854788</v>
      </c>
      <c r="N43" s="19">
        <f t="shared" si="21"/>
        <v>854788</v>
      </c>
      <c r="O43" s="19">
        <f t="shared" si="21"/>
        <v>854788</v>
      </c>
      <c r="P43" s="19">
        <f t="shared" si="21"/>
        <v>854788</v>
      </c>
    </row>
    <row r="44" ht="15.75" customHeight="1">
      <c r="A44" s="1" t="s">
        <v>34</v>
      </c>
      <c r="B44" s="22">
        <v>0.0</v>
      </c>
      <c r="C44" s="22">
        <v>0.0</v>
      </c>
      <c r="D44" s="22">
        <v>0.0</v>
      </c>
      <c r="E44" s="22">
        <v>0.0</v>
      </c>
      <c r="F44" s="22">
        <v>0.0</v>
      </c>
      <c r="G44" s="22">
        <v>0.0</v>
      </c>
      <c r="H44" s="22">
        <v>0.0</v>
      </c>
      <c r="I44" s="22">
        <v>0.0</v>
      </c>
      <c r="J44" s="22">
        <v>0.0</v>
      </c>
      <c r="K44" s="21">
        <f t="shared" ref="K44:P44" si="22">J44</f>
        <v>0</v>
      </c>
      <c r="L44" s="21">
        <f t="shared" si="22"/>
        <v>0</v>
      </c>
      <c r="M44" s="21">
        <f t="shared" si="22"/>
        <v>0</v>
      </c>
      <c r="N44" s="21">
        <f t="shared" si="22"/>
        <v>0</v>
      </c>
      <c r="O44" s="21">
        <f t="shared" si="22"/>
        <v>0</v>
      </c>
      <c r="P44" s="21">
        <f t="shared" si="22"/>
        <v>0</v>
      </c>
    </row>
    <row r="45" ht="15.75" customHeight="1">
      <c r="A45" s="7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ht="15.75" customHeight="1">
      <c r="A46" s="7" t="s">
        <v>35</v>
      </c>
      <c r="B46" s="22">
        <v>144.0</v>
      </c>
      <c r="C46" s="22">
        <v>154.0</v>
      </c>
      <c r="D46" s="22">
        <v>161.0</v>
      </c>
      <c r="E46" s="22">
        <v>176.0</v>
      </c>
      <c r="F46" s="22">
        <v>192.0</v>
      </c>
      <c r="G46" s="22">
        <v>0.0</v>
      </c>
      <c r="H46" s="22">
        <v>0.0</v>
      </c>
      <c r="I46" s="22">
        <v>0.0</v>
      </c>
      <c r="J46" s="22">
        <v>0.0</v>
      </c>
      <c r="K46" s="21">
        <f t="shared" ref="K46:P46" si="23">J46</f>
        <v>0</v>
      </c>
      <c r="L46" s="21">
        <f t="shared" si="23"/>
        <v>0</v>
      </c>
      <c r="M46" s="21">
        <f t="shared" si="23"/>
        <v>0</v>
      </c>
      <c r="N46" s="21">
        <f t="shared" si="23"/>
        <v>0</v>
      </c>
      <c r="O46" s="21">
        <f t="shared" si="23"/>
        <v>0</v>
      </c>
      <c r="P46" s="21">
        <f t="shared" si="23"/>
        <v>0</v>
      </c>
    </row>
    <row r="47" ht="15.75" customHeight="1">
      <c r="A47" s="7" t="s">
        <v>36</v>
      </c>
      <c r="B47" s="22">
        <v>0.0</v>
      </c>
      <c r="C47" s="22">
        <v>0.0</v>
      </c>
      <c r="D47" s="22">
        <v>0.0</v>
      </c>
      <c r="E47" s="22">
        <v>0.0</v>
      </c>
      <c r="F47" s="22">
        <v>0.0</v>
      </c>
      <c r="G47" s="22">
        <v>0.0</v>
      </c>
      <c r="H47" s="22">
        <v>0.0</v>
      </c>
      <c r="I47" s="22">
        <v>0.0</v>
      </c>
      <c r="J47" s="22">
        <v>0.0</v>
      </c>
      <c r="K47" s="21">
        <f t="shared" ref="K47:P47" si="24">J47</f>
        <v>0</v>
      </c>
      <c r="L47" s="21">
        <f t="shared" si="24"/>
        <v>0</v>
      </c>
      <c r="M47" s="21">
        <f t="shared" si="24"/>
        <v>0</v>
      </c>
      <c r="N47" s="21">
        <f t="shared" si="24"/>
        <v>0</v>
      </c>
      <c r="O47" s="21">
        <f t="shared" si="24"/>
        <v>0</v>
      </c>
      <c r="P47" s="21">
        <f t="shared" si="24"/>
        <v>0</v>
      </c>
    </row>
    <row r="48" ht="15.75" customHeight="1">
      <c r="A48" s="7"/>
    </row>
    <row r="49" ht="15.75" customHeight="1">
      <c r="A49" s="7" t="s">
        <v>37</v>
      </c>
      <c r="B49" s="27">
        <f t="shared" ref="B49:P49" si="25">SUM(B50:B54)</f>
        <v>10510</v>
      </c>
      <c r="C49" s="27">
        <f t="shared" si="25"/>
        <v>16332</v>
      </c>
      <c r="D49" s="27">
        <f t="shared" si="25"/>
        <v>22244</v>
      </c>
      <c r="E49" s="27">
        <f t="shared" si="25"/>
        <v>26985</v>
      </c>
      <c r="F49" s="27">
        <f t="shared" si="25"/>
        <v>28901</v>
      </c>
      <c r="G49" s="27">
        <f t="shared" si="25"/>
        <v>26616</v>
      </c>
      <c r="H49" s="27">
        <f t="shared" si="25"/>
        <v>22985</v>
      </c>
      <c r="I49" s="27">
        <f t="shared" si="25"/>
        <v>30185</v>
      </c>
      <c r="J49" s="27">
        <f t="shared" si="25"/>
        <v>37630</v>
      </c>
      <c r="K49" s="27">
        <f t="shared" si="25"/>
        <v>37630</v>
      </c>
      <c r="L49" s="27">
        <f t="shared" si="25"/>
        <v>37630</v>
      </c>
      <c r="M49" s="27">
        <f t="shared" si="25"/>
        <v>37630</v>
      </c>
      <c r="N49" s="27">
        <f t="shared" si="25"/>
        <v>37630</v>
      </c>
      <c r="O49" s="27">
        <f t="shared" si="25"/>
        <v>37630</v>
      </c>
      <c r="P49" s="27">
        <f t="shared" si="25"/>
        <v>37630</v>
      </c>
    </row>
    <row r="50" ht="15.75" customHeight="1">
      <c r="A50" s="1" t="s">
        <v>38</v>
      </c>
      <c r="B50" s="22">
        <v>0.0</v>
      </c>
      <c r="C50" s="22">
        <v>0.0</v>
      </c>
      <c r="D50" s="22">
        <v>100.0</v>
      </c>
      <c r="E50" s="22">
        <v>80.0</v>
      </c>
      <c r="F50" s="22">
        <v>652.0</v>
      </c>
      <c r="G50" s="22">
        <v>420.0</v>
      </c>
      <c r="H50" s="22">
        <v>329.0</v>
      </c>
      <c r="I50" s="22">
        <v>250.0</v>
      </c>
      <c r="J50" s="22">
        <v>677.0</v>
      </c>
      <c r="K50" s="21">
        <f t="shared" ref="K50:P50" si="26">J50</f>
        <v>677</v>
      </c>
      <c r="L50" s="21">
        <f t="shared" si="26"/>
        <v>677</v>
      </c>
      <c r="M50" s="21">
        <f t="shared" si="26"/>
        <v>677</v>
      </c>
      <c r="N50" s="21">
        <f t="shared" si="26"/>
        <v>677</v>
      </c>
      <c r="O50" s="21">
        <f t="shared" si="26"/>
        <v>677</v>
      </c>
      <c r="P50" s="21">
        <f t="shared" si="26"/>
        <v>677</v>
      </c>
    </row>
    <row r="51" ht="15.75" customHeight="1">
      <c r="A51" s="1" t="s">
        <v>39</v>
      </c>
      <c r="B51" s="22">
        <v>8075.0</v>
      </c>
      <c r="C51" s="22">
        <v>11055.0</v>
      </c>
      <c r="D51" s="22">
        <v>15859.0</v>
      </c>
      <c r="E51" s="22">
        <v>20371.0</v>
      </c>
      <c r="F51" s="22">
        <v>21158.0</v>
      </c>
      <c r="G51" s="22">
        <v>21295.0</v>
      </c>
      <c r="H51" s="22">
        <v>21812.0</v>
      </c>
      <c r="I51" s="22">
        <v>25850.0</v>
      </c>
      <c r="J51" s="22">
        <v>31617.0</v>
      </c>
      <c r="K51" s="21">
        <f t="shared" ref="K51:P51" si="27">J51</f>
        <v>31617</v>
      </c>
      <c r="L51" s="21">
        <f t="shared" si="27"/>
        <v>31617</v>
      </c>
      <c r="M51" s="21">
        <f t="shared" si="27"/>
        <v>31617</v>
      </c>
      <c r="N51" s="21">
        <f t="shared" si="27"/>
        <v>31617</v>
      </c>
      <c r="O51" s="21">
        <f t="shared" si="27"/>
        <v>31617</v>
      </c>
      <c r="P51" s="21">
        <f t="shared" si="27"/>
        <v>31617</v>
      </c>
    </row>
    <row r="52" ht="15.75" customHeight="1">
      <c r="A52" s="1" t="s">
        <v>40</v>
      </c>
      <c r="B52" s="22">
        <v>148.0</v>
      </c>
      <c r="C52" s="22">
        <v>219.0</v>
      </c>
      <c r="D52" s="22">
        <v>265.0</v>
      </c>
      <c r="E52" s="22">
        <v>395.0</v>
      </c>
      <c r="F52" s="22">
        <v>516.0</v>
      </c>
      <c r="G52" s="22">
        <v>447.0</v>
      </c>
      <c r="H52" s="22">
        <v>844.0</v>
      </c>
      <c r="I52" s="22">
        <v>875.0</v>
      </c>
      <c r="J52" s="22">
        <v>1448.0</v>
      </c>
      <c r="K52" s="21">
        <f t="shared" ref="K52:P52" si="28">J52</f>
        <v>1448</v>
      </c>
      <c r="L52" s="21">
        <f t="shared" si="28"/>
        <v>1448</v>
      </c>
      <c r="M52" s="21">
        <f t="shared" si="28"/>
        <v>1448</v>
      </c>
      <c r="N52" s="21">
        <f t="shared" si="28"/>
        <v>1448</v>
      </c>
      <c r="O52" s="21">
        <f t="shared" si="28"/>
        <v>1448</v>
      </c>
      <c r="P52" s="21">
        <f t="shared" si="28"/>
        <v>1448</v>
      </c>
    </row>
    <row r="53" ht="15.75" customHeight="1">
      <c r="A53" s="1" t="s">
        <v>41</v>
      </c>
      <c r="B53" s="22">
        <v>2287.0</v>
      </c>
      <c r="C53" s="22">
        <v>5058.0</v>
      </c>
      <c r="D53" s="22">
        <v>6020.0</v>
      </c>
      <c r="E53" s="22">
        <v>6139.0</v>
      </c>
      <c r="F53" s="22">
        <v>6575.0</v>
      </c>
      <c r="G53" s="22">
        <v>4454.0</v>
      </c>
      <c r="H53" s="22">
        <v>0.0</v>
      </c>
      <c r="I53" s="22">
        <v>3210.0</v>
      </c>
      <c r="J53" s="22">
        <v>3888.0</v>
      </c>
      <c r="K53" s="21">
        <f t="shared" ref="K53:P53" si="29">J53</f>
        <v>3888</v>
      </c>
      <c r="L53" s="21">
        <f t="shared" si="29"/>
        <v>3888</v>
      </c>
      <c r="M53" s="21">
        <f t="shared" si="29"/>
        <v>3888</v>
      </c>
      <c r="N53" s="21">
        <f t="shared" si="29"/>
        <v>3888</v>
      </c>
      <c r="O53" s="21">
        <f t="shared" si="29"/>
        <v>3888</v>
      </c>
      <c r="P53" s="21">
        <f t="shared" si="29"/>
        <v>3888</v>
      </c>
    </row>
    <row r="54" ht="15.75" customHeight="1">
      <c r="A54" s="7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</row>
    <row r="55" ht="15.75" customHeight="1">
      <c r="A55" s="1" t="s">
        <v>42</v>
      </c>
      <c r="B55" s="27">
        <f t="shared" ref="B55:P55" si="30">SUM(B56:B63)</f>
        <v>110441</v>
      </c>
      <c r="C55" s="27">
        <f t="shared" si="30"/>
        <v>132368</v>
      </c>
      <c r="D55" s="27">
        <f t="shared" si="30"/>
        <v>154485</v>
      </c>
      <c r="E55" s="27">
        <f t="shared" si="30"/>
        <v>141605</v>
      </c>
      <c r="F55" s="27">
        <f t="shared" si="30"/>
        <v>113054</v>
      </c>
      <c r="G55" s="27">
        <f t="shared" si="30"/>
        <v>162139</v>
      </c>
      <c r="H55" s="27">
        <f t="shared" si="30"/>
        <v>170235</v>
      </c>
      <c r="I55" s="27">
        <f t="shared" si="30"/>
        <v>227667</v>
      </c>
      <c r="J55" s="27">
        <f t="shared" si="30"/>
        <v>259518</v>
      </c>
      <c r="K55" s="27">
        <f t="shared" si="30"/>
        <v>0</v>
      </c>
      <c r="L55" s="27">
        <f t="shared" si="30"/>
        <v>0</v>
      </c>
      <c r="M55" s="27">
        <f t="shared" si="30"/>
        <v>0</v>
      </c>
      <c r="N55" s="27">
        <f t="shared" si="30"/>
        <v>0</v>
      </c>
      <c r="O55" s="27">
        <f t="shared" si="30"/>
        <v>0</v>
      </c>
      <c r="P55" s="27">
        <f t="shared" si="30"/>
        <v>0</v>
      </c>
    </row>
    <row r="56" ht="15.75" customHeight="1">
      <c r="A56" s="1" t="s">
        <v>43</v>
      </c>
      <c r="B56" s="22">
        <v>7956.0</v>
      </c>
      <c r="C56" s="22">
        <v>8036.0</v>
      </c>
      <c r="D56" s="22">
        <v>8541.0</v>
      </c>
      <c r="E56" s="22">
        <v>6729.0</v>
      </c>
      <c r="F56" s="22">
        <v>6962.0</v>
      </c>
      <c r="G56" s="22">
        <v>8547.0</v>
      </c>
      <c r="H56" s="22">
        <v>11113.0</v>
      </c>
      <c r="I56" s="22">
        <v>11584.0</v>
      </c>
      <c r="J56" s="22">
        <v>12030.0</v>
      </c>
      <c r="K56" s="19"/>
      <c r="L56" s="19"/>
      <c r="M56" s="19"/>
      <c r="N56" s="19"/>
      <c r="O56" s="19"/>
      <c r="P56" s="19"/>
    </row>
    <row r="57" ht="15.75" customHeight="1">
      <c r="A57" s="1" t="s">
        <v>44</v>
      </c>
      <c r="B57" s="22">
        <v>774.0</v>
      </c>
      <c r="C57" s="22">
        <v>4838.0</v>
      </c>
      <c r="D57" s="22">
        <v>1108.0</v>
      </c>
      <c r="E57" s="22">
        <v>1496.0</v>
      </c>
      <c r="F57" s="22">
        <v>1063.0</v>
      </c>
      <c r="G57" s="22">
        <v>4962.0</v>
      </c>
      <c r="H57" s="22">
        <v>3819.0</v>
      </c>
      <c r="I57" s="22">
        <v>12226.0</v>
      </c>
      <c r="J57" s="22">
        <v>509.0</v>
      </c>
      <c r="K57" s="19"/>
      <c r="L57" s="19"/>
      <c r="M57" s="19"/>
      <c r="N57" s="19"/>
      <c r="O57" s="19"/>
      <c r="P57" s="19"/>
    </row>
    <row r="58" ht="15.75" customHeight="1">
      <c r="A58" s="29" t="s">
        <v>110</v>
      </c>
      <c r="B58" s="22">
        <v>74089.0</v>
      </c>
      <c r="C58" s="22">
        <v>83692.0</v>
      </c>
      <c r="D58" s="22">
        <v>104993.0</v>
      </c>
      <c r="E58" s="22">
        <v>96377.0</v>
      </c>
      <c r="F58" s="22">
        <v>75091.0</v>
      </c>
      <c r="G58" s="22">
        <v>101681.0</v>
      </c>
      <c r="H58" s="22">
        <v>97732.0</v>
      </c>
      <c r="I58" s="22">
        <v>1947.0</v>
      </c>
      <c r="J58" s="22">
        <v>2070.0</v>
      </c>
      <c r="K58" s="19"/>
      <c r="L58" s="19"/>
      <c r="M58" s="19"/>
      <c r="N58" s="19"/>
      <c r="O58" s="19"/>
      <c r="P58" s="1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 ht="15.75" customHeight="1">
      <c r="A59" s="1" t="s">
        <v>45</v>
      </c>
      <c r="B59" s="22">
        <v>0.0</v>
      </c>
      <c r="C59" s="22">
        <v>0.0</v>
      </c>
      <c r="D59" s="22">
        <v>0.0</v>
      </c>
      <c r="E59" s="22">
        <v>0.0</v>
      </c>
      <c r="F59" s="22">
        <v>0.0</v>
      </c>
      <c r="G59" s="22">
        <v>0.0</v>
      </c>
      <c r="H59" s="22">
        <v>0.0</v>
      </c>
      <c r="I59" s="22">
        <v>134808.0</v>
      </c>
      <c r="J59" s="22">
        <v>167814.0</v>
      </c>
      <c r="K59" s="19"/>
      <c r="L59" s="19"/>
      <c r="M59" s="19"/>
      <c r="N59" s="19"/>
      <c r="O59" s="19"/>
      <c r="P59" s="19"/>
    </row>
    <row r="60" ht="15.75" customHeight="1">
      <c r="A60" s="1" t="s">
        <v>46</v>
      </c>
      <c r="B60" s="22">
        <v>11650.0</v>
      </c>
      <c r="C60" s="22">
        <v>18278.0</v>
      </c>
      <c r="D60" s="22">
        <v>20896.0</v>
      </c>
      <c r="E60" s="22">
        <v>16329.0</v>
      </c>
      <c r="F60" s="22">
        <v>14091.0</v>
      </c>
      <c r="G60" s="22">
        <v>26801.0</v>
      </c>
      <c r="H60" s="22">
        <v>28686.0</v>
      </c>
      <c r="I60" s="22">
        <v>33372.0</v>
      </c>
      <c r="J60" s="22">
        <v>41739.0</v>
      </c>
      <c r="K60" s="19"/>
      <c r="L60" s="19"/>
      <c r="M60" s="19"/>
      <c r="N60" s="19"/>
      <c r="O60" s="19"/>
      <c r="P60" s="19"/>
    </row>
    <row r="61" ht="15.75" customHeight="1">
      <c r="A61" s="1" t="s">
        <v>47</v>
      </c>
      <c r="B61" s="22">
        <v>3994.0</v>
      </c>
      <c r="C61" s="22">
        <v>4496.0</v>
      </c>
      <c r="D61" s="22">
        <v>5609.0</v>
      </c>
      <c r="E61" s="22">
        <v>6254.0</v>
      </c>
      <c r="F61" s="22">
        <v>6807.0</v>
      </c>
      <c r="G61" s="22">
        <v>7428.0</v>
      </c>
      <c r="H61" s="22">
        <v>8613.0</v>
      </c>
      <c r="I61" s="22">
        <v>10830.0</v>
      </c>
      <c r="J61" s="22">
        <v>13119.0</v>
      </c>
      <c r="K61" s="19"/>
      <c r="L61" s="19"/>
      <c r="M61" s="19"/>
      <c r="N61" s="19"/>
      <c r="O61" s="19"/>
      <c r="P61" s="19"/>
    </row>
    <row r="62" ht="15.75" customHeight="1">
      <c r="A62" s="1" t="s">
        <v>48</v>
      </c>
      <c r="B62" s="22">
        <v>11978.0</v>
      </c>
      <c r="C62" s="22">
        <v>13028.0</v>
      </c>
      <c r="D62" s="22">
        <v>13338.0</v>
      </c>
      <c r="E62" s="22">
        <v>14420.0</v>
      </c>
      <c r="F62" s="22">
        <v>9040.0</v>
      </c>
      <c r="G62" s="22">
        <v>12720.0</v>
      </c>
      <c r="H62" s="22">
        <v>20272.0</v>
      </c>
      <c r="I62" s="22">
        <v>22900.0</v>
      </c>
      <c r="J62" s="22">
        <v>22237.0</v>
      </c>
      <c r="K62" s="19"/>
      <c r="L62" s="19"/>
      <c r="M62" s="19"/>
      <c r="N62" s="19"/>
      <c r="O62" s="19"/>
      <c r="P62" s="19"/>
    </row>
    <row r="63" ht="15.75" customHeight="1">
      <c r="A63" s="8" t="s">
        <v>49</v>
      </c>
      <c r="B63" s="30">
        <f t="shared" ref="B63:P63" si="31">sum(B40,B48,B54)</f>
        <v>0</v>
      </c>
      <c r="C63" s="30">
        <f t="shared" si="31"/>
        <v>0</v>
      </c>
      <c r="D63" s="30">
        <f t="shared" si="31"/>
        <v>0</v>
      </c>
      <c r="E63" s="30">
        <f t="shared" si="31"/>
        <v>0</v>
      </c>
      <c r="F63" s="30">
        <f t="shared" si="31"/>
        <v>0</v>
      </c>
      <c r="G63" s="30">
        <f t="shared" si="31"/>
        <v>0</v>
      </c>
      <c r="H63" s="30">
        <f t="shared" si="31"/>
        <v>0</v>
      </c>
      <c r="I63" s="30">
        <f t="shared" si="31"/>
        <v>0</v>
      </c>
      <c r="J63" s="30">
        <f t="shared" si="31"/>
        <v>0</v>
      </c>
      <c r="K63" s="30">
        <f t="shared" si="31"/>
        <v>0</v>
      </c>
      <c r="L63" s="30">
        <f t="shared" si="31"/>
        <v>0</v>
      </c>
      <c r="M63" s="30">
        <f t="shared" si="31"/>
        <v>0</v>
      </c>
      <c r="N63" s="30">
        <f t="shared" si="31"/>
        <v>0</v>
      </c>
      <c r="O63" s="30">
        <f t="shared" si="31"/>
        <v>0</v>
      </c>
      <c r="P63" s="30">
        <f t="shared" si="31"/>
        <v>0</v>
      </c>
    </row>
    <row r="64" ht="15.75" customHeight="1">
      <c r="A64" s="7"/>
      <c r="B64" s="30">
        <f t="shared" ref="B64:P64" si="32">sum(B41,B49,B55)</f>
        <v>427255</v>
      </c>
      <c r="C64" s="30">
        <f t="shared" si="32"/>
        <v>519605</v>
      </c>
      <c r="D64" s="30">
        <f t="shared" si="32"/>
        <v>602484</v>
      </c>
      <c r="E64" s="30">
        <f t="shared" si="32"/>
        <v>639687</v>
      </c>
      <c r="F64" s="30">
        <f t="shared" si="32"/>
        <v>636277</v>
      </c>
      <c r="G64" s="30">
        <f t="shared" si="32"/>
        <v>713761</v>
      </c>
      <c r="H64" s="30">
        <f t="shared" si="32"/>
        <v>746555</v>
      </c>
      <c r="I64" s="30">
        <f t="shared" si="32"/>
        <v>1003854</v>
      </c>
      <c r="J64" s="30">
        <f t="shared" si="32"/>
        <v>1153508</v>
      </c>
      <c r="K64" s="30">
        <f t="shared" si="32"/>
        <v>893990</v>
      </c>
      <c r="L64" s="30">
        <f t="shared" si="32"/>
        <v>893990</v>
      </c>
      <c r="M64" s="30">
        <f t="shared" si="32"/>
        <v>893990</v>
      </c>
      <c r="N64" s="30">
        <f t="shared" si="32"/>
        <v>893990</v>
      </c>
      <c r="O64" s="30">
        <f t="shared" si="32"/>
        <v>893990</v>
      </c>
      <c r="P64" s="30">
        <f t="shared" si="32"/>
        <v>893990</v>
      </c>
    </row>
    <row r="65" ht="15.75" customHeight="1">
      <c r="A65" s="7"/>
    </row>
    <row r="66" ht="15.75" customHeight="1">
      <c r="A66" s="4" t="s">
        <v>50</v>
      </c>
    </row>
    <row r="67" ht="15.75" customHeight="1">
      <c r="A67" s="7"/>
    </row>
    <row r="68" ht="15.75" customHeight="1">
      <c r="A68" s="1" t="s">
        <v>51</v>
      </c>
    </row>
    <row r="69" ht="15.75" customHeight="1">
      <c r="A69" s="16" t="s">
        <v>52</v>
      </c>
    </row>
    <row r="70" ht="15.75" customHeight="1">
      <c r="A70" s="16" t="s">
        <v>53</v>
      </c>
    </row>
    <row r="71" ht="15.75" customHeight="1">
      <c r="A71" s="16" t="s">
        <v>54</v>
      </c>
    </row>
    <row r="72" ht="15.75" customHeight="1">
      <c r="A72" s="16" t="s">
        <v>55</v>
      </c>
    </row>
    <row r="73" ht="15.75" customHeight="1">
      <c r="A73" s="1"/>
    </row>
    <row r="74" ht="15.75" customHeight="1">
      <c r="A74" s="1" t="s">
        <v>56</v>
      </c>
    </row>
    <row r="75" ht="15.75" customHeight="1">
      <c r="A75" s="1" t="s">
        <v>57</v>
      </c>
    </row>
    <row r="76" ht="15.75" customHeight="1">
      <c r="A76" s="1" t="s">
        <v>58</v>
      </c>
    </row>
    <row r="77" ht="15.75" customHeight="1">
      <c r="A77" s="1" t="s">
        <v>59</v>
      </c>
    </row>
    <row r="78" ht="15.75" customHeight="1">
      <c r="A78" s="1"/>
    </row>
    <row r="79" ht="15.75" customHeight="1">
      <c r="A79" s="1" t="s">
        <v>60</v>
      </c>
    </row>
    <row r="80" ht="15.75" customHeight="1">
      <c r="A80" s="1"/>
    </row>
    <row r="81" ht="15.75" customHeight="1">
      <c r="A81" s="16" t="s">
        <v>61</v>
      </c>
    </row>
    <row r="82" ht="15.75" customHeight="1">
      <c r="A82" s="16" t="s">
        <v>62</v>
      </c>
    </row>
    <row r="83" ht="15.75" customHeight="1">
      <c r="A83" s="16" t="s">
        <v>63</v>
      </c>
    </row>
    <row r="84" ht="15.75" customHeight="1">
      <c r="A84" s="16" t="s">
        <v>64</v>
      </c>
    </row>
    <row r="85" ht="15.75" customHeight="1">
      <c r="A85" s="16" t="s">
        <v>65</v>
      </c>
    </row>
    <row r="86" ht="15.75" customHeight="1">
      <c r="A86" s="16" t="s">
        <v>66</v>
      </c>
    </row>
    <row r="87" ht="15.75" customHeight="1">
      <c r="A87" s="16" t="s">
        <v>67</v>
      </c>
    </row>
    <row r="88" ht="15.75" customHeight="1">
      <c r="A88" s="1" t="s">
        <v>57</v>
      </c>
    </row>
    <row r="89" ht="15.75" customHeight="1">
      <c r="A89" s="8" t="s">
        <v>49</v>
      </c>
    </row>
    <row r="90" ht="15.75" customHeight="1">
      <c r="A90" s="1"/>
    </row>
    <row r="91" ht="15.75" customHeight="1">
      <c r="A91" s="5" t="s">
        <v>68</v>
      </c>
      <c r="B91" s="22">
        <v>1500000.0</v>
      </c>
      <c r="C91" s="22">
        <v>1550000.0</v>
      </c>
      <c r="D91" s="22">
        <v>1560000.0</v>
      </c>
      <c r="E91" s="22">
        <v>1580000.0</v>
      </c>
      <c r="F91" s="22">
        <v>2000000.0</v>
      </c>
      <c r="G91" s="22">
        <v>2250000.0</v>
      </c>
      <c r="H91" s="22">
        <v>2250000.0</v>
      </c>
      <c r="I91" s="22">
        <v>2250000.0</v>
      </c>
      <c r="J91" s="22">
        <v>2250000.0</v>
      </c>
      <c r="K91" s="19">
        <f t="shared" ref="K91:P91" si="33">J91+K92</f>
        <v>2550000</v>
      </c>
      <c r="L91" s="19">
        <f t="shared" si="33"/>
        <v>2850000</v>
      </c>
      <c r="M91" s="19">
        <f t="shared" si="33"/>
        <v>3150000</v>
      </c>
      <c r="N91" s="19">
        <f t="shared" si="33"/>
        <v>3450000</v>
      </c>
      <c r="O91" s="19">
        <f t="shared" si="33"/>
        <v>3750000</v>
      </c>
      <c r="P91" s="19">
        <f t="shared" si="33"/>
        <v>4050000</v>
      </c>
    </row>
    <row r="92" ht="15.75" customHeight="1">
      <c r="A92" s="5" t="s">
        <v>69</v>
      </c>
      <c r="C92" s="19">
        <f t="shared" ref="C92:J92" si="34">C91-B91</f>
        <v>50000</v>
      </c>
      <c r="D92" s="19">
        <f t="shared" si="34"/>
        <v>10000</v>
      </c>
      <c r="E92" s="19">
        <f t="shared" si="34"/>
        <v>20000</v>
      </c>
      <c r="F92" s="19">
        <f t="shared" si="34"/>
        <v>420000</v>
      </c>
      <c r="G92" s="19">
        <f t="shared" si="34"/>
        <v>250000</v>
      </c>
      <c r="H92" s="19">
        <f t="shared" si="34"/>
        <v>0</v>
      </c>
      <c r="I92" s="19">
        <f t="shared" si="34"/>
        <v>0</v>
      </c>
      <c r="J92" s="19">
        <f t="shared" si="34"/>
        <v>0</v>
      </c>
      <c r="K92" s="20">
        <v>300000.0</v>
      </c>
      <c r="L92" s="232">
        <v>300000.0</v>
      </c>
      <c r="M92" s="232">
        <v>300000.0</v>
      </c>
      <c r="N92" s="232">
        <v>300000.0</v>
      </c>
      <c r="O92" s="232">
        <v>300000.0</v>
      </c>
      <c r="P92" s="232">
        <v>300000.0</v>
      </c>
    </row>
    <row r="93" ht="15.75" customHeight="1">
      <c r="A93" s="5"/>
    </row>
    <row r="94" ht="15.75" customHeight="1">
      <c r="A94" s="5" t="s">
        <v>70</v>
      </c>
      <c r="B94" s="22">
        <v>1305351.0</v>
      </c>
      <c r="C94" s="22">
        <v>1444541.0</v>
      </c>
      <c r="D94" s="22">
        <v>1653500.0</v>
      </c>
      <c r="E94" s="22">
        <v>1753700.0</v>
      </c>
      <c r="F94" s="22">
        <v>1461126.0</v>
      </c>
      <c r="G94" s="22">
        <v>1361722.0</v>
      </c>
      <c r="H94" s="22">
        <v>1414277.0</v>
      </c>
      <c r="I94" s="22">
        <v>1706831.0</v>
      </c>
      <c r="J94" s="22">
        <v>1852256.0</v>
      </c>
    </row>
    <row r="95" ht="15.75" customHeight="1">
      <c r="A95" s="5" t="s">
        <v>71</v>
      </c>
      <c r="B95" s="22">
        <v>123897.0</v>
      </c>
      <c r="C95" s="22">
        <v>124062.0</v>
      </c>
      <c r="D95" s="22">
        <v>126074.0</v>
      </c>
      <c r="E95" s="22">
        <v>108749.0</v>
      </c>
      <c r="F95" s="22">
        <v>102171.0</v>
      </c>
      <c r="G95" s="22">
        <v>96139.0</v>
      </c>
      <c r="H95" s="22">
        <v>238376.0</v>
      </c>
      <c r="I95" s="22">
        <v>259333.0</v>
      </c>
      <c r="J95" s="22">
        <v>283067.0</v>
      </c>
    </row>
    <row r="96" ht="15.75" customHeight="1">
      <c r="A96" s="5" t="s">
        <v>49</v>
      </c>
      <c r="B96" s="27">
        <f t="shared" ref="B96:J96" si="35">SUM(B94:B95)</f>
        <v>1429248</v>
      </c>
      <c r="C96" s="27">
        <f t="shared" si="35"/>
        <v>1568603</v>
      </c>
      <c r="D96" s="27">
        <f t="shared" si="35"/>
        <v>1779574</v>
      </c>
      <c r="E96" s="27">
        <f t="shared" si="35"/>
        <v>1862449</v>
      </c>
      <c r="F96" s="27">
        <f t="shared" si="35"/>
        <v>1563297</v>
      </c>
      <c r="G96" s="27">
        <f t="shared" si="35"/>
        <v>1457861</v>
      </c>
      <c r="H96" s="27">
        <f t="shared" si="35"/>
        <v>1652653</v>
      </c>
      <c r="I96" s="27">
        <f t="shared" si="35"/>
        <v>1966164</v>
      </c>
      <c r="J96" s="27">
        <f t="shared" si="35"/>
        <v>2135323</v>
      </c>
      <c r="K96" s="34"/>
    </row>
    <row r="97" ht="15.75" customHeight="1">
      <c r="A97" s="5"/>
    </row>
    <row r="98" ht="15.75" customHeight="1">
      <c r="A98" s="5" t="s">
        <v>72</v>
      </c>
      <c r="B98" s="39">
        <f t="shared" ref="B98:K98" si="36">B96/B91</f>
        <v>0.952832</v>
      </c>
      <c r="C98" s="39">
        <f t="shared" si="36"/>
        <v>1.012001935</v>
      </c>
      <c r="D98" s="39">
        <f t="shared" si="36"/>
        <v>1.140752564</v>
      </c>
      <c r="E98" s="39">
        <f t="shared" si="36"/>
        <v>1.17876519</v>
      </c>
      <c r="F98" s="39">
        <f t="shared" si="36"/>
        <v>0.7816485</v>
      </c>
      <c r="G98" s="39">
        <f t="shared" si="36"/>
        <v>0.6479382222</v>
      </c>
      <c r="H98" s="39">
        <f t="shared" si="36"/>
        <v>0.7345124444</v>
      </c>
      <c r="I98" s="39">
        <f t="shared" si="36"/>
        <v>0.8738506667</v>
      </c>
      <c r="J98" s="39">
        <f t="shared" si="36"/>
        <v>0.9490324444</v>
      </c>
      <c r="K98" s="39">
        <f t="shared" si="36"/>
        <v>0</v>
      </c>
    </row>
    <row r="99" ht="15.75" customHeight="1">
      <c r="A99" s="5"/>
    </row>
    <row r="100" ht="15.75" customHeight="1">
      <c r="A100" s="17" t="s">
        <v>73</v>
      </c>
      <c r="C100" s="39">
        <f t="shared" ref="C100:K100" si="37">C94/B94-1</f>
        <v>0.106630324</v>
      </c>
      <c r="D100" s="39">
        <f t="shared" si="37"/>
        <v>0.1446542535</v>
      </c>
      <c r="E100" s="39">
        <f t="shared" si="37"/>
        <v>0.06059872997</v>
      </c>
      <c r="F100" s="39">
        <f t="shared" si="37"/>
        <v>-0.1668324115</v>
      </c>
      <c r="G100" s="39">
        <f t="shared" si="37"/>
        <v>-0.06803246263</v>
      </c>
      <c r="H100" s="39">
        <f t="shared" si="37"/>
        <v>0.03859451489</v>
      </c>
      <c r="I100" s="39">
        <f t="shared" si="37"/>
        <v>0.2068576382</v>
      </c>
      <c r="J100" s="39">
        <f t="shared" si="37"/>
        <v>0.08520175694</v>
      </c>
      <c r="K100" s="39">
        <f t="shared" si="37"/>
        <v>-1</v>
      </c>
    </row>
    <row r="101" ht="15.75" customHeight="1">
      <c r="A101" s="5" t="s">
        <v>74</v>
      </c>
      <c r="C101" s="39">
        <f t="shared" ref="C101:K101" si="38">C95/B95-1</f>
        <v>0.001331751374</v>
      </c>
      <c r="D101" s="39">
        <f t="shared" si="38"/>
        <v>0.0162176976</v>
      </c>
      <c r="E101" s="39">
        <f t="shared" si="38"/>
        <v>-0.1374192934</v>
      </c>
      <c r="F101" s="39">
        <f t="shared" si="38"/>
        <v>-0.06048791253</v>
      </c>
      <c r="G101" s="39">
        <f t="shared" si="38"/>
        <v>-0.05903827896</v>
      </c>
      <c r="H101" s="39">
        <f t="shared" si="38"/>
        <v>1.479493234</v>
      </c>
      <c r="I101" s="39">
        <f t="shared" si="38"/>
        <v>0.08791572977</v>
      </c>
      <c r="J101" s="39">
        <f t="shared" si="38"/>
        <v>0.09151939784</v>
      </c>
      <c r="K101" s="39">
        <f t="shared" si="38"/>
        <v>-1</v>
      </c>
    </row>
    <row r="102" ht="15.75" customHeight="1">
      <c r="A102" s="5" t="s">
        <v>75</v>
      </c>
      <c r="C102" s="39">
        <f t="shared" ref="C102:K102" si="39">C96/B96-1</f>
        <v>0.0975023229</v>
      </c>
      <c r="D102" s="39">
        <f t="shared" si="39"/>
        <v>0.134496109</v>
      </c>
      <c r="E102" s="39">
        <f t="shared" si="39"/>
        <v>0.0465701342</v>
      </c>
      <c r="F102" s="39">
        <f t="shared" si="39"/>
        <v>-0.1606229218</v>
      </c>
      <c r="G102" s="39">
        <f t="shared" si="39"/>
        <v>-0.06744463784</v>
      </c>
      <c r="H102" s="39">
        <f t="shared" si="39"/>
        <v>0.1336149331</v>
      </c>
      <c r="I102" s="39">
        <f t="shared" si="39"/>
        <v>0.1897016494</v>
      </c>
      <c r="J102" s="39">
        <f t="shared" si="39"/>
        <v>0.08603504082</v>
      </c>
      <c r="K102" s="39">
        <f t="shared" si="39"/>
        <v>-1</v>
      </c>
    </row>
    <row r="103" ht="15.75" customHeight="1">
      <c r="A103" s="5"/>
    </row>
    <row r="104" ht="15.75" customHeight="1">
      <c r="A104" s="17" t="s">
        <v>76</v>
      </c>
    </row>
    <row r="105" ht="15.75" customHeight="1">
      <c r="A105" s="5" t="s">
        <v>77</v>
      </c>
      <c r="B105" s="22">
        <v>2789208.0</v>
      </c>
      <c r="C105" s="22">
        <v>3047582.0</v>
      </c>
      <c r="D105" s="22">
        <v>3288581.0</v>
      </c>
      <c r="E105" s="22">
        <v>3377389.0</v>
      </c>
      <c r="F105" s="22">
        <v>2773519.0</v>
      </c>
      <c r="G105" s="22">
        <v>2711457.0</v>
      </c>
      <c r="H105" s="22">
        <v>3069523.0</v>
      </c>
      <c r="I105" s="22">
        <v>3890114.0</v>
      </c>
      <c r="J105" s="22">
        <v>4218746.0</v>
      </c>
      <c r="K105" s="22">
        <f t="shared" ref="K105:P105" si="40">J105*1+K108</f>
        <v>4218746.07</v>
      </c>
      <c r="L105" s="22">
        <f t="shared" si="40"/>
        <v>4218746.14</v>
      </c>
      <c r="M105" s="22">
        <f t="shared" si="40"/>
        <v>4218746.21</v>
      </c>
      <c r="N105" s="22">
        <f t="shared" si="40"/>
        <v>4218746.28</v>
      </c>
      <c r="O105" s="22">
        <f t="shared" si="40"/>
        <v>4218746.35</v>
      </c>
      <c r="P105" s="22">
        <f t="shared" si="40"/>
        <v>4218746.42</v>
      </c>
      <c r="Q105" s="22"/>
    </row>
    <row r="106" ht="15.75" customHeight="1">
      <c r="A106" s="5" t="s">
        <v>71</v>
      </c>
      <c r="B106" s="22">
        <v>653053.0</v>
      </c>
      <c r="C106" s="22">
        <v>758727.0</v>
      </c>
      <c r="D106" s="22">
        <v>748366.0</v>
      </c>
      <c r="E106" s="22">
        <v>676192.0</v>
      </c>
      <c r="F106" s="22">
        <v>662118.0</v>
      </c>
      <c r="G106" s="22">
        <v>404397.0</v>
      </c>
      <c r="H106" s="22">
        <v>577875.0</v>
      </c>
      <c r="I106" s="22">
        <v>662891.0</v>
      </c>
      <c r="J106" s="22">
        <v>672105.0</v>
      </c>
      <c r="K106" s="22">
        <f t="shared" ref="K106:P106" si="41">J106*1+K109</f>
        <v>672105.01</v>
      </c>
      <c r="L106" s="22">
        <f t="shared" si="41"/>
        <v>672105.02</v>
      </c>
      <c r="M106" s="22">
        <f t="shared" si="41"/>
        <v>672105.03</v>
      </c>
      <c r="N106" s="22">
        <f t="shared" si="41"/>
        <v>672105.04</v>
      </c>
      <c r="O106" s="22">
        <f t="shared" si="41"/>
        <v>672105.05</v>
      </c>
      <c r="P106" s="22">
        <f t="shared" si="41"/>
        <v>672105.06</v>
      </c>
      <c r="Q106" s="22"/>
    </row>
    <row r="107" ht="15.75" customHeight="1">
      <c r="A107" s="5" t="s">
        <v>49</v>
      </c>
      <c r="B107" s="19">
        <f t="shared" ref="B107:P107" si="42">B105+B106</f>
        <v>3442261</v>
      </c>
      <c r="C107" s="19">
        <f t="shared" si="42"/>
        <v>3806309</v>
      </c>
      <c r="D107" s="19">
        <f t="shared" si="42"/>
        <v>4036947</v>
      </c>
      <c r="E107" s="19">
        <f t="shared" si="42"/>
        <v>4053581</v>
      </c>
      <c r="F107" s="19">
        <f t="shared" si="42"/>
        <v>3435637</v>
      </c>
      <c r="G107" s="19">
        <f t="shared" si="42"/>
        <v>3115854</v>
      </c>
      <c r="H107" s="19">
        <f t="shared" si="42"/>
        <v>3647398</v>
      </c>
      <c r="I107" s="19">
        <f t="shared" si="42"/>
        <v>4553005</v>
      </c>
      <c r="J107" s="19">
        <f t="shared" si="42"/>
        <v>4890851</v>
      </c>
      <c r="K107" s="19">
        <f t="shared" si="42"/>
        <v>4890851.08</v>
      </c>
      <c r="L107" s="19">
        <f t="shared" si="42"/>
        <v>4890851.16</v>
      </c>
      <c r="M107" s="19">
        <f t="shared" si="42"/>
        <v>4890851.24</v>
      </c>
      <c r="N107" s="19">
        <f t="shared" si="42"/>
        <v>4890851.32</v>
      </c>
      <c r="O107" s="19">
        <f t="shared" si="42"/>
        <v>4890851.4</v>
      </c>
      <c r="P107" s="19">
        <f t="shared" si="42"/>
        <v>4890851.48</v>
      </c>
    </row>
    <row r="108" ht="15.75" customHeight="1">
      <c r="A108" s="5" t="s">
        <v>78</v>
      </c>
      <c r="C108" s="35">
        <f t="shared" ref="C108:J108" si="43">C105/B105-1</f>
        <v>0.09263346441</v>
      </c>
      <c r="D108" s="35">
        <f t="shared" si="43"/>
        <v>0.07907875818</v>
      </c>
      <c r="E108" s="35">
        <f t="shared" si="43"/>
        <v>0.0270049605</v>
      </c>
      <c r="F108" s="35">
        <f t="shared" si="43"/>
        <v>-0.178797882</v>
      </c>
      <c r="G108" s="35">
        <f t="shared" si="43"/>
        <v>-0.02237662695</v>
      </c>
      <c r="H108" s="35">
        <f t="shared" si="43"/>
        <v>0.1320566765</v>
      </c>
      <c r="I108" s="35">
        <f t="shared" si="43"/>
        <v>0.2673350224</v>
      </c>
      <c r="J108" s="35">
        <f t="shared" si="43"/>
        <v>0.08447875821</v>
      </c>
      <c r="K108" s="37">
        <v>0.07</v>
      </c>
      <c r="L108" s="37">
        <v>0.07</v>
      </c>
      <c r="M108" s="37">
        <v>0.07</v>
      </c>
      <c r="N108" s="37">
        <v>0.07</v>
      </c>
      <c r="O108" s="37">
        <v>0.07</v>
      </c>
      <c r="P108" s="37">
        <v>0.07</v>
      </c>
    </row>
    <row r="109" ht="15.75" customHeight="1">
      <c r="A109" s="5" t="s">
        <v>79</v>
      </c>
      <c r="C109" s="35">
        <f t="shared" ref="C109:J109" si="44">C106/B106-1</f>
        <v>0.1618153504</v>
      </c>
      <c r="D109" s="35">
        <f t="shared" si="44"/>
        <v>-0.01365576815</v>
      </c>
      <c r="E109" s="35">
        <f t="shared" si="44"/>
        <v>-0.09644211522</v>
      </c>
      <c r="F109" s="35">
        <f t="shared" si="44"/>
        <v>-0.02081361507</v>
      </c>
      <c r="G109" s="35">
        <f t="shared" si="44"/>
        <v>-0.3892372659</v>
      </c>
      <c r="H109" s="35">
        <f t="shared" si="44"/>
        <v>0.4289794435</v>
      </c>
      <c r="I109" s="35">
        <f t="shared" si="44"/>
        <v>0.1471183214</v>
      </c>
      <c r="J109" s="35">
        <f t="shared" si="44"/>
        <v>0.01389972107</v>
      </c>
      <c r="K109" s="37">
        <v>0.01</v>
      </c>
      <c r="L109" s="37">
        <v>0.01</v>
      </c>
      <c r="M109" s="37">
        <v>0.01</v>
      </c>
      <c r="N109" s="37">
        <v>0.01</v>
      </c>
      <c r="O109" s="37">
        <v>0.01</v>
      </c>
      <c r="P109" s="37">
        <v>0.01</v>
      </c>
    </row>
    <row r="110" ht="15.75" customHeight="1">
      <c r="A110" s="5"/>
    </row>
    <row r="111" ht="15.75" customHeight="1">
      <c r="A111" s="17" t="s">
        <v>80</v>
      </c>
    </row>
    <row r="112" ht="15.75" customHeight="1">
      <c r="A112" s="5" t="s">
        <v>70</v>
      </c>
      <c r="B112" s="35">
        <f t="shared" ref="B112:J112" si="45">B94/B105</f>
        <v>0.4680005937</v>
      </c>
      <c r="C112" s="35">
        <f t="shared" si="45"/>
        <v>0.4739957776</v>
      </c>
      <c r="D112" s="35">
        <f t="shared" si="45"/>
        <v>0.502800448</v>
      </c>
      <c r="E112" s="35">
        <f t="shared" si="45"/>
        <v>0.5192472647</v>
      </c>
      <c r="F112" s="35">
        <f t="shared" si="45"/>
        <v>0.5268130487</v>
      </c>
      <c r="G112" s="35">
        <f t="shared" si="45"/>
        <v>0.5022104352</v>
      </c>
      <c r="H112" s="35">
        <f t="shared" si="45"/>
        <v>0.4607481358</v>
      </c>
      <c r="I112" s="35">
        <f t="shared" si="45"/>
        <v>0.4387611777</v>
      </c>
      <c r="J112" s="35">
        <f t="shared" si="45"/>
        <v>0.4390536904</v>
      </c>
    </row>
    <row r="113" ht="15.75" customHeight="1">
      <c r="A113" s="5" t="s">
        <v>71</v>
      </c>
      <c r="B113" s="35">
        <f t="shared" ref="B113:J113" si="46">B95/B106</f>
        <v>0.1897196705</v>
      </c>
      <c r="C113" s="35">
        <f t="shared" si="46"/>
        <v>0.1635133586</v>
      </c>
      <c r="D113" s="35">
        <f t="shared" si="46"/>
        <v>0.1684656973</v>
      </c>
      <c r="E113" s="35">
        <f t="shared" si="46"/>
        <v>0.1608256235</v>
      </c>
      <c r="F113" s="35">
        <f t="shared" si="46"/>
        <v>0.1543093527</v>
      </c>
      <c r="G113" s="35">
        <f t="shared" si="46"/>
        <v>0.2377342067</v>
      </c>
      <c r="H113" s="35">
        <f t="shared" si="46"/>
        <v>0.4125044343</v>
      </c>
      <c r="I113" s="35">
        <f t="shared" si="46"/>
        <v>0.391215147</v>
      </c>
      <c r="J113" s="35">
        <f t="shared" si="46"/>
        <v>0.4211648478</v>
      </c>
    </row>
    <row r="114" ht="15.75" customHeight="1">
      <c r="A114" s="5" t="s">
        <v>81</v>
      </c>
      <c r="B114" s="36">
        <f t="shared" ref="B114:J114" si="47">B96/B107</f>
        <v>0.4152061683</v>
      </c>
      <c r="C114" s="36">
        <f t="shared" si="47"/>
        <v>0.4121060587</v>
      </c>
      <c r="D114" s="36">
        <f t="shared" si="47"/>
        <v>0.4408217398</v>
      </c>
      <c r="E114" s="36">
        <f t="shared" si="47"/>
        <v>0.4594576993</v>
      </c>
      <c r="F114" s="36">
        <f t="shared" si="47"/>
        <v>0.4550239155</v>
      </c>
      <c r="G114" s="36">
        <f t="shared" si="47"/>
        <v>0.4678848881</v>
      </c>
      <c r="H114" s="36">
        <f t="shared" si="47"/>
        <v>0.4531046516</v>
      </c>
      <c r="I114" s="36">
        <f t="shared" si="47"/>
        <v>0.4318387526</v>
      </c>
      <c r="J114" s="36">
        <f t="shared" si="47"/>
        <v>0.43659539</v>
      </c>
      <c r="K114" s="118">
        <v>0.46</v>
      </c>
      <c r="L114" s="119">
        <f t="shared" ref="L114:P114" si="48">K114</f>
        <v>0.46</v>
      </c>
      <c r="M114" s="119">
        <f t="shared" si="48"/>
        <v>0.46</v>
      </c>
      <c r="N114" s="119">
        <f t="shared" si="48"/>
        <v>0.46</v>
      </c>
      <c r="O114" s="119">
        <f t="shared" si="48"/>
        <v>0.46</v>
      </c>
      <c r="P114" s="119">
        <f t="shared" si="48"/>
        <v>0.46</v>
      </c>
    </row>
    <row r="115" ht="15.75" customHeight="1">
      <c r="A115" s="5"/>
    </row>
    <row r="116" ht="15.75" customHeight="1">
      <c r="A116" s="5"/>
      <c r="B116" s="19">
        <f t="shared" ref="B116:Q116" si="49">(B3/B96)*10^6</f>
        <v>399241.4193</v>
      </c>
      <c r="C116" s="19">
        <f t="shared" si="49"/>
        <v>434048.6407</v>
      </c>
      <c r="D116" s="19">
        <f t="shared" si="49"/>
        <v>448474.7473</v>
      </c>
      <c r="E116" s="19">
        <f t="shared" si="49"/>
        <v>462125.4059</v>
      </c>
      <c r="F116" s="19">
        <f t="shared" si="49"/>
        <v>483977.1329</v>
      </c>
      <c r="G116" s="19">
        <f t="shared" si="49"/>
        <v>482707.1991</v>
      </c>
      <c r="H116" s="19">
        <f t="shared" si="49"/>
        <v>534472.7538</v>
      </c>
      <c r="I116" s="19">
        <f t="shared" si="49"/>
        <v>602238.1653</v>
      </c>
      <c r="J116" s="19">
        <f t="shared" si="49"/>
        <v>664340.711</v>
      </c>
      <c r="K116" s="19" t="str">
        <f t="shared" si="49"/>
        <v>#DIV/0!</v>
      </c>
      <c r="L116" s="19" t="str">
        <f t="shared" si="49"/>
        <v>#DIV/0!</v>
      </c>
      <c r="M116" s="19" t="str">
        <f t="shared" si="49"/>
        <v>#DIV/0!</v>
      </c>
      <c r="N116" s="19" t="str">
        <f t="shared" si="49"/>
        <v>#DIV/0!</v>
      </c>
      <c r="O116" s="19" t="str">
        <f t="shared" si="49"/>
        <v>#DIV/0!</v>
      </c>
      <c r="P116" s="19" t="str">
        <f t="shared" si="49"/>
        <v>#DIV/0!</v>
      </c>
      <c r="Q116" s="19" t="str">
        <f t="shared" si="49"/>
        <v>#DIV/0!</v>
      </c>
    </row>
    <row r="117" ht="15.75" customHeight="1">
      <c r="A117" s="5" t="s">
        <v>82</v>
      </c>
      <c r="C117" s="35">
        <f t="shared" ref="C117:J117" si="50">C116/B116-1</f>
        <v>0.08718339278</v>
      </c>
      <c r="D117" s="35">
        <f t="shared" si="50"/>
        <v>0.03323615199</v>
      </c>
      <c r="E117" s="35">
        <f t="shared" si="50"/>
        <v>0.03043796469</v>
      </c>
      <c r="F117" s="35">
        <f t="shared" si="50"/>
        <v>0.04728527542</v>
      </c>
      <c r="G117" s="35">
        <f t="shared" si="50"/>
        <v>-0.002623954209</v>
      </c>
      <c r="H117" s="35">
        <f t="shared" si="50"/>
        <v>0.1072400718</v>
      </c>
      <c r="I117" s="35">
        <f t="shared" si="50"/>
        <v>0.1267892722</v>
      </c>
      <c r="J117" s="35">
        <f t="shared" si="50"/>
        <v>0.1031195784</v>
      </c>
      <c r="K117" s="37">
        <v>0.1</v>
      </c>
      <c r="L117" s="38">
        <f t="shared" ref="L117:P117" si="51">K117</f>
        <v>0.1</v>
      </c>
      <c r="M117" s="38">
        <f t="shared" si="51"/>
        <v>0.1</v>
      </c>
      <c r="N117" s="38">
        <f t="shared" si="51"/>
        <v>0.1</v>
      </c>
      <c r="O117" s="38">
        <f t="shared" si="51"/>
        <v>0.1</v>
      </c>
      <c r="P117" s="38">
        <f t="shared" si="51"/>
        <v>0.1</v>
      </c>
    </row>
    <row r="118" ht="15.75" customHeight="1">
      <c r="A118" s="5" t="s">
        <v>83</v>
      </c>
    </row>
    <row r="119" ht="15.75" customHeight="1">
      <c r="A119" s="5"/>
    </row>
    <row r="120" ht="15.75" customHeight="1">
      <c r="A120" s="17" t="s">
        <v>84</v>
      </c>
    </row>
    <row r="121" ht="15.75" customHeight="1">
      <c r="A121" s="5"/>
      <c r="B121" s="35"/>
      <c r="C121" s="35"/>
      <c r="D121" s="35"/>
      <c r="E121" s="35"/>
      <c r="F121" s="35"/>
      <c r="G121" s="35"/>
      <c r="H121" s="35"/>
      <c r="I121" s="35"/>
      <c r="J121" s="35"/>
      <c r="K121" s="37"/>
      <c r="L121" s="38"/>
      <c r="M121" s="38"/>
      <c r="N121" s="38"/>
      <c r="O121" s="38"/>
      <c r="P121" s="38"/>
    </row>
    <row r="122" ht="15.75" customHeight="1">
      <c r="A122" s="1" t="s">
        <v>5</v>
      </c>
      <c r="B122" s="35">
        <f t="shared" ref="B122:J122" si="52">B5/B$3</f>
        <v>0</v>
      </c>
      <c r="C122" s="35">
        <f t="shared" si="52"/>
        <v>0</v>
      </c>
      <c r="D122" s="35">
        <f t="shared" si="52"/>
        <v>0</v>
      </c>
      <c r="E122" s="35">
        <f t="shared" si="52"/>
        <v>0</v>
      </c>
      <c r="F122" s="35">
        <f t="shared" si="52"/>
        <v>0</v>
      </c>
      <c r="G122" s="35">
        <f t="shared" si="52"/>
        <v>0</v>
      </c>
      <c r="H122" s="35">
        <f t="shared" si="52"/>
        <v>0</v>
      </c>
      <c r="I122" s="35">
        <f t="shared" si="52"/>
        <v>0</v>
      </c>
      <c r="J122" s="35">
        <f t="shared" si="52"/>
        <v>0</v>
      </c>
      <c r="K122" s="37">
        <v>0.6</v>
      </c>
      <c r="L122" s="38">
        <f t="shared" ref="L122:P122" si="53">K122</f>
        <v>0.6</v>
      </c>
      <c r="M122" s="38">
        <f t="shared" si="53"/>
        <v>0.6</v>
      </c>
      <c r="N122" s="38">
        <f t="shared" si="53"/>
        <v>0.6</v>
      </c>
      <c r="O122" s="38">
        <f t="shared" si="53"/>
        <v>0.6</v>
      </c>
      <c r="P122" s="38">
        <f t="shared" si="53"/>
        <v>0.6</v>
      </c>
    </row>
    <row r="123" ht="15.75" customHeight="1">
      <c r="A123" s="1" t="s">
        <v>6</v>
      </c>
      <c r="B123" s="35">
        <f t="shared" ref="B123:J123" si="54">B6/B$3</f>
        <v>1.027172437</v>
      </c>
      <c r="C123" s="35">
        <f t="shared" si="54"/>
        <v>1.033628553</v>
      </c>
      <c r="D123" s="35">
        <f t="shared" si="54"/>
        <v>1.025633572</v>
      </c>
      <c r="E123" s="35">
        <f t="shared" si="54"/>
        <v>1.02976234</v>
      </c>
      <c r="F123" s="35">
        <f t="shared" si="54"/>
        <v>1.044070843</v>
      </c>
      <c r="G123" s="35">
        <f t="shared" si="54"/>
        <v>1.041725402</v>
      </c>
      <c r="H123" s="35">
        <f t="shared" si="54"/>
        <v>1.019752111</v>
      </c>
      <c r="I123" s="35">
        <f t="shared" si="54"/>
        <v>1.019125935</v>
      </c>
      <c r="J123" s="35">
        <f t="shared" si="54"/>
        <v>1.02885628</v>
      </c>
      <c r="K123" s="37">
        <v>0.08</v>
      </c>
      <c r="L123" s="38">
        <f t="shared" ref="L123:P123" si="55">K123</f>
        <v>0.08</v>
      </c>
      <c r="M123" s="38">
        <f t="shared" si="55"/>
        <v>0.08</v>
      </c>
      <c r="N123" s="38">
        <f t="shared" si="55"/>
        <v>0.08</v>
      </c>
      <c r="O123" s="38">
        <f t="shared" si="55"/>
        <v>0.08</v>
      </c>
      <c r="P123" s="38">
        <f t="shared" si="55"/>
        <v>0.08</v>
      </c>
    </row>
    <row r="124" ht="15.75" customHeight="1">
      <c r="A124" s="1" t="s">
        <v>8</v>
      </c>
      <c r="B124" s="35">
        <f t="shared" ref="B124:J124" si="56">B7/B$3</f>
        <v>0</v>
      </c>
      <c r="C124" s="35">
        <f t="shared" si="56"/>
        <v>0</v>
      </c>
      <c r="D124" s="35">
        <f t="shared" si="56"/>
        <v>0</v>
      </c>
      <c r="E124" s="35">
        <f t="shared" si="56"/>
        <v>0</v>
      </c>
      <c r="F124" s="35">
        <f t="shared" si="56"/>
        <v>0</v>
      </c>
      <c r="G124" s="35">
        <f t="shared" si="56"/>
        <v>0</v>
      </c>
      <c r="H124" s="35">
        <f t="shared" si="56"/>
        <v>0</v>
      </c>
      <c r="I124" s="35">
        <f t="shared" si="56"/>
        <v>0</v>
      </c>
      <c r="J124" s="35">
        <f t="shared" si="56"/>
        <v>0</v>
      </c>
      <c r="K124" s="38">
        <f t="shared" ref="K124:P124" si="57">J124</f>
        <v>0</v>
      </c>
      <c r="L124" s="38">
        <f t="shared" si="57"/>
        <v>0</v>
      </c>
      <c r="M124" s="38">
        <f t="shared" si="57"/>
        <v>0</v>
      </c>
      <c r="N124" s="38">
        <f t="shared" si="57"/>
        <v>0</v>
      </c>
      <c r="O124" s="38">
        <f t="shared" si="57"/>
        <v>0</v>
      </c>
      <c r="P124" s="38">
        <f t="shared" si="57"/>
        <v>0</v>
      </c>
    </row>
    <row r="125" ht="15.75" customHeight="1">
      <c r="A125" s="1" t="s">
        <v>10</v>
      </c>
      <c r="B125" s="35">
        <f t="shared" ref="B125:J125" si="58">B8/B$3</f>
        <v>0</v>
      </c>
      <c r="C125" s="35">
        <f t="shared" si="58"/>
        <v>0</v>
      </c>
      <c r="D125" s="35">
        <f t="shared" si="58"/>
        <v>0</v>
      </c>
      <c r="E125" s="35">
        <f t="shared" si="58"/>
        <v>0</v>
      </c>
      <c r="F125" s="35">
        <f t="shared" si="58"/>
        <v>0</v>
      </c>
      <c r="G125" s="35">
        <f t="shared" si="58"/>
        <v>0</v>
      </c>
      <c r="H125" s="35">
        <f t="shared" si="58"/>
        <v>0</v>
      </c>
      <c r="I125" s="35">
        <f t="shared" si="58"/>
        <v>0</v>
      </c>
      <c r="J125" s="35">
        <f t="shared" si="58"/>
        <v>0</v>
      </c>
      <c r="K125" s="37">
        <v>0.04</v>
      </c>
      <c r="L125" s="38">
        <f t="shared" ref="L125:P125" si="59">K125</f>
        <v>0.04</v>
      </c>
      <c r="M125" s="38">
        <f t="shared" si="59"/>
        <v>0.04</v>
      </c>
      <c r="N125" s="38">
        <f t="shared" si="59"/>
        <v>0.04</v>
      </c>
      <c r="O125" s="38">
        <f t="shared" si="59"/>
        <v>0.04</v>
      </c>
      <c r="P125" s="38">
        <f t="shared" si="59"/>
        <v>0.04</v>
      </c>
    </row>
    <row r="126" ht="15.75" customHeight="1">
      <c r="A126" s="1" t="s">
        <v>12</v>
      </c>
      <c r="B126" s="35">
        <f t="shared" ref="B126:J126" si="60">B9/B$3</f>
        <v>0.6344154991</v>
      </c>
      <c r="C126" s="35">
        <f t="shared" si="60"/>
        <v>0.6260982595</v>
      </c>
      <c r="D126" s="35">
        <f t="shared" si="60"/>
        <v>0.5631316612</v>
      </c>
      <c r="E126" s="35">
        <f t="shared" si="60"/>
        <v>0.5231379657</v>
      </c>
      <c r="F126" s="35">
        <f t="shared" si="60"/>
        <v>0.4577689664</v>
      </c>
      <c r="G126" s="35">
        <f t="shared" si="60"/>
        <v>0.4731484113</v>
      </c>
      <c r="H126" s="35">
        <f t="shared" si="60"/>
        <v>0.4499002602</v>
      </c>
      <c r="I126" s="35">
        <f t="shared" si="60"/>
        <v>0.6194769187</v>
      </c>
      <c r="J126" s="35">
        <f t="shared" si="60"/>
        <v>0.5562970628</v>
      </c>
      <c r="K126" s="38">
        <f t="shared" ref="K126:P126" si="61">J126</f>
        <v>0.5562970628</v>
      </c>
      <c r="L126" s="38">
        <f t="shared" si="61"/>
        <v>0.5562970628</v>
      </c>
      <c r="M126" s="38">
        <f t="shared" si="61"/>
        <v>0.5562970628</v>
      </c>
      <c r="N126" s="38">
        <f t="shared" si="61"/>
        <v>0.5562970628</v>
      </c>
      <c r="O126" s="38">
        <f t="shared" si="61"/>
        <v>0.5562970628</v>
      </c>
      <c r="P126" s="38">
        <f t="shared" si="61"/>
        <v>0.5562970628</v>
      </c>
    </row>
    <row r="127" ht="15.75" customHeight="1">
      <c r="A127" s="1" t="s">
        <v>85</v>
      </c>
      <c r="B127" s="35">
        <f t="shared" ref="B127:J127" si="62">B10/B$3</f>
        <v>0.05558038257</v>
      </c>
      <c r="C127" s="35">
        <f t="shared" si="62"/>
        <v>0.06599985312</v>
      </c>
      <c r="D127" s="35">
        <f t="shared" si="62"/>
        <v>0.1253248364</v>
      </c>
      <c r="E127" s="35">
        <f t="shared" si="62"/>
        <v>0.1663895618</v>
      </c>
      <c r="F127" s="35">
        <f t="shared" si="62"/>
        <v>0.2480465239</v>
      </c>
      <c r="G127" s="35">
        <f t="shared" si="62"/>
        <v>0.2451841642</v>
      </c>
      <c r="H127" s="35">
        <f t="shared" si="62"/>
        <v>0.2988515767</v>
      </c>
      <c r="I127" s="35">
        <f t="shared" si="62"/>
        <v>0.1073786905</v>
      </c>
      <c r="J127" s="35">
        <f t="shared" si="62"/>
        <v>0.1494746162</v>
      </c>
      <c r="K127" s="38">
        <f t="shared" ref="K127:P127" si="63">J127</f>
        <v>0.1494746162</v>
      </c>
      <c r="L127" s="38">
        <f t="shared" si="63"/>
        <v>0.1494746162</v>
      </c>
      <c r="M127" s="38">
        <f t="shared" si="63"/>
        <v>0.1494746162</v>
      </c>
      <c r="N127" s="38">
        <f t="shared" si="63"/>
        <v>0.1494746162</v>
      </c>
      <c r="O127" s="38">
        <f t="shared" si="63"/>
        <v>0.1494746162</v>
      </c>
      <c r="P127" s="38">
        <f t="shared" si="63"/>
        <v>0.1494746162</v>
      </c>
    </row>
    <row r="128" ht="15.75" customHeight="1">
      <c r="A128" s="5"/>
    </row>
    <row r="129" ht="15.75" customHeight="1">
      <c r="A129" s="5"/>
    </row>
    <row r="130" ht="15.75" customHeight="1">
      <c r="A130" s="18" t="s">
        <v>86</v>
      </c>
    </row>
    <row r="131" ht="15.75" customHeight="1">
      <c r="A131" s="5"/>
    </row>
    <row r="132" ht="15.75" customHeight="1">
      <c r="A132" s="1" t="s">
        <v>5</v>
      </c>
    </row>
    <row r="133" ht="15.75" customHeight="1">
      <c r="A133" s="1" t="s">
        <v>6</v>
      </c>
    </row>
    <row r="134" ht="15.75" customHeight="1">
      <c r="A134" s="1" t="s">
        <v>8</v>
      </c>
    </row>
    <row r="135" ht="15.75" customHeight="1">
      <c r="A135" s="1" t="s">
        <v>10</v>
      </c>
    </row>
    <row r="136" ht="15.75" customHeight="1">
      <c r="A136" s="1" t="s">
        <v>12</v>
      </c>
    </row>
    <row r="137" ht="15.75" customHeight="1">
      <c r="A137" s="1" t="s">
        <v>85</v>
      </c>
    </row>
    <row r="138" ht="15.75" customHeight="1">
      <c r="A138" s="5"/>
    </row>
    <row r="139" ht="15.75" customHeight="1">
      <c r="A139" s="1" t="s">
        <v>83</v>
      </c>
    </row>
    <row r="140" ht="15.75" customHeight="1">
      <c r="A140" s="1" t="s">
        <v>5</v>
      </c>
    </row>
    <row r="141" ht="15.75" customHeight="1">
      <c r="A141" s="1" t="s">
        <v>6</v>
      </c>
    </row>
    <row r="142" ht="15.75" customHeight="1">
      <c r="A142" s="1" t="s">
        <v>8</v>
      </c>
    </row>
    <row r="143" ht="15.75" customHeight="1">
      <c r="A143" s="1" t="s">
        <v>10</v>
      </c>
    </row>
    <row r="144" ht="15.75" customHeight="1">
      <c r="A144" s="1" t="s">
        <v>12</v>
      </c>
    </row>
    <row r="145" ht="15.75" customHeight="1">
      <c r="A145" s="1" t="s">
        <v>85</v>
      </c>
    </row>
    <row r="146" ht="15.75" customHeight="1">
      <c r="A146" s="5"/>
    </row>
    <row r="147" ht="15.75" customHeight="1">
      <c r="A147" s="5"/>
    </row>
    <row r="148" ht="15.75" customHeight="1">
      <c r="A148" s="5"/>
    </row>
    <row r="149" ht="15.75" customHeight="1">
      <c r="A149" s="18" t="s">
        <v>87</v>
      </c>
    </row>
    <row r="150" ht="15.75" customHeight="1">
      <c r="A150" s="5"/>
    </row>
    <row r="151" ht="15.75" customHeight="1">
      <c r="A151" s="5" t="s">
        <v>60</v>
      </c>
    </row>
    <row r="152" ht="15.75" customHeight="1">
      <c r="A152" s="16" t="s">
        <v>61</v>
      </c>
    </row>
    <row r="153" ht="15.75" customHeight="1">
      <c r="A153" s="16" t="s">
        <v>62</v>
      </c>
    </row>
    <row r="154" ht="15.75" customHeight="1">
      <c r="A154" s="16" t="s">
        <v>64</v>
      </c>
    </row>
    <row r="155" ht="15.75" customHeight="1">
      <c r="A155" s="16" t="s">
        <v>65</v>
      </c>
    </row>
    <row r="156" ht="15.75" customHeight="1">
      <c r="A156" s="16" t="s">
        <v>66</v>
      </c>
    </row>
    <row r="157" ht="15.75" customHeight="1">
      <c r="A157" s="1" t="s">
        <v>57</v>
      </c>
    </row>
    <row r="158" ht="15.75" customHeight="1">
      <c r="A158" s="5"/>
    </row>
    <row r="159" ht="15.75" customHeight="1">
      <c r="A159" s="5" t="s">
        <v>42</v>
      </c>
    </row>
    <row r="160" ht="15.75" customHeight="1">
      <c r="A160" s="1" t="s">
        <v>43</v>
      </c>
    </row>
    <row r="161" ht="15.75" customHeight="1">
      <c r="A161" s="1" t="s">
        <v>44</v>
      </c>
    </row>
    <row r="162" ht="15.75" customHeight="1">
      <c r="A162" s="1" t="s">
        <v>45</v>
      </c>
    </row>
    <row r="163" ht="15.75" customHeight="1">
      <c r="A163" s="1" t="s">
        <v>46</v>
      </c>
    </row>
    <row r="164" ht="15.75" customHeight="1">
      <c r="A164" s="1" t="s">
        <v>47</v>
      </c>
    </row>
    <row r="165" ht="15.75" customHeight="1">
      <c r="A165" s="1" t="s">
        <v>48</v>
      </c>
    </row>
    <row r="166" ht="15.75" customHeight="1">
      <c r="A166" s="5"/>
    </row>
    <row r="167" ht="15.75" customHeight="1">
      <c r="A167" s="1" t="s">
        <v>88</v>
      </c>
    </row>
    <row r="168" ht="15.75" customHeight="1">
      <c r="A168" s="5"/>
    </row>
    <row r="169" ht="15.75" customHeight="1">
      <c r="A169" s="18" t="s">
        <v>89</v>
      </c>
    </row>
    <row r="170" ht="15.75" customHeight="1">
      <c r="A170" s="5" t="s">
        <v>60</v>
      </c>
    </row>
    <row r="171" ht="15.75" customHeight="1">
      <c r="A171" s="16" t="s">
        <v>61</v>
      </c>
    </row>
    <row r="172" ht="15.75" customHeight="1">
      <c r="A172" s="16" t="s">
        <v>62</v>
      </c>
    </row>
    <row r="173" ht="15.75" customHeight="1">
      <c r="A173" s="16" t="s">
        <v>64</v>
      </c>
    </row>
    <row r="174" ht="15.75" customHeight="1">
      <c r="A174" s="16" t="s">
        <v>65</v>
      </c>
    </row>
    <row r="175" ht="15.75" customHeight="1">
      <c r="A175" s="16" t="s">
        <v>66</v>
      </c>
    </row>
    <row r="176" ht="15.75" customHeight="1">
      <c r="A176" s="1" t="s">
        <v>57</v>
      </c>
    </row>
    <row r="177" ht="15.75" customHeight="1">
      <c r="A177" s="5"/>
    </row>
    <row r="178" ht="15.75" customHeight="1">
      <c r="A178" s="5" t="s">
        <v>42</v>
      </c>
    </row>
    <row r="179" ht="15.75" customHeight="1">
      <c r="A179" s="1" t="s">
        <v>43</v>
      </c>
    </row>
    <row r="180" ht="15.75" customHeight="1">
      <c r="A180" s="1" t="s">
        <v>44</v>
      </c>
    </row>
    <row r="181" ht="15.75" customHeight="1">
      <c r="A181" s="1" t="s">
        <v>45</v>
      </c>
    </row>
    <row r="182" ht="15.75" customHeight="1">
      <c r="A182" s="1" t="s">
        <v>46</v>
      </c>
    </row>
    <row r="183" ht="15.75" customHeight="1">
      <c r="A183" s="1" t="s">
        <v>47</v>
      </c>
    </row>
    <row r="184" ht="15.75" customHeight="1">
      <c r="A184" s="1" t="s">
        <v>48</v>
      </c>
    </row>
    <row r="185" ht="15.75" customHeight="1">
      <c r="A185" s="5"/>
    </row>
    <row r="186" ht="15.75" customHeight="1">
      <c r="A186" s="1" t="s">
        <v>90</v>
      </c>
    </row>
    <row r="187" ht="15.75" customHeight="1">
      <c r="A187" s="1" t="s">
        <v>91</v>
      </c>
    </row>
    <row r="188" ht="15.75" customHeight="1">
      <c r="A188" s="5"/>
    </row>
    <row r="189" ht="15.75" customHeight="1">
      <c r="A189" s="5"/>
    </row>
    <row r="190" ht="15.75" customHeight="1">
      <c r="A190" s="5"/>
    </row>
    <row r="191" ht="15.75" customHeight="1">
      <c r="A191" s="18" t="s">
        <v>92</v>
      </c>
    </row>
    <row r="192" ht="15.75" customHeight="1">
      <c r="A192" s="5" t="s">
        <v>93</v>
      </c>
    </row>
    <row r="193" ht="15.75" customHeight="1">
      <c r="A193" s="5" t="s">
        <v>94</v>
      </c>
    </row>
    <row r="194" ht="15.75" customHeight="1">
      <c r="A194" s="5" t="s">
        <v>49</v>
      </c>
    </row>
    <row r="195" ht="15.75" customHeight="1">
      <c r="A195" s="5"/>
    </row>
    <row r="196" ht="15.75" customHeight="1">
      <c r="A196" s="5" t="s">
        <v>95</v>
      </c>
    </row>
    <row r="197" ht="15.75" customHeight="1">
      <c r="A197" s="5"/>
    </row>
    <row r="198" ht="15.75" customHeight="1">
      <c r="A198" s="5" t="s">
        <v>96</v>
      </c>
    </row>
    <row r="199" ht="15.75" customHeight="1">
      <c r="A199" s="5" t="s">
        <v>97</v>
      </c>
    </row>
    <row r="200" ht="15.75" customHeight="1">
      <c r="A200" s="5" t="s">
        <v>98</v>
      </c>
    </row>
    <row r="201" ht="15.75" customHeight="1">
      <c r="A201" s="5"/>
    </row>
    <row r="202" ht="15.75" customHeight="1">
      <c r="A202" s="5" t="s">
        <v>99</v>
      </c>
    </row>
    <row r="203" ht="15.75" customHeight="1">
      <c r="A203" s="5" t="s">
        <v>100</v>
      </c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>
      <c r="A403" s="1"/>
    </row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0.75" footer="0.0" header="0.0" left="0.7" right="0.7" top="0.75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1"/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</row>
    <row r="5" ht="15.75" customHeight="1">
      <c r="A5" s="7"/>
    </row>
    <row r="6" ht="15.75" customHeight="1">
      <c r="A6" s="8" t="s">
        <v>3</v>
      </c>
      <c r="B6" s="9">
        <f t="shared" ref="B6:J6" si="2">SUM(B3:B4)</f>
        <v>586120</v>
      </c>
      <c r="C6" s="9">
        <f t="shared" si="2"/>
        <v>703746</v>
      </c>
      <c r="D6" s="9">
        <f t="shared" si="2"/>
        <v>818552</v>
      </c>
      <c r="E6" s="9">
        <f t="shared" si="2"/>
        <v>886301</v>
      </c>
      <c r="F6" s="9">
        <f t="shared" si="2"/>
        <v>789944</v>
      </c>
      <c r="G6" s="9">
        <f t="shared" si="2"/>
        <v>733083</v>
      </c>
      <c r="H6" s="9">
        <f t="shared" si="2"/>
        <v>900745</v>
      </c>
      <c r="I6" s="9">
        <f t="shared" si="2"/>
        <v>1206746</v>
      </c>
      <c r="J6" s="9">
        <f t="shared" si="2"/>
        <v>1459517</v>
      </c>
      <c r="K6" s="10"/>
      <c r="L6" s="10"/>
      <c r="M6" s="10"/>
      <c r="N6" s="10"/>
      <c r="O6" s="10"/>
      <c r="P6" s="10"/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</row>
    <row r="15" ht="15.75" customHeight="1">
      <c r="A15" s="7"/>
    </row>
    <row r="16" ht="15.75" customHeight="1">
      <c r="A16" s="8" t="s">
        <v>14</v>
      </c>
      <c r="B16" s="13">
        <f t="shared" ref="B16:J16" si="3">SUM(B9:B14)</f>
        <v>494932</v>
      </c>
      <c r="C16" s="13">
        <f t="shared" si="3"/>
        <v>577269</v>
      </c>
      <c r="D16" s="13">
        <f t="shared" si="3"/>
        <v>677460</v>
      </c>
      <c r="E16" s="13">
        <f t="shared" si="3"/>
        <v>750653</v>
      </c>
      <c r="F16" s="13">
        <f t="shared" si="3"/>
        <v>683474</v>
      </c>
      <c r="G16" s="13">
        <f t="shared" si="3"/>
        <v>650204</v>
      </c>
      <c r="H16" s="13">
        <f t="shared" si="3"/>
        <v>826236</v>
      </c>
      <c r="I16" s="13">
        <f t="shared" si="3"/>
        <v>1053155</v>
      </c>
      <c r="J16" s="13">
        <f t="shared" si="3"/>
        <v>1233319</v>
      </c>
      <c r="K16" s="14"/>
      <c r="L16" s="14"/>
      <c r="M16" s="14"/>
      <c r="N16" s="14"/>
      <c r="O16" s="14"/>
      <c r="P16" s="14"/>
    </row>
    <row r="17" ht="15.75" customHeight="1">
      <c r="A17" s="7"/>
    </row>
    <row r="18" ht="15.75" customHeight="1">
      <c r="A18" s="4" t="s">
        <v>15</v>
      </c>
      <c r="B18" s="6">
        <f t="shared" ref="B18:J18" si="4">B6-B16</f>
        <v>91188</v>
      </c>
      <c r="C18" s="6">
        <f t="shared" si="4"/>
        <v>126477</v>
      </c>
      <c r="D18" s="6">
        <f t="shared" si="4"/>
        <v>141092</v>
      </c>
      <c r="E18" s="6">
        <f t="shared" si="4"/>
        <v>135648</v>
      </c>
      <c r="F18" s="6">
        <f t="shared" si="4"/>
        <v>106470</v>
      </c>
      <c r="G18" s="6">
        <f t="shared" si="4"/>
        <v>82879</v>
      </c>
      <c r="H18" s="6">
        <f t="shared" si="4"/>
        <v>74509</v>
      </c>
      <c r="I18" s="6">
        <f t="shared" si="4"/>
        <v>153591</v>
      </c>
      <c r="J18" s="6">
        <f t="shared" si="4"/>
        <v>226198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</row>
    <row r="21" ht="15.75" customHeight="1">
      <c r="A21" s="7"/>
    </row>
    <row r="22" ht="15.75" customHeight="1">
      <c r="A22" s="7" t="s">
        <v>18</v>
      </c>
      <c r="B22" s="6">
        <f t="shared" ref="B22:J22" si="5">B18-B20</f>
        <v>62518</v>
      </c>
      <c r="C22" s="6">
        <f t="shared" si="5"/>
        <v>100438</v>
      </c>
      <c r="D22" s="6">
        <f t="shared" si="5"/>
        <v>113494</v>
      </c>
      <c r="E22" s="6">
        <f t="shared" si="5"/>
        <v>105440</v>
      </c>
      <c r="F22" s="6">
        <f t="shared" si="5"/>
        <v>71186</v>
      </c>
      <c r="G22" s="6">
        <f t="shared" si="5"/>
        <v>52538</v>
      </c>
      <c r="H22" s="6">
        <f t="shared" si="5"/>
        <v>46619</v>
      </c>
      <c r="I22" s="6">
        <f t="shared" si="5"/>
        <v>105131</v>
      </c>
      <c r="J22" s="6">
        <f t="shared" si="5"/>
        <v>173640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</row>
    <row r="25" ht="15.75" customHeight="1">
      <c r="A25" s="7"/>
    </row>
    <row r="26" ht="15.75" customHeight="1">
      <c r="A26" s="7" t="s">
        <v>23</v>
      </c>
      <c r="B26" s="6">
        <f t="shared" ref="B26:J26" si="6">B22-B24</f>
        <v>61581</v>
      </c>
      <c r="C26" s="6">
        <f t="shared" si="6"/>
        <v>99544</v>
      </c>
      <c r="D26" s="6">
        <f t="shared" si="6"/>
        <v>110036</v>
      </c>
      <c r="E26" s="6">
        <f t="shared" si="6"/>
        <v>104681</v>
      </c>
      <c r="F26" s="6">
        <f t="shared" si="6"/>
        <v>69844</v>
      </c>
      <c r="G26" s="6">
        <f t="shared" si="6"/>
        <v>51520</v>
      </c>
      <c r="H26" s="6">
        <f t="shared" si="6"/>
        <v>45353</v>
      </c>
      <c r="I26" s="6">
        <f t="shared" si="6"/>
        <v>102608</v>
      </c>
      <c r="J26" s="6">
        <f t="shared" si="6"/>
        <v>171704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</row>
    <row r="28" ht="15.75" customHeight="1">
      <c r="A28" s="7" t="s">
        <v>25</v>
      </c>
      <c r="B28" s="6">
        <f t="shared" ref="B28:J28" si="7">SUM(B26:B27)</f>
        <v>66296</v>
      </c>
      <c r="C28" s="6">
        <f t="shared" si="7"/>
        <v>101272</v>
      </c>
      <c r="D28" s="6">
        <f t="shared" si="7"/>
        <v>111669</v>
      </c>
      <c r="E28" s="6">
        <f t="shared" si="7"/>
        <v>102651</v>
      </c>
      <c r="F28" s="6">
        <f t="shared" si="7"/>
        <v>65427</v>
      </c>
      <c r="G28" s="6">
        <f t="shared" si="7"/>
        <v>56656</v>
      </c>
      <c r="H28" s="6">
        <f t="shared" si="7"/>
        <v>48482</v>
      </c>
      <c r="I28" s="6">
        <f t="shared" si="7"/>
        <v>103194</v>
      </c>
      <c r="J28" s="6">
        <f t="shared" si="7"/>
        <v>174373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</row>
    <row r="31" ht="15.75" customHeight="1">
      <c r="A31" s="7"/>
    </row>
    <row r="32" ht="15.75" customHeight="1">
      <c r="A32" s="7" t="s">
        <v>27</v>
      </c>
      <c r="B32" s="6">
        <f t="shared" ref="B32:J32" si="8">B28-B30</f>
        <v>46309</v>
      </c>
      <c r="C32" s="6">
        <f t="shared" si="8"/>
        <v>75110</v>
      </c>
      <c r="D32" s="6">
        <f t="shared" si="8"/>
        <v>78807</v>
      </c>
      <c r="E32" s="6">
        <f t="shared" si="8"/>
        <v>72919</v>
      </c>
      <c r="F32" s="6">
        <f t="shared" si="8"/>
        <v>51175</v>
      </c>
      <c r="G32" s="6">
        <f t="shared" si="8"/>
        <v>47337</v>
      </c>
      <c r="H32" s="6">
        <f t="shared" si="8"/>
        <v>40305</v>
      </c>
      <c r="I32" s="6">
        <f t="shared" si="8"/>
        <v>81449</v>
      </c>
      <c r="J32" s="6">
        <f t="shared" si="8"/>
        <v>135010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9">B32+B33</f>
        <v>46988</v>
      </c>
      <c r="C36" s="9">
        <f t="shared" si="9"/>
        <v>77326</v>
      </c>
      <c r="D36" s="9">
        <f t="shared" si="9"/>
        <v>82118</v>
      </c>
      <c r="E36" s="9">
        <f>E32+F33</f>
        <v>74103</v>
      </c>
      <c r="F36" s="9">
        <f t="shared" ref="F36:J36" si="10">F32+F33</f>
        <v>52359</v>
      </c>
      <c r="G36" s="9">
        <f t="shared" si="10"/>
        <v>49027</v>
      </c>
      <c r="H36" s="9">
        <f t="shared" si="10"/>
        <v>41924</v>
      </c>
      <c r="I36" s="9">
        <f t="shared" si="10"/>
        <v>83223</v>
      </c>
      <c r="J36" s="9">
        <f t="shared" si="10"/>
        <v>137551</v>
      </c>
      <c r="K36" s="10"/>
      <c r="L36" s="10"/>
      <c r="M36" s="10"/>
      <c r="N36" s="10"/>
      <c r="O36" s="10"/>
      <c r="P36" s="10"/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</row>
    <row r="42" ht="15.75" customHeight="1">
      <c r="A42" s="1" t="s">
        <v>32</v>
      </c>
    </row>
    <row r="43" ht="15.75" customHeight="1">
      <c r="A43" s="1" t="s">
        <v>33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</row>
    <row r="47" ht="15.75" customHeight="1">
      <c r="A47" s="7" t="s">
        <v>36</v>
      </c>
    </row>
    <row r="48" ht="15.75" customHeight="1">
      <c r="A48" s="7"/>
    </row>
    <row r="49" ht="15.75" customHeight="1">
      <c r="A49" s="7" t="s">
        <v>37</v>
      </c>
    </row>
    <row r="50" ht="15.75" customHeight="1">
      <c r="A50" s="1" t="s">
        <v>38</v>
      </c>
    </row>
    <row r="51" ht="15.75" customHeight="1">
      <c r="A51" s="1" t="s">
        <v>39</v>
      </c>
    </row>
    <row r="52" ht="15.75" customHeight="1">
      <c r="A52" s="1" t="s">
        <v>40</v>
      </c>
    </row>
    <row r="53" ht="15.75" customHeight="1">
      <c r="A53" s="1" t="s">
        <v>41</v>
      </c>
    </row>
    <row r="54" ht="15.75" customHeight="1">
      <c r="A54" s="7"/>
    </row>
    <row r="55" ht="15.75" customHeight="1">
      <c r="A55" s="1" t="s">
        <v>42</v>
      </c>
    </row>
    <row r="56" ht="15.75" customHeight="1">
      <c r="A56" s="1" t="s">
        <v>43</v>
      </c>
    </row>
    <row r="57" ht="15.75" customHeight="1">
      <c r="A57" s="1" t="s">
        <v>44</v>
      </c>
    </row>
    <row r="58" ht="15.75" customHeight="1">
      <c r="A58" s="1" t="s">
        <v>45</v>
      </c>
    </row>
    <row r="59" ht="15.75" customHeight="1">
      <c r="A59" s="1" t="s">
        <v>46</v>
      </c>
    </row>
    <row r="60" ht="15.75" customHeight="1">
      <c r="A60" s="1" t="s">
        <v>47</v>
      </c>
    </row>
    <row r="61" ht="15.75" customHeight="1">
      <c r="A61" s="1" t="s">
        <v>48</v>
      </c>
    </row>
    <row r="62" ht="15.75" customHeight="1">
      <c r="A62" s="8" t="s">
        <v>49</v>
      </c>
    </row>
    <row r="63" ht="15.75" customHeight="1">
      <c r="A63" s="7"/>
    </row>
    <row r="64" ht="15.75" customHeight="1">
      <c r="A64" s="7"/>
    </row>
    <row r="65" ht="15.75" customHeight="1">
      <c r="A65" s="4" t="s">
        <v>50</v>
      </c>
    </row>
    <row r="66" ht="15.75" customHeight="1">
      <c r="A66" s="7"/>
    </row>
    <row r="67" ht="15.75" customHeight="1">
      <c r="A67" s="1" t="s">
        <v>51</v>
      </c>
    </row>
    <row r="68" ht="15.75" customHeight="1">
      <c r="A68" s="16" t="s">
        <v>52</v>
      </c>
    </row>
    <row r="69" ht="15.75" customHeight="1">
      <c r="A69" s="16" t="s">
        <v>53</v>
      </c>
    </row>
    <row r="70" ht="15.75" customHeight="1">
      <c r="A70" s="16" t="s">
        <v>54</v>
      </c>
    </row>
    <row r="71" ht="15.75" customHeight="1">
      <c r="A71" s="16" t="s">
        <v>55</v>
      </c>
    </row>
    <row r="72" ht="15.75" customHeight="1">
      <c r="A72" s="1"/>
    </row>
    <row r="73" ht="15.75" customHeight="1">
      <c r="A73" s="1" t="s">
        <v>56</v>
      </c>
    </row>
    <row r="74" ht="15.75" customHeight="1">
      <c r="A74" s="1" t="s">
        <v>57</v>
      </c>
    </row>
    <row r="75" ht="15.75" customHeight="1">
      <c r="A75" s="1" t="s">
        <v>58</v>
      </c>
    </row>
    <row r="76" ht="15.75" customHeight="1">
      <c r="A76" s="1" t="s">
        <v>59</v>
      </c>
    </row>
    <row r="77" ht="15.75" customHeight="1">
      <c r="A77" s="1"/>
    </row>
    <row r="78" ht="15.75" customHeight="1">
      <c r="A78" s="1" t="s">
        <v>60</v>
      </c>
    </row>
    <row r="79" ht="15.75" customHeight="1">
      <c r="A79" s="1"/>
    </row>
    <row r="80" ht="15.75" customHeight="1">
      <c r="A80" s="16" t="s">
        <v>61</v>
      </c>
    </row>
    <row r="81" ht="15.75" customHeight="1">
      <c r="A81" s="16" t="s">
        <v>62</v>
      </c>
    </row>
    <row r="82" ht="15.75" customHeight="1">
      <c r="A82" s="16" t="s">
        <v>63</v>
      </c>
    </row>
    <row r="83" ht="15.75" customHeight="1">
      <c r="A83" s="16" t="s">
        <v>64</v>
      </c>
    </row>
    <row r="84" ht="15.75" customHeight="1">
      <c r="A84" s="16" t="s">
        <v>65</v>
      </c>
    </row>
    <row r="85" ht="15.75" customHeight="1">
      <c r="A85" s="16" t="s">
        <v>66</v>
      </c>
    </row>
    <row r="86" ht="15.75" customHeight="1">
      <c r="A86" s="16" t="s">
        <v>67</v>
      </c>
    </row>
    <row r="87" ht="15.75" customHeight="1">
      <c r="A87" s="1" t="s">
        <v>57</v>
      </c>
    </row>
    <row r="88" ht="15.75" customHeight="1">
      <c r="A88" s="8" t="s">
        <v>49</v>
      </c>
    </row>
    <row r="89" ht="15.75" customHeight="1">
      <c r="A89" s="1"/>
    </row>
    <row r="90" ht="15.75" customHeight="1">
      <c r="A90" s="5" t="s">
        <v>68</v>
      </c>
      <c r="B90" s="15">
        <v>1500000.0</v>
      </c>
      <c r="C90" s="15">
        <v>1550000.0</v>
      </c>
      <c r="D90" s="15">
        <v>1560000.0</v>
      </c>
    </row>
    <row r="91" ht="15.75" customHeight="1">
      <c r="A91" s="5" t="s">
        <v>69</v>
      </c>
      <c r="B91" s="15">
        <v>1305351.0</v>
      </c>
      <c r="C91" s="15">
        <v>50000.0</v>
      </c>
    </row>
    <row r="92" ht="15.75" customHeight="1">
      <c r="A92" s="5"/>
    </row>
    <row r="93" ht="15.75" customHeight="1">
      <c r="A93" s="5" t="s">
        <v>70</v>
      </c>
      <c r="B93" s="15">
        <v>1305351.0</v>
      </c>
      <c r="C93" s="15">
        <v>144541.0</v>
      </c>
    </row>
    <row r="94" ht="15.75" customHeight="1">
      <c r="A94" s="5" t="s">
        <v>71</v>
      </c>
      <c r="B94" s="15">
        <v>123897.0</v>
      </c>
      <c r="C94" s="15">
        <v>124062.0</v>
      </c>
    </row>
    <row r="95" ht="15.75" customHeight="1">
      <c r="A95" s="5" t="s">
        <v>49</v>
      </c>
      <c r="B95" s="15">
        <v>1429248.0</v>
      </c>
      <c r="C95" s="15">
        <v>1568603.0</v>
      </c>
    </row>
    <row r="96" ht="15.75" customHeight="1">
      <c r="A96" s="5"/>
    </row>
    <row r="97" ht="15.75" customHeight="1">
      <c r="A97" s="5" t="s">
        <v>72</v>
      </c>
      <c r="B97" s="40">
        <v>0.953</v>
      </c>
    </row>
    <row r="98" ht="15.75" customHeight="1">
      <c r="A98" s="5"/>
    </row>
    <row r="99" ht="15.75" customHeight="1">
      <c r="A99" s="17" t="s">
        <v>73</v>
      </c>
    </row>
    <row r="100" ht="15.75" customHeight="1">
      <c r="A100" s="5" t="s">
        <v>74</v>
      </c>
    </row>
    <row r="101" ht="15.75" customHeight="1">
      <c r="A101" s="5" t="s">
        <v>75</v>
      </c>
    </row>
    <row r="102" ht="15.75" customHeight="1">
      <c r="A102" s="5"/>
    </row>
    <row r="103" ht="15.75" customHeight="1">
      <c r="A103" s="17" t="s">
        <v>76</v>
      </c>
    </row>
    <row r="104" ht="15.75" customHeight="1">
      <c r="A104" s="5" t="s">
        <v>77</v>
      </c>
    </row>
    <row r="105" ht="15.75" customHeight="1">
      <c r="A105" s="5" t="s">
        <v>71</v>
      </c>
    </row>
    <row r="106" ht="15.75" customHeight="1">
      <c r="A106" s="5" t="s">
        <v>49</v>
      </c>
    </row>
    <row r="107" ht="15.75" customHeight="1">
      <c r="A107" s="5" t="s">
        <v>78</v>
      </c>
    </row>
    <row r="108" ht="15.75" customHeight="1">
      <c r="A108" s="5" t="s">
        <v>79</v>
      </c>
    </row>
    <row r="109" ht="15.75" customHeight="1">
      <c r="A109" s="5"/>
    </row>
    <row r="110" ht="15.75" customHeight="1">
      <c r="A110" s="17" t="s">
        <v>80</v>
      </c>
    </row>
    <row r="111" ht="15.75" customHeight="1">
      <c r="A111" s="5" t="s">
        <v>70</v>
      </c>
    </row>
    <row r="112" ht="15.75" customHeight="1">
      <c r="A112" s="5" t="s">
        <v>71</v>
      </c>
    </row>
    <row r="113" ht="15.75" customHeight="1">
      <c r="A113" s="5" t="s">
        <v>81</v>
      </c>
    </row>
    <row r="114" ht="15.75" customHeight="1">
      <c r="A114" s="5"/>
    </row>
    <row r="115" ht="15.75" customHeight="1">
      <c r="A115" s="5"/>
    </row>
    <row r="116" ht="15.75" customHeight="1">
      <c r="A116" s="5" t="s">
        <v>82</v>
      </c>
    </row>
    <row r="117" ht="15.75" customHeight="1">
      <c r="A117" s="5" t="s">
        <v>83</v>
      </c>
    </row>
    <row r="118" ht="15.75" customHeight="1">
      <c r="A118" s="5"/>
    </row>
    <row r="119" ht="15.75" customHeight="1">
      <c r="A119" s="17" t="s">
        <v>84</v>
      </c>
    </row>
    <row r="120" ht="15.75" customHeight="1">
      <c r="A120" s="5"/>
    </row>
    <row r="121" ht="15.75" customHeight="1">
      <c r="A121" s="1" t="s">
        <v>5</v>
      </c>
    </row>
    <row r="122" ht="15.75" customHeight="1">
      <c r="A122" s="1" t="s">
        <v>6</v>
      </c>
    </row>
    <row r="123" ht="15.75" customHeight="1">
      <c r="A123" s="1" t="s">
        <v>8</v>
      </c>
    </row>
    <row r="124" ht="15.75" customHeight="1">
      <c r="A124" s="1" t="s">
        <v>10</v>
      </c>
    </row>
    <row r="125" ht="15.75" customHeight="1">
      <c r="A125" s="1" t="s">
        <v>12</v>
      </c>
    </row>
    <row r="126" ht="15.75" customHeight="1">
      <c r="A126" s="1" t="s">
        <v>85</v>
      </c>
    </row>
    <row r="127" ht="15.75" customHeight="1">
      <c r="A127" s="5"/>
    </row>
    <row r="128" ht="15.75" customHeight="1">
      <c r="A128" s="5"/>
    </row>
    <row r="129" ht="15.75" customHeight="1">
      <c r="A129" s="18" t="s">
        <v>86</v>
      </c>
    </row>
    <row r="130" ht="15.75" customHeight="1">
      <c r="A130" s="5"/>
    </row>
    <row r="131" ht="15.75" customHeight="1">
      <c r="A131" s="1" t="s">
        <v>5</v>
      </c>
    </row>
    <row r="132" ht="15.75" customHeight="1">
      <c r="A132" s="1" t="s">
        <v>6</v>
      </c>
    </row>
    <row r="133" ht="15.75" customHeight="1">
      <c r="A133" s="1" t="s">
        <v>8</v>
      </c>
    </row>
    <row r="134" ht="15.75" customHeight="1">
      <c r="A134" s="1" t="s">
        <v>10</v>
      </c>
    </row>
    <row r="135" ht="15.75" customHeight="1">
      <c r="A135" s="1" t="s">
        <v>12</v>
      </c>
    </row>
    <row r="136" ht="15.75" customHeight="1">
      <c r="A136" s="1" t="s">
        <v>85</v>
      </c>
    </row>
    <row r="137" ht="15.75" customHeight="1">
      <c r="A137" s="5"/>
    </row>
    <row r="138" ht="15.75" customHeight="1">
      <c r="A138" s="1" t="s">
        <v>83</v>
      </c>
    </row>
    <row r="139" ht="15.75" customHeight="1">
      <c r="A139" s="1" t="s">
        <v>5</v>
      </c>
    </row>
    <row r="140" ht="15.75" customHeight="1">
      <c r="A140" s="1" t="s">
        <v>6</v>
      </c>
    </row>
    <row r="141" ht="15.75" customHeight="1">
      <c r="A141" s="1" t="s">
        <v>8</v>
      </c>
    </row>
    <row r="142" ht="15.75" customHeight="1">
      <c r="A142" s="1" t="s">
        <v>10</v>
      </c>
    </row>
    <row r="143" ht="15.75" customHeight="1">
      <c r="A143" s="1" t="s">
        <v>12</v>
      </c>
    </row>
    <row r="144" ht="15.75" customHeight="1">
      <c r="A144" s="1" t="s">
        <v>85</v>
      </c>
    </row>
    <row r="145" ht="15.75" customHeight="1">
      <c r="A145" s="5"/>
    </row>
    <row r="146" ht="15.75" customHeight="1">
      <c r="A146" s="5"/>
    </row>
    <row r="147" ht="15.75" customHeight="1">
      <c r="A147" s="5"/>
    </row>
    <row r="148" ht="15.75" customHeight="1">
      <c r="A148" s="18" t="s">
        <v>87</v>
      </c>
    </row>
    <row r="149" ht="15.75" customHeight="1">
      <c r="A149" s="5"/>
    </row>
    <row r="150" ht="15.75" customHeight="1">
      <c r="A150" s="5" t="s">
        <v>60</v>
      </c>
    </row>
    <row r="151" ht="15.75" customHeight="1">
      <c r="A151" s="16" t="s">
        <v>61</v>
      </c>
    </row>
    <row r="152" ht="15.75" customHeight="1">
      <c r="A152" s="16" t="s">
        <v>62</v>
      </c>
    </row>
    <row r="153" ht="15.75" customHeight="1">
      <c r="A153" s="16" t="s">
        <v>64</v>
      </c>
    </row>
    <row r="154" ht="15.75" customHeight="1">
      <c r="A154" s="16" t="s">
        <v>65</v>
      </c>
    </row>
    <row r="155" ht="15.75" customHeight="1">
      <c r="A155" s="16" t="s">
        <v>66</v>
      </c>
    </row>
    <row r="156" ht="15.75" customHeight="1">
      <c r="A156" s="1" t="s">
        <v>57</v>
      </c>
    </row>
    <row r="157" ht="15.75" customHeight="1">
      <c r="A157" s="5"/>
    </row>
    <row r="158" ht="15.75" customHeight="1">
      <c r="A158" s="5" t="s">
        <v>42</v>
      </c>
    </row>
    <row r="159" ht="15.75" customHeight="1">
      <c r="A159" s="1" t="s">
        <v>43</v>
      </c>
    </row>
    <row r="160" ht="15.75" customHeight="1">
      <c r="A160" s="1" t="s">
        <v>44</v>
      </c>
    </row>
    <row r="161" ht="15.75" customHeight="1">
      <c r="A161" s="1" t="s">
        <v>45</v>
      </c>
    </row>
    <row r="162" ht="15.75" customHeight="1">
      <c r="A162" s="1" t="s">
        <v>46</v>
      </c>
    </row>
    <row r="163" ht="15.75" customHeight="1">
      <c r="A163" s="1" t="s">
        <v>47</v>
      </c>
    </row>
    <row r="164" ht="15.75" customHeight="1">
      <c r="A164" s="1" t="s">
        <v>48</v>
      </c>
    </row>
    <row r="165" ht="15.75" customHeight="1">
      <c r="A165" s="5"/>
    </row>
    <row r="166" ht="15.75" customHeight="1">
      <c r="A166" s="1" t="s">
        <v>88</v>
      </c>
    </row>
    <row r="167" ht="15.75" customHeight="1">
      <c r="A167" s="5"/>
    </row>
    <row r="168" ht="15.75" customHeight="1">
      <c r="A168" s="18" t="s">
        <v>89</v>
      </c>
    </row>
    <row r="169" ht="15.75" customHeight="1">
      <c r="A169" s="5" t="s">
        <v>60</v>
      </c>
    </row>
    <row r="170" ht="15.75" customHeight="1">
      <c r="A170" s="16" t="s">
        <v>61</v>
      </c>
    </row>
    <row r="171" ht="15.75" customHeight="1">
      <c r="A171" s="16" t="s">
        <v>62</v>
      </c>
    </row>
    <row r="172" ht="15.75" customHeight="1">
      <c r="A172" s="16" t="s">
        <v>64</v>
      </c>
    </row>
    <row r="173" ht="15.75" customHeight="1">
      <c r="A173" s="16" t="s">
        <v>65</v>
      </c>
    </row>
    <row r="174" ht="15.75" customHeight="1">
      <c r="A174" s="16" t="s">
        <v>66</v>
      </c>
    </row>
    <row r="175" ht="15.75" customHeight="1">
      <c r="A175" s="1" t="s">
        <v>57</v>
      </c>
    </row>
    <row r="176" ht="15.75" customHeight="1">
      <c r="A176" s="5"/>
    </row>
    <row r="177" ht="15.75" customHeight="1">
      <c r="A177" s="5" t="s">
        <v>42</v>
      </c>
    </row>
    <row r="178" ht="15.75" customHeight="1">
      <c r="A178" s="1" t="s">
        <v>43</v>
      </c>
    </row>
    <row r="179" ht="15.75" customHeight="1">
      <c r="A179" s="1" t="s">
        <v>44</v>
      </c>
    </row>
    <row r="180" ht="15.75" customHeight="1">
      <c r="A180" s="1" t="s">
        <v>45</v>
      </c>
    </row>
    <row r="181" ht="15.75" customHeight="1">
      <c r="A181" s="1" t="s">
        <v>46</v>
      </c>
    </row>
    <row r="182" ht="15.75" customHeight="1">
      <c r="A182" s="1" t="s">
        <v>47</v>
      </c>
    </row>
    <row r="183" ht="15.75" customHeight="1">
      <c r="A183" s="1" t="s">
        <v>48</v>
      </c>
    </row>
    <row r="184" ht="15.75" customHeight="1">
      <c r="A184" s="5"/>
    </row>
    <row r="185" ht="15.75" customHeight="1">
      <c r="A185" s="1" t="s">
        <v>90</v>
      </c>
    </row>
    <row r="186" ht="15.75" customHeight="1">
      <c r="A186" s="1" t="s">
        <v>91</v>
      </c>
    </row>
    <row r="187" ht="15.75" customHeight="1">
      <c r="A187" s="5"/>
    </row>
    <row r="188" ht="15.75" customHeight="1">
      <c r="A188" s="5"/>
    </row>
    <row r="189" ht="15.75" customHeight="1">
      <c r="A189" s="5"/>
    </row>
    <row r="190" ht="15.75" customHeight="1">
      <c r="A190" s="18" t="s">
        <v>92</v>
      </c>
    </row>
    <row r="191" ht="15.75" customHeight="1">
      <c r="A191" s="5" t="s">
        <v>93</v>
      </c>
    </row>
    <row r="192" ht="15.75" customHeight="1">
      <c r="A192" s="5" t="s">
        <v>94</v>
      </c>
    </row>
    <row r="193" ht="15.75" customHeight="1">
      <c r="A193" s="5" t="s">
        <v>49</v>
      </c>
    </row>
    <row r="194" ht="15.75" customHeight="1">
      <c r="A194" s="5"/>
    </row>
    <row r="195" ht="15.75" customHeight="1">
      <c r="A195" s="5" t="s">
        <v>95</v>
      </c>
    </row>
    <row r="196" ht="15.75" customHeight="1">
      <c r="A196" s="5"/>
    </row>
    <row r="197" ht="15.75" customHeight="1">
      <c r="A197" s="5" t="s">
        <v>96</v>
      </c>
    </row>
    <row r="198" ht="15.75" customHeight="1">
      <c r="A198" s="5" t="s">
        <v>97</v>
      </c>
    </row>
    <row r="199" ht="15.75" customHeight="1">
      <c r="A199" s="5" t="s">
        <v>98</v>
      </c>
    </row>
    <row r="200" ht="15.75" customHeight="1">
      <c r="A200" s="5"/>
    </row>
    <row r="201" ht="15.75" customHeight="1">
      <c r="A201" s="5" t="s">
        <v>99</v>
      </c>
    </row>
    <row r="202" ht="15.75" customHeight="1">
      <c r="A202" s="5" t="s">
        <v>100</v>
      </c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1"/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</row>
    <row r="5" ht="15.75" customHeight="1">
      <c r="A5" s="7"/>
    </row>
    <row r="6" ht="15.75" customHeight="1">
      <c r="A6" s="8" t="s">
        <v>3</v>
      </c>
      <c r="B6" s="9">
        <f t="shared" ref="B6:J6" si="2">SUM(B3:B4)</f>
        <v>586120</v>
      </c>
      <c r="C6" s="9">
        <f t="shared" si="2"/>
        <v>703746</v>
      </c>
      <c r="D6" s="9">
        <f t="shared" si="2"/>
        <v>818552</v>
      </c>
      <c r="E6" s="9">
        <f t="shared" si="2"/>
        <v>886301</v>
      </c>
      <c r="F6" s="9">
        <f t="shared" si="2"/>
        <v>789944</v>
      </c>
      <c r="G6" s="9">
        <f t="shared" si="2"/>
        <v>733083</v>
      </c>
      <c r="H6" s="9">
        <f t="shared" si="2"/>
        <v>900745</v>
      </c>
      <c r="I6" s="9">
        <f t="shared" si="2"/>
        <v>1206746</v>
      </c>
      <c r="J6" s="9">
        <f t="shared" si="2"/>
        <v>1459517</v>
      </c>
      <c r="K6" s="10"/>
      <c r="L6" s="10"/>
      <c r="M6" s="10"/>
      <c r="N6" s="10"/>
      <c r="O6" s="10"/>
      <c r="P6" s="10"/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</row>
    <row r="15" ht="15.75" customHeight="1">
      <c r="A15" s="7"/>
    </row>
    <row r="16" ht="15.75" customHeight="1">
      <c r="A16" s="8" t="s">
        <v>14</v>
      </c>
      <c r="B16" s="13">
        <f t="shared" ref="B16:J16" si="3">SUM(B9:B14)</f>
        <v>494932</v>
      </c>
      <c r="C16" s="13">
        <f t="shared" si="3"/>
        <v>577269</v>
      </c>
      <c r="D16" s="13">
        <f t="shared" si="3"/>
        <v>677460</v>
      </c>
      <c r="E16" s="13">
        <f t="shared" si="3"/>
        <v>750653</v>
      </c>
      <c r="F16" s="13">
        <f t="shared" si="3"/>
        <v>683474</v>
      </c>
      <c r="G16" s="13">
        <f t="shared" si="3"/>
        <v>650204</v>
      </c>
      <c r="H16" s="13">
        <f t="shared" si="3"/>
        <v>826236</v>
      </c>
      <c r="I16" s="13">
        <f t="shared" si="3"/>
        <v>1053155</v>
      </c>
      <c r="J16" s="13">
        <f t="shared" si="3"/>
        <v>1233319</v>
      </c>
      <c r="K16" s="14"/>
      <c r="L16" s="14"/>
      <c r="M16" s="14"/>
      <c r="N16" s="14"/>
      <c r="O16" s="14"/>
      <c r="P16" s="14"/>
    </row>
    <row r="17" ht="15.75" customHeight="1">
      <c r="A17" s="7"/>
    </row>
    <row r="18" ht="15.75" customHeight="1">
      <c r="A18" s="4" t="s">
        <v>15</v>
      </c>
      <c r="B18" s="6">
        <f t="shared" ref="B18:J18" si="4">B6-B16</f>
        <v>91188</v>
      </c>
      <c r="C18" s="6">
        <f t="shared" si="4"/>
        <v>126477</v>
      </c>
      <c r="D18" s="6">
        <f t="shared" si="4"/>
        <v>141092</v>
      </c>
      <c r="E18" s="6">
        <f t="shared" si="4"/>
        <v>135648</v>
      </c>
      <c r="F18" s="6">
        <f t="shared" si="4"/>
        <v>106470</v>
      </c>
      <c r="G18" s="6">
        <f t="shared" si="4"/>
        <v>82879</v>
      </c>
      <c r="H18" s="6">
        <f t="shared" si="4"/>
        <v>74509</v>
      </c>
      <c r="I18" s="6">
        <f t="shared" si="4"/>
        <v>153591</v>
      </c>
      <c r="J18" s="6">
        <f t="shared" si="4"/>
        <v>226198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</row>
    <row r="21" ht="15.75" customHeight="1">
      <c r="A21" s="7"/>
    </row>
    <row r="22" ht="15.75" customHeight="1">
      <c r="A22" s="7" t="s">
        <v>18</v>
      </c>
      <c r="B22" s="6">
        <f t="shared" ref="B22:J22" si="5">B18-B20</f>
        <v>62518</v>
      </c>
      <c r="C22" s="6">
        <f t="shared" si="5"/>
        <v>100438</v>
      </c>
      <c r="D22" s="6">
        <f t="shared" si="5"/>
        <v>113494</v>
      </c>
      <c r="E22" s="6">
        <f t="shared" si="5"/>
        <v>105440</v>
      </c>
      <c r="F22" s="6">
        <f t="shared" si="5"/>
        <v>71186</v>
      </c>
      <c r="G22" s="6">
        <f t="shared" si="5"/>
        <v>52538</v>
      </c>
      <c r="H22" s="6">
        <f t="shared" si="5"/>
        <v>46619</v>
      </c>
      <c r="I22" s="6">
        <f t="shared" si="5"/>
        <v>105131</v>
      </c>
      <c r="J22" s="6">
        <f t="shared" si="5"/>
        <v>173640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</row>
    <row r="25" ht="15.75" customHeight="1">
      <c r="A25" s="7"/>
    </row>
    <row r="26" ht="15.75" customHeight="1">
      <c r="A26" s="7" t="s">
        <v>23</v>
      </c>
      <c r="B26" s="6">
        <f t="shared" ref="B26:J26" si="6">B22-B24</f>
        <v>61581</v>
      </c>
      <c r="C26" s="6">
        <f t="shared" si="6"/>
        <v>99544</v>
      </c>
      <c r="D26" s="6">
        <f t="shared" si="6"/>
        <v>110036</v>
      </c>
      <c r="E26" s="6">
        <f t="shared" si="6"/>
        <v>104681</v>
      </c>
      <c r="F26" s="6">
        <f t="shared" si="6"/>
        <v>69844</v>
      </c>
      <c r="G26" s="6">
        <f t="shared" si="6"/>
        <v>51520</v>
      </c>
      <c r="H26" s="6">
        <f t="shared" si="6"/>
        <v>45353</v>
      </c>
      <c r="I26" s="6">
        <f t="shared" si="6"/>
        <v>102608</v>
      </c>
      <c r="J26" s="6">
        <f t="shared" si="6"/>
        <v>171704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</row>
    <row r="28" ht="15.75" customHeight="1">
      <c r="A28" s="7" t="s">
        <v>25</v>
      </c>
      <c r="B28" s="6">
        <f t="shared" ref="B28:J28" si="7">SUM(B26:B27)</f>
        <v>66296</v>
      </c>
      <c r="C28" s="6">
        <f t="shared" si="7"/>
        <v>101272</v>
      </c>
      <c r="D28" s="6">
        <f t="shared" si="7"/>
        <v>111669</v>
      </c>
      <c r="E28" s="6">
        <f t="shared" si="7"/>
        <v>102651</v>
      </c>
      <c r="F28" s="6">
        <f t="shared" si="7"/>
        <v>65427</v>
      </c>
      <c r="G28" s="6">
        <f t="shared" si="7"/>
        <v>56656</v>
      </c>
      <c r="H28" s="6">
        <f t="shared" si="7"/>
        <v>48482</v>
      </c>
      <c r="I28" s="6">
        <f t="shared" si="7"/>
        <v>103194</v>
      </c>
      <c r="J28" s="6">
        <f t="shared" si="7"/>
        <v>174373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</row>
    <row r="31" ht="15.75" customHeight="1">
      <c r="A31" s="7"/>
    </row>
    <row r="32" ht="15.75" customHeight="1">
      <c r="A32" s="7" t="s">
        <v>27</v>
      </c>
      <c r="B32" s="6">
        <f t="shared" ref="B32:J32" si="8">B28-B30</f>
        <v>46309</v>
      </c>
      <c r="C32" s="6">
        <f t="shared" si="8"/>
        <v>75110</v>
      </c>
      <c r="D32" s="6">
        <f t="shared" si="8"/>
        <v>78807</v>
      </c>
      <c r="E32" s="6">
        <f t="shared" si="8"/>
        <v>72919</v>
      </c>
      <c r="F32" s="6">
        <f t="shared" si="8"/>
        <v>51175</v>
      </c>
      <c r="G32" s="6">
        <f t="shared" si="8"/>
        <v>47337</v>
      </c>
      <c r="H32" s="6">
        <f t="shared" si="8"/>
        <v>40305</v>
      </c>
      <c r="I32" s="6">
        <f t="shared" si="8"/>
        <v>81449</v>
      </c>
      <c r="J32" s="6">
        <f t="shared" si="8"/>
        <v>135010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9">B32+B33</f>
        <v>46988</v>
      </c>
      <c r="C36" s="9">
        <f t="shared" si="9"/>
        <v>77326</v>
      </c>
      <c r="D36" s="9">
        <f t="shared" si="9"/>
        <v>82118</v>
      </c>
      <c r="E36" s="9">
        <f>E32+F33</f>
        <v>74103</v>
      </c>
      <c r="F36" s="9">
        <f t="shared" ref="F36:J36" si="10">F32+F33</f>
        <v>52359</v>
      </c>
      <c r="G36" s="9">
        <f t="shared" si="10"/>
        <v>49027</v>
      </c>
      <c r="H36" s="9">
        <f t="shared" si="10"/>
        <v>41924</v>
      </c>
      <c r="I36" s="9">
        <f t="shared" si="10"/>
        <v>83223</v>
      </c>
      <c r="J36" s="9">
        <f t="shared" si="10"/>
        <v>137551</v>
      </c>
      <c r="K36" s="10"/>
      <c r="L36" s="10"/>
      <c r="M36" s="10"/>
      <c r="N36" s="10"/>
      <c r="O36" s="10"/>
      <c r="P36" s="10"/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</row>
    <row r="42" ht="15.75" customHeight="1">
      <c r="A42" s="1" t="s">
        <v>32</v>
      </c>
    </row>
    <row r="43" ht="15.75" customHeight="1">
      <c r="A43" s="1" t="s">
        <v>33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</row>
    <row r="47" ht="15.75" customHeight="1">
      <c r="A47" s="7" t="s">
        <v>36</v>
      </c>
    </row>
    <row r="48" ht="15.75" customHeight="1">
      <c r="A48" s="7"/>
    </row>
    <row r="49" ht="15.75" customHeight="1">
      <c r="A49" s="7" t="s">
        <v>37</v>
      </c>
    </row>
    <row r="50" ht="15.75" customHeight="1">
      <c r="A50" s="1" t="s">
        <v>38</v>
      </c>
    </row>
    <row r="51" ht="15.75" customHeight="1">
      <c r="A51" s="1" t="s">
        <v>39</v>
      </c>
    </row>
    <row r="52" ht="15.75" customHeight="1">
      <c r="A52" s="1" t="s">
        <v>40</v>
      </c>
    </row>
    <row r="53" ht="15.75" customHeight="1">
      <c r="A53" s="1" t="s">
        <v>41</v>
      </c>
    </row>
    <row r="54" ht="15.75" customHeight="1">
      <c r="A54" s="7"/>
    </row>
    <row r="55" ht="15.75" customHeight="1">
      <c r="A55" s="1" t="s">
        <v>42</v>
      </c>
    </row>
    <row r="56" ht="15.75" customHeight="1">
      <c r="A56" s="1" t="s">
        <v>43</v>
      </c>
    </row>
    <row r="57" ht="15.75" customHeight="1">
      <c r="A57" s="1" t="s">
        <v>44</v>
      </c>
    </row>
    <row r="58" ht="15.75" customHeight="1">
      <c r="A58" s="1" t="s">
        <v>45</v>
      </c>
    </row>
    <row r="59" ht="15.75" customHeight="1">
      <c r="A59" s="1" t="s">
        <v>46</v>
      </c>
    </row>
    <row r="60" ht="15.75" customHeight="1">
      <c r="A60" s="1" t="s">
        <v>47</v>
      </c>
    </row>
    <row r="61" ht="15.75" customHeight="1">
      <c r="A61" s="1" t="s">
        <v>48</v>
      </c>
    </row>
    <row r="62" ht="15.75" customHeight="1">
      <c r="A62" s="8" t="s">
        <v>49</v>
      </c>
    </row>
    <row r="63" ht="15.75" customHeight="1">
      <c r="A63" s="7"/>
    </row>
    <row r="64" ht="15.75" customHeight="1">
      <c r="A64" s="7"/>
    </row>
    <row r="65" ht="15.75" customHeight="1">
      <c r="A65" s="4" t="s">
        <v>50</v>
      </c>
    </row>
    <row r="66" ht="15.75" customHeight="1">
      <c r="A66" s="7"/>
    </row>
    <row r="67" ht="15.75" customHeight="1">
      <c r="A67" s="1" t="s">
        <v>51</v>
      </c>
    </row>
    <row r="68" ht="15.75" customHeight="1">
      <c r="A68" s="16" t="s">
        <v>52</v>
      </c>
    </row>
    <row r="69" ht="15.75" customHeight="1">
      <c r="A69" s="16" t="s">
        <v>53</v>
      </c>
    </row>
    <row r="70" ht="15.75" customHeight="1">
      <c r="A70" s="16" t="s">
        <v>54</v>
      </c>
    </row>
    <row r="71" ht="15.75" customHeight="1">
      <c r="A71" s="16" t="s">
        <v>55</v>
      </c>
    </row>
    <row r="72" ht="15.75" customHeight="1">
      <c r="A72" s="1"/>
    </row>
    <row r="73" ht="15.75" customHeight="1">
      <c r="A73" s="1" t="s">
        <v>56</v>
      </c>
    </row>
    <row r="74" ht="15.75" customHeight="1">
      <c r="A74" s="1" t="s">
        <v>57</v>
      </c>
    </row>
    <row r="75" ht="15.75" customHeight="1">
      <c r="A75" s="1" t="s">
        <v>58</v>
      </c>
    </row>
    <row r="76" ht="15.75" customHeight="1">
      <c r="A76" s="1" t="s">
        <v>59</v>
      </c>
    </row>
    <row r="77" ht="15.75" customHeight="1">
      <c r="A77" s="1"/>
    </row>
    <row r="78" ht="15.75" customHeight="1">
      <c r="A78" s="1" t="s">
        <v>60</v>
      </c>
    </row>
    <row r="79" ht="15.75" customHeight="1">
      <c r="A79" s="1"/>
    </row>
    <row r="80" ht="15.75" customHeight="1">
      <c r="A80" s="16" t="s">
        <v>61</v>
      </c>
    </row>
    <row r="81" ht="15.75" customHeight="1">
      <c r="A81" s="16" t="s">
        <v>62</v>
      </c>
    </row>
    <row r="82" ht="15.75" customHeight="1">
      <c r="A82" s="16" t="s">
        <v>63</v>
      </c>
    </row>
    <row r="83" ht="15.75" customHeight="1">
      <c r="A83" s="16" t="s">
        <v>64</v>
      </c>
    </row>
    <row r="84" ht="15.75" customHeight="1">
      <c r="A84" s="16" t="s">
        <v>65</v>
      </c>
    </row>
    <row r="85" ht="15.75" customHeight="1">
      <c r="A85" s="16" t="s">
        <v>66</v>
      </c>
    </row>
    <row r="86" ht="15.75" customHeight="1">
      <c r="A86" s="16" t="s">
        <v>67</v>
      </c>
    </row>
    <row r="87" ht="15.75" customHeight="1">
      <c r="A87" s="1" t="s">
        <v>57</v>
      </c>
    </row>
    <row r="88" ht="15.75" customHeight="1">
      <c r="A88" s="8" t="s">
        <v>49</v>
      </c>
    </row>
    <row r="89" ht="15.75" customHeight="1">
      <c r="A89" s="1"/>
    </row>
    <row r="90" ht="15.75" customHeight="1">
      <c r="A90" s="5" t="s">
        <v>68</v>
      </c>
      <c r="B90" s="22">
        <v>1500000.0</v>
      </c>
      <c r="C90" s="22">
        <v>1550000.0</v>
      </c>
      <c r="D90" s="22">
        <v>1560000.0</v>
      </c>
      <c r="E90" s="22">
        <v>1580000.0</v>
      </c>
      <c r="F90" s="22">
        <v>2000000.0</v>
      </c>
      <c r="G90" s="22">
        <v>2250000.0</v>
      </c>
      <c r="H90" s="22">
        <v>2250000.0</v>
      </c>
      <c r="I90" s="22">
        <v>2250000.0</v>
      </c>
      <c r="J90" s="22">
        <v>2250000.0</v>
      </c>
      <c r="K90" s="19">
        <f t="shared" ref="K90:P90" si="11">J90+K91</f>
        <v>2550000</v>
      </c>
      <c r="L90" s="19">
        <f t="shared" si="11"/>
        <v>2850000</v>
      </c>
      <c r="M90" s="19">
        <f t="shared" si="11"/>
        <v>3150000</v>
      </c>
      <c r="N90" s="19">
        <f t="shared" si="11"/>
        <v>3450000</v>
      </c>
      <c r="O90" s="19">
        <f t="shared" si="11"/>
        <v>3750000</v>
      </c>
      <c r="P90" s="19">
        <f t="shared" si="11"/>
        <v>4050000</v>
      </c>
    </row>
    <row r="91" ht="15.75" customHeight="1">
      <c r="A91" s="5" t="s">
        <v>69</v>
      </c>
      <c r="C91" s="19">
        <f t="shared" ref="C91:J91" si="12">C90-B90</f>
        <v>50000</v>
      </c>
      <c r="D91" s="19">
        <f t="shared" si="12"/>
        <v>10000</v>
      </c>
      <c r="E91" s="19">
        <f t="shared" si="12"/>
        <v>20000</v>
      </c>
      <c r="F91" s="19">
        <f t="shared" si="12"/>
        <v>420000</v>
      </c>
      <c r="G91" s="19">
        <f t="shared" si="12"/>
        <v>250000</v>
      </c>
      <c r="H91" s="19">
        <f t="shared" si="12"/>
        <v>0</v>
      </c>
      <c r="I91" s="19">
        <f t="shared" si="12"/>
        <v>0</v>
      </c>
      <c r="J91" s="19">
        <f t="shared" si="12"/>
        <v>0</v>
      </c>
      <c r="K91" s="15">
        <v>300000.0</v>
      </c>
      <c r="L91" s="15">
        <v>300000.0</v>
      </c>
      <c r="M91" s="15">
        <v>300000.0</v>
      </c>
      <c r="N91" s="15">
        <v>300000.0</v>
      </c>
      <c r="O91" s="15">
        <v>300000.0</v>
      </c>
      <c r="P91" s="15">
        <v>300000.0</v>
      </c>
    </row>
    <row r="92" ht="15.75" customHeight="1">
      <c r="A92" s="5"/>
    </row>
    <row r="93" ht="15.75" customHeight="1">
      <c r="A93" s="5" t="s">
        <v>70</v>
      </c>
      <c r="B93" s="22">
        <v>1305351.0</v>
      </c>
      <c r="C93" s="22">
        <v>1444541.0</v>
      </c>
      <c r="D93" s="22">
        <v>1653500.0</v>
      </c>
      <c r="E93" s="22">
        <v>1753700.0</v>
      </c>
      <c r="F93" s="22">
        <v>1461126.0</v>
      </c>
      <c r="G93" s="22">
        <v>1361722.0</v>
      </c>
      <c r="H93" s="22">
        <v>1414277.0</v>
      </c>
      <c r="I93" s="22">
        <v>1706831.0</v>
      </c>
      <c r="J93" s="22">
        <v>1852256.0</v>
      </c>
    </row>
    <row r="94" ht="15.75" customHeight="1">
      <c r="A94" s="5" t="s">
        <v>71</v>
      </c>
      <c r="B94" s="22">
        <v>123897.0</v>
      </c>
      <c r="C94" s="22">
        <v>124062.0</v>
      </c>
      <c r="D94" s="22">
        <v>126074.0</v>
      </c>
      <c r="E94" s="22">
        <v>108749.0</v>
      </c>
      <c r="F94" s="22">
        <v>102171.0</v>
      </c>
      <c r="G94" s="22">
        <v>96139.0</v>
      </c>
      <c r="H94" s="22">
        <v>238376.0</v>
      </c>
      <c r="I94" s="22">
        <v>259333.0</v>
      </c>
      <c r="J94" s="22">
        <v>283067.0</v>
      </c>
    </row>
    <row r="95" ht="15.75" customHeight="1">
      <c r="A95" s="5" t="s">
        <v>49</v>
      </c>
      <c r="B95" s="27">
        <f t="shared" ref="B95:J95" si="13">SUM(B93:B94)</f>
        <v>1429248</v>
      </c>
      <c r="C95" s="27">
        <f t="shared" si="13"/>
        <v>1568603</v>
      </c>
      <c r="D95" s="27">
        <f t="shared" si="13"/>
        <v>1779574</v>
      </c>
      <c r="E95" s="27">
        <f t="shared" si="13"/>
        <v>1862449</v>
      </c>
      <c r="F95" s="27">
        <f t="shared" si="13"/>
        <v>1563297</v>
      </c>
      <c r="G95" s="27">
        <f t="shared" si="13"/>
        <v>1457861</v>
      </c>
      <c r="H95" s="27">
        <f t="shared" si="13"/>
        <v>1652653</v>
      </c>
      <c r="I95" s="27">
        <f t="shared" si="13"/>
        <v>1966164</v>
      </c>
      <c r="J95" s="27">
        <f t="shared" si="13"/>
        <v>2135323</v>
      </c>
    </row>
    <row r="96" ht="15.75" customHeight="1">
      <c r="A96" s="5"/>
    </row>
    <row r="97" ht="15.75" customHeight="1">
      <c r="A97" s="5" t="s">
        <v>72</v>
      </c>
      <c r="B97" s="35">
        <f t="shared" ref="B97:J97" si="14">B95/B90</f>
        <v>0.952832</v>
      </c>
      <c r="C97" s="35">
        <f t="shared" si="14"/>
        <v>1.012001935</v>
      </c>
      <c r="D97" s="35">
        <f t="shared" si="14"/>
        <v>1.140752564</v>
      </c>
      <c r="E97" s="35">
        <f t="shared" si="14"/>
        <v>1.17876519</v>
      </c>
      <c r="F97" s="35">
        <f t="shared" si="14"/>
        <v>0.7816485</v>
      </c>
      <c r="G97" s="35">
        <f t="shared" si="14"/>
        <v>0.6479382222</v>
      </c>
      <c r="H97" s="35">
        <f t="shared" si="14"/>
        <v>0.7345124444</v>
      </c>
      <c r="I97" s="35">
        <f t="shared" si="14"/>
        <v>0.8738506667</v>
      </c>
      <c r="J97" s="35">
        <f t="shared" si="14"/>
        <v>0.9490324444</v>
      </c>
    </row>
    <row r="98" ht="15.75" customHeight="1">
      <c r="A98" s="5"/>
    </row>
    <row r="99" ht="15.75" customHeight="1">
      <c r="A99" s="17" t="s">
        <v>73</v>
      </c>
      <c r="C99" s="35">
        <f t="shared" ref="C99:J99" si="15">C93/B93-1</f>
        <v>0.106630324</v>
      </c>
      <c r="D99" s="35">
        <f t="shared" si="15"/>
        <v>0.1446542535</v>
      </c>
      <c r="E99" s="35">
        <f t="shared" si="15"/>
        <v>0.06059872997</v>
      </c>
      <c r="F99" s="35">
        <f t="shared" si="15"/>
        <v>-0.1668324115</v>
      </c>
      <c r="G99" s="35">
        <f t="shared" si="15"/>
        <v>-0.06803246263</v>
      </c>
      <c r="H99" s="35">
        <f t="shared" si="15"/>
        <v>0.03859451489</v>
      </c>
      <c r="I99" s="35">
        <f t="shared" si="15"/>
        <v>0.2068576382</v>
      </c>
      <c r="J99" s="35">
        <f t="shared" si="15"/>
        <v>0.08520175694</v>
      </c>
    </row>
    <row r="100" ht="15.75" customHeight="1">
      <c r="A100" s="5" t="s">
        <v>74</v>
      </c>
      <c r="C100" s="35">
        <f t="shared" ref="C100:J100" si="16">C94/B94-1</f>
        <v>0.001331751374</v>
      </c>
      <c r="D100" s="35">
        <f t="shared" si="16"/>
        <v>0.0162176976</v>
      </c>
      <c r="E100" s="35">
        <f t="shared" si="16"/>
        <v>-0.1374192934</v>
      </c>
      <c r="F100" s="35">
        <f t="shared" si="16"/>
        <v>-0.06048791253</v>
      </c>
      <c r="G100" s="35">
        <f t="shared" si="16"/>
        <v>-0.05903827896</v>
      </c>
      <c r="H100" s="35">
        <f t="shared" si="16"/>
        <v>1.479493234</v>
      </c>
      <c r="I100" s="35">
        <f t="shared" si="16"/>
        <v>0.08791572977</v>
      </c>
      <c r="J100" s="35">
        <f t="shared" si="16"/>
        <v>0.09151939784</v>
      </c>
    </row>
    <row r="101" ht="15.75" customHeight="1">
      <c r="A101" s="5" t="s">
        <v>75</v>
      </c>
      <c r="B101" s="34"/>
      <c r="C101" s="36">
        <f t="shared" ref="C101:J101" si="17">C95/B95-1</f>
        <v>0.0975023229</v>
      </c>
      <c r="D101" s="36">
        <f t="shared" si="17"/>
        <v>0.134496109</v>
      </c>
      <c r="E101" s="36">
        <f t="shared" si="17"/>
        <v>0.0465701342</v>
      </c>
      <c r="F101" s="36">
        <f t="shared" si="17"/>
        <v>-0.1606229218</v>
      </c>
      <c r="G101" s="36">
        <f t="shared" si="17"/>
        <v>-0.06744463784</v>
      </c>
      <c r="H101" s="36">
        <f t="shared" si="17"/>
        <v>0.1336149331</v>
      </c>
      <c r="I101" s="36">
        <f t="shared" si="17"/>
        <v>0.1897016494</v>
      </c>
      <c r="J101" s="36">
        <f t="shared" si="17"/>
        <v>0.08603504082</v>
      </c>
    </row>
    <row r="102" ht="15.75" customHeight="1">
      <c r="A102" s="5"/>
    </row>
    <row r="103" ht="15.75" customHeight="1">
      <c r="A103" s="17" t="s">
        <v>76</v>
      </c>
    </row>
    <row r="104" ht="15.75" customHeight="1">
      <c r="A104" s="5" t="s">
        <v>77</v>
      </c>
    </row>
    <row r="105" ht="15.75" customHeight="1">
      <c r="A105" s="5" t="s">
        <v>71</v>
      </c>
    </row>
    <row r="106" ht="15.75" customHeight="1">
      <c r="A106" s="5" t="s">
        <v>49</v>
      </c>
    </row>
    <row r="107" ht="15.75" customHeight="1">
      <c r="A107" s="5" t="s">
        <v>78</v>
      </c>
    </row>
    <row r="108" ht="15.75" customHeight="1">
      <c r="A108" s="5" t="s">
        <v>79</v>
      </c>
    </row>
    <row r="109" ht="15.75" customHeight="1">
      <c r="A109" s="5"/>
    </row>
    <row r="110" ht="15.75" customHeight="1">
      <c r="A110" s="17" t="s">
        <v>80</v>
      </c>
    </row>
    <row r="111" ht="15.75" customHeight="1">
      <c r="A111" s="5" t="s">
        <v>70</v>
      </c>
    </row>
    <row r="112" ht="15.75" customHeight="1">
      <c r="A112" s="5" t="s">
        <v>71</v>
      </c>
    </row>
    <row r="113" ht="15.75" customHeight="1">
      <c r="A113" s="5" t="s">
        <v>81</v>
      </c>
    </row>
    <row r="114" ht="15.75" customHeight="1">
      <c r="A114" s="5"/>
    </row>
    <row r="115" ht="15.75" customHeight="1">
      <c r="A115" s="5"/>
    </row>
    <row r="116" ht="15.75" customHeight="1">
      <c r="A116" s="5" t="s">
        <v>82</v>
      </c>
    </row>
    <row r="117" ht="15.75" customHeight="1">
      <c r="A117" s="5" t="s">
        <v>83</v>
      </c>
    </row>
    <row r="118" ht="15.75" customHeight="1">
      <c r="A118" s="5"/>
    </row>
    <row r="119" ht="15.75" customHeight="1">
      <c r="A119" s="17" t="s">
        <v>84</v>
      </c>
    </row>
    <row r="120" ht="15.75" customHeight="1">
      <c r="A120" s="5"/>
    </row>
    <row r="121" ht="15.75" customHeight="1">
      <c r="A121" s="1" t="s">
        <v>5</v>
      </c>
    </row>
    <row r="122" ht="15.75" customHeight="1">
      <c r="A122" s="1" t="s">
        <v>6</v>
      </c>
    </row>
    <row r="123" ht="15.75" customHeight="1">
      <c r="A123" s="1" t="s">
        <v>8</v>
      </c>
    </row>
    <row r="124" ht="15.75" customHeight="1">
      <c r="A124" s="1" t="s">
        <v>10</v>
      </c>
    </row>
    <row r="125" ht="15.75" customHeight="1">
      <c r="A125" s="1" t="s">
        <v>12</v>
      </c>
    </row>
    <row r="126" ht="15.75" customHeight="1">
      <c r="A126" s="1" t="s">
        <v>85</v>
      </c>
    </row>
    <row r="127" ht="15.75" customHeight="1">
      <c r="A127" s="5"/>
    </row>
    <row r="128" ht="15.75" customHeight="1">
      <c r="A128" s="5"/>
    </row>
    <row r="129" ht="15.75" customHeight="1">
      <c r="A129" s="18" t="s">
        <v>86</v>
      </c>
    </row>
    <row r="130" ht="15.75" customHeight="1">
      <c r="A130" s="5"/>
    </row>
    <row r="131" ht="15.75" customHeight="1">
      <c r="A131" s="1" t="s">
        <v>5</v>
      </c>
    </row>
    <row r="132" ht="15.75" customHeight="1">
      <c r="A132" s="1" t="s">
        <v>6</v>
      </c>
    </row>
    <row r="133" ht="15.75" customHeight="1">
      <c r="A133" s="1" t="s">
        <v>8</v>
      </c>
    </row>
    <row r="134" ht="15.75" customHeight="1">
      <c r="A134" s="1" t="s">
        <v>10</v>
      </c>
    </row>
    <row r="135" ht="15.75" customHeight="1">
      <c r="A135" s="1" t="s">
        <v>12</v>
      </c>
    </row>
    <row r="136" ht="15.75" customHeight="1">
      <c r="A136" s="1" t="s">
        <v>85</v>
      </c>
    </row>
    <row r="137" ht="15.75" customHeight="1">
      <c r="A137" s="5"/>
    </row>
    <row r="138" ht="15.75" customHeight="1">
      <c r="A138" s="1" t="s">
        <v>83</v>
      </c>
    </row>
    <row r="139" ht="15.75" customHeight="1">
      <c r="A139" s="1" t="s">
        <v>5</v>
      </c>
    </row>
    <row r="140" ht="15.75" customHeight="1">
      <c r="A140" s="1" t="s">
        <v>6</v>
      </c>
    </row>
    <row r="141" ht="15.75" customHeight="1">
      <c r="A141" s="1" t="s">
        <v>8</v>
      </c>
    </row>
    <row r="142" ht="15.75" customHeight="1">
      <c r="A142" s="1" t="s">
        <v>10</v>
      </c>
    </row>
    <row r="143" ht="15.75" customHeight="1">
      <c r="A143" s="1" t="s">
        <v>12</v>
      </c>
    </row>
    <row r="144" ht="15.75" customHeight="1">
      <c r="A144" s="1" t="s">
        <v>85</v>
      </c>
    </row>
    <row r="145" ht="15.75" customHeight="1">
      <c r="A145" s="5"/>
    </row>
    <row r="146" ht="15.75" customHeight="1">
      <c r="A146" s="5"/>
    </row>
    <row r="147" ht="15.75" customHeight="1">
      <c r="A147" s="5"/>
    </row>
    <row r="148" ht="15.75" customHeight="1">
      <c r="A148" s="18" t="s">
        <v>87</v>
      </c>
    </row>
    <row r="149" ht="15.75" customHeight="1">
      <c r="A149" s="5"/>
    </row>
    <row r="150" ht="15.75" customHeight="1">
      <c r="A150" s="5" t="s">
        <v>60</v>
      </c>
    </row>
    <row r="151" ht="15.75" customHeight="1">
      <c r="A151" s="16" t="s">
        <v>61</v>
      </c>
    </row>
    <row r="152" ht="15.75" customHeight="1">
      <c r="A152" s="16" t="s">
        <v>62</v>
      </c>
    </row>
    <row r="153" ht="15.75" customHeight="1">
      <c r="A153" s="16" t="s">
        <v>64</v>
      </c>
    </row>
    <row r="154" ht="15.75" customHeight="1">
      <c r="A154" s="16" t="s">
        <v>65</v>
      </c>
    </row>
    <row r="155" ht="15.75" customHeight="1">
      <c r="A155" s="16" t="s">
        <v>66</v>
      </c>
    </row>
    <row r="156" ht="15.75" customHeight="1">
      <c r="A156" s="1" t="s">
        <v>57</v>
      </c>
    </row>
    <row r="157" ht="15.75" customHeight="1">
      <c r="A157" s="5"/>
    </row>
    <row r="158" ht="15.75" customHeight="1">
      <c r="A158" s="5" t="s">
        <v>42</v>
      </c>
    </row>
    <row r="159" ht="15.75" customHeight="1">
      <c r="A159" s="1" t="s">
        <v>43</v>
      </c>
    </row>
    <row r="160" ht="15.75" customHeight="1">
      <c r="A160" s="1" t="s">
        <v>44</v>
      </c>
    </row>
    <row r="161" ht="15.75" customHeight="1">
      <c r="A161" s="1" t="s">
        <v>45</v>
      </c>
    </row>
    <row r="162" ht="15.75" customHeight="1">
      <c r="A162" s="1" t="s">
        <v>46</v>
      </c>
    </row>
    <row r="163" ht="15.75" customHeight="1">
      <c r="A163" s="1" t="s">
        <v>47</v>
      </c>
    </row>
    <row r="164" ht="15.75" customHeight="1">
      <c r="A164" s="1" t="s">
        <v>48</v>
      </c>
    </row>
    <row r="165" ht="15.75" customHeight="1">
      <c r="A165" s="5"/>
    </row>
    <row r="166" ht="15.75" customHeight="1">
      <c r="A166" s="1" t="s">
        <v>88</v>
      </c>
    </row>
    <row r="167" ht="15.75" customHeight="1">
      <c r="A167" s="5"/>
    </row>
    <row r="168" ht="15.75" customHeight="1">
      <c r="A168" s="18" t="s">
        <v>89</v>
      </c>
    </row>
    <row r="169" ht="15.75" customHeight="1">
      <c r="A169" s="5" t="s">
        <v>60</v>
      </c>
    </row>
    <row r="170" ht="15.75" customHeight="1">
      <c r="A170" s="16" t="s">
        <v>61</v>
      </c>
    </row>
    <row r="171" ht="15.75" customHeight="1">
      <c r="A171" s="16" t="s">
        <v>62</v>
      </c>
    </row>
    <row r="172" ht="15.75" customHeight="1">
      <c r="A172" s="16" t="s">
        <v>64</v>
      </c>
    </row>
    <row r="173" ht="15.75" customHeight="1">
      <c r="A173" s="16" t="s">
        <v>65</v>
      </c>
    </row>
    <row r="174" ht="15.75" customHeight="1">
      <c r="A174" s="16" t="s">
        <v>66</v>
      </c>
    </row>
    <row r="175" ht="15.75" customHeight="1">
      <c r="A175" s="1" t="s">
        <v>57</v>
      </c>
    </row>
    <row r="176" ht="15.75" customHeight="1">
      <c r="A176" s="5"/>
    </row>
    <row r="177" ht="15.75" customHeight="1">
      <c r="A177" s="5" t="s">
        <v>42</v>
      </c>
    </row>
    <row r="178" ht="15.75" customHeight="1">
      <c r="A178" s="1" t="s">
        <v>43</v>
      </c>
    </row>
    <row r="179" ht="15.75" customHeight="1">
      <c r="A179" s="1" t="s">
        <v>44</v>
      </c>
    </row>
    <row r="180" ht="15.75" customHeight="1">
      <c r="A180" s="1" t="s">
        <v>45</v>
      </c>
    </row>
    <row r="181" ht="15.75" customHeight="1">
      <c r="A181" s="1" t="s">
        <v>46</v>
      </c>
    </row>
    <row r="182" ht="15.75" customHeight="1">
      <c r="A182" s="1" t="s">
        <v>47</v>
      </c>
    </row>
    <row r="183" ht="15.75" customHeight="1">
      <c r="A183" s="1" t="s">
        <v>48</v>
      </c>
    </row>
    <row r="184" ht="15.75" customHeight="1">
      <c r="A184" s="5"/>
    </row>
    <row r="185" ht="15.75" customHeight="1">
      <c r="A185" s="1" t="s">
        <v>90</v>
      </c>
    </row>
    <row r="186" ht="15.75" customHeight="1">
      <c r="A186" s="1" t="s">
        <v>91</v>
      </c>
    </row>
    <row r="187" ht="15.75" customHeight="1">
      <c r="A187" s="5"/>
    </row>
    <row r="188" ht="15.75" customHeight="1">
      <c r="A188" s="5"/>
    </row>
    <row r="189" ht="15.75" customHeight="1">
      <c r="A189" s="5"/>
    </row>
    <row r="190" ht="15.75" customHeight="1">
      <c r="A190" s="18" t="s">
        <v>92</v>
      </c>
    </row>
    <row r="191" ht="15.75" customHeight="1">
      <c r="A191" s="5" t="s">
        <v>93</v>
      </c>
    </row>
    <row r="192" ht="15.75" customHeight="1">
      <c r="A192" s="5" t="s">
        <v>94</v>
      </c>
    </row>
    <row r="193" ht="15.75" customHeight="1">
      <c r="A193" s="5" t="s">
        <v>49</v>
      </c>
    </row>
    <row r="194" ht="15.75" customHeight="1">
      <c r="A194" s="5"/>
    </row>
    <row r="195" ht="15.75" customHeight="1">
      <c r="A195" s="5" t="s">
        <v>95</v>
      </c>
    </row>
    <row r="196" ht="15.75" customHeight="1">
      <c r="A196" s="5"/>
    </row>
    <row r="197" ht="15.75" customHeight="1">
      <c r="A197" s="5" t="s">
        <v>96</v>
      </c>
    </row>
    <row r="198" ht="15.75" customHeight="1">
      <c r="A198" s="5" t="s">
        <v>97</v>
      </c>
    </row>
    <row r="199" ht="15.75" customHeight="1">
      <c r="A199" s="5" t="s">
        <v>98</v>
      </c>
    </row>
    <row r="200" ht="15.75" customHeight="1">
      <c r="A200" s="5"/>
    </row>
    <row r="201" ht="15.75" customHeight="1">
      <c r="A201" s="5" t="s">
        <v>99</v>
      </c>
    </row>
    <row r="202" ht="15.75" customHeight="1">
      <c r="A202" s="5" t="s">
        <v>100</v>
      </c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1"/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</row>
    <row r="5" ht="15.75" customHeight="1">
      <c r="A5" s="7"/>
    </row>
    <row r="6" ht="15.75" customHeight="1">
      <c r="A6" s="8" t="s">
        <v>3</v>
      </c>
      <c r="B6" s="9">
        <f t="shared" ref="B6:J6" si="2">SUM(B3:B4)</f>
        <v>586120</v>
      </c>
      <c r="C6" s="9">
        <f t="shared" si="2"/>
        <v>703746</v>
      </c>
      <c r="D6" s="9">
        <f t="shared" si="2"/>
        <v>818552</v>
      </c>
      <c r="E6" s="9">
        <f t="shared" si="2"/>
        <v>886301</v>
      </c>
      <c r="F6" s="9">
        <f t="shared" si="2"/>
        <v>789944</v>
      </c>
      <c r="G6" s="9">
        <f t="shared" si="2"/>
        <v>733083</v>
      </c>
      <c r="H6" s="9">
        <f t="shared" si="2"/>
        <v>900745</v>
      </c>
      <c r="I6" s="9">
        <f t="shared" si="2"/>
        <v>1206746</v>
      </c>
      <c r="J6" s="9">
        <f t="shared" si="2"/>
        <v>1459517</v>
      </c>
      <c r="K6" s="10"/>
      <c r="L6" s="10"/>
      <c r="M6" s="10"/>
      <c r="N6" s="10"/>
      <c r="O6" s="10"/>
      <c r="P6" s="10"/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</row>
    <row r="15" ht="15.75" customHeight="1">
      <c r="A15" s="7"/>
    </row>
    <row r="16" ht="15.75" customHeight="1">
      <c r="A16" s="8" t="s">
        <v>14</v>
      </c>
      <c r="B16" s="13">
        <f t="shared" ref="B16:J16" si="3">SUM(B9:B14)</f>
        <v>494932</v>
      </c>
      <c r="C16" s="13">
        <f t="shared" si="3"/>
        <v>577269</v>
      </c>
      <c r="D16" s="13">
        <f t="shared" si="3"/>
        <v>677460</v>
      </c>
      <c r="E16" s="13">
        <f t="shared" si="3"/>
        <v>750653</v>
      </c>
      <c r="F16" s="13">
        <f t="shared" si="3"/>
        <v>683474</v>
      </c>
      <c r="G16" s="13">
        <f t="shared" si="3"/>
        <v>650204</v>
      </c>
      <c r="H16" s="13">
        <f t="shared" si="3"/>
        <v>826236</v>
      </c>
      <c r="I16" s="13">
        <f t="shared" si="3"/>
        <v>1053155</v>
      </c>
      <c r="J16" s="13">
        <f t="shared" si="3"/>
        <v>1233319</v>
      </c>
      <c r="K16" s="14"/>
      <c r="L16" s="14"/>
      <c r="M16" s="14"/>
      <c r="N16" s="14"/>
      <c r="O16" s="14"/>
      <c r="P16" s="14"/>
    </row>
    <row r="17" ht="15.75" customHeight="1">
      <c r="A17" s="7"/>
    </row>
    <row r="18" ht="15.75" customHeight="1">
      <c r="A18" s="4" t="s">
        <v>15</v>
      </c>
      <c r="B18" s="6">
        <f t="shared" ref="B18:J18" si="4">B6-B16</f>
        <v>91188</v>
      </c>
      <c r="C18" s="6">
        <f t="shared" si="4"/>
        <v>126477</v>
      </c>
      <c r="D18" s="6">
        <f t="shared" si="4"/>
        <v>141092</v>
      </c>
      <c r="E18" s="6">
        <f t="shared" si="4"/>
        <v>135648</v>
      </c>
      <c r="F18" s="6">
        <f t="shared" si="4"/>
        <v>106470</v>
      </c>
      <c r="G18" s="6">
        <f t="shared" si="4"/>
        <v>82879</v>
      </c>
      <c r="H18" s="6">
        <f t="shared" si="4"/>
        <v>74509</v>
      </c>
      <c r="I18" s="6">
        <f t="shared" si="4"/>
        <v>153591</v>
      </c>
      <c r="J18" s="6">
        <f t="shared" si="4"/>
        <v>226198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</row>
    <row r="21" ht="15.75" customHeight="1">
      <c r="A21" s="7"/>
    </row>
    <row r="22" ht="15.75" customHeight="1">
      <c r="A22" s="7" t="s">
        <v>18</v>
      </c>
      <c r="B22" s="6">
        <f t="shared" ref="B22:J22" si="5">B18-B20</f>
        <v>62518</v>
      </c>
      <c r="C22" s="6">
        <f t="shared" si="5"/>
        <v>100438</v>
      </c>
      <c r="D22" s="6">
        <f t="shared" si="5"/>
        <v>113494</v>
      </c>
      <c r="E22" s="6">
        <f t="shared" si="5"/>
        <v>105440</v>
      </c>
      <c r="F22" s="6">
        <f t="shared" si="5"/>
        <v>71186</v>
      </c>
      <c r="G22" s="6">
        <f t="shared" si="5"/>
        <v>52538</v>
      </c>
      <c r="H22" s="6">
        <f t="shared" si="5"/>
        <v>46619</v>
      </c>
      <c r="I22" s="6">
        <f t="shared" si="5"/>
        <v>105131</v>
      </c>
      <c r="J22" s="6">
        <f t="shared" si="5"/>
        <v>173640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</row>
    <row r="25" ht="15.75" customHeight="1">
      <c r="A25" s="7"/>
    </row>
    <row r="26" ht="15.75" customHeight="1">
      <c r="A26" s="7" t="s">
        <v>23</v>
      </c>
      <c r="B26" s="6">
        <f t="shared" ref="B26:J26" si="6">B22-B24</f>
        <v>61581</v>
      </c>
      <c r="C26" s="6">
        <f t="shared" si="6"/>
        <v>99544</v>
      </c>
      <c r="D26" s="6">
        <f t="shared" si="6"/>
        <v>110036</v>
      </c>
      <c r="E26" s="6">
        <f t="shared" si="6"/>
        <v>104681</v>
      </c>
      <c r="F26" s="6">
        <f t="shared" si="6"/>
        <v>69844</v>
      </c>
      <c r="G26" s="6">
        <f t="shared" si="6"/>
        <v>51520</v>
      </c>
      <c r="H26" s="6">
        <f t="shared" si="6"/>
        <v>45353</v>
      </c>
      <c r="I26" s="6">
        <f t="shared" si="6"/>
        <v>102608</v>
      </c>
      <c r="J26" s="6">
        <f t="shared" si="6"/>
        <v>171704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</row>
    <row r="28" ht="15.75" customHeight="1">
      <c r="A28" s="7" t="s">
        <v>25</v>
      </c>
      <c r="B28" s="6">
        <f t="shared" ref="B28:J28" si="7">SUM(B26:B27)</f>
        <v>66296</v>
      </c>
      <c r="C28" s="6">
        <f t="shared" si="7"/>
        <v>101272</v>
      </c>
      <c r="D28" s="6">
        <f t="shared" si="7"/>
        <v>111669</v>
      </c>
      <c r="E28" s="6">
        <f t="shared" si="7"/>
        <v>102651</v>
      </c>
      <c r="F28" s="6">
        <f t="shared" si="7"/>
        <v>65427</v>
      </c>
      <c r="G28" s="6">
        <f t="shared" si="7"/>
        <v>56656</v>
      </c>
      <c r="H28" s="6">
        <f t="shared" si="7"/>
        <v>48482</v>
      </c>
      <c r="I28" s="6">
        <f t="shared" si="7"/>
        <v>103194</v>
      </c>
      <c r="J28" s="6">
        <f t="shared" si="7"/>
        <v>174373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</row>
    <row r="31" ht="15.75" customHeight="1">
      <c r="A31" s="7"/>
    </row>
    <row r="32" ht="15.75" customHeight="1">
      <c r="A32" s="7" t="s">
        <v>27</v>
      </c>
      <c r="B32" s="6">
        <f t="shared" ref="B32:J32" si="8">B28-B30</f>
        <v>46309</v>
      </c>
      <c r="C32" s="6">
        <f t="shared" si="8"/>
        <v>75110</v>
      </c>
      <c r="D32" s="6">
        <f t="shared" si="8"/>
        <v>78807</v>
      </c>
      <c r="E32" s="6">
        <f t="shared" si="8"/>
        <v>72919</v>
      </c>
      <c r="F32" s="6">
        <f t="shared" si="8"/>
        <v>51175</v>
      </c>
      <c r="G32" s="6">
        <f t="shared" si="8"/>
        <v>47337</v>
      </c>
      <c r="H32" s="6">
        <f t="shared" si="8"/>
        <v>40305</v>
      </c>
      <c r="I32" s="6">
        <f t="shared" si="8"/>
        <v>81449</v>
      </c>
      <c r="J32" s="6">
        <f t="shared" si="8"/>
        <v>135010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9">B32+B33</f>
        <v>46988</v>
      </c>
      <c r="C36" s="9">
        <f t="shared" si="9"/>
        <v>77326</v>
      </c>
      <c r="D36" s="9">
        <f t="shared" si="9"/>
        <v>82118</v>
      </c>
      <c r="E36" s="9">
        <f>E32+F33</f>
        <v>74103</v>
      </c>
      <c r="F36" s="9">
        <f t="shared" ref="F36:J36" si="10">F32+F33</f>
        <v>52359</v>
      </c>
      <c r="G36" s="9">
        <f t="shared" si="10"/>
        <v>49027</v>
      </c>
      <c r="H36" s="9">
        <f t="shared" si="10"/>
        <v>41924</v>
      </c>
      <c r="I36" s="9">
        <f t="shared" si="10"/>
        <v>83223</v>
      </c>
      <c r="J36" s="9">
        <f t="shared" si="10"/>
        <v>137551</v>
      </c>
      <c r="K36" s="10"/>
      <c r="L36" s="10"/>
      <c r="M36" s="10"/>
      <c r="N36" s="10"/>
      <c r="O36" s="10"/>
      <c r="P36" s="10"/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</row>
    <row r="42" ht="15.75" customHeight="1">
      <c r="A42" s="1" t="s">
        <v>32</v>
      </c>
    </row>
    <row r="43" ht="15.75" customHeight="1">
      <c r="A43" s="1" t="s">
        <v>33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</row>
    <row r="47" ht="15.75" customHeight="1">
      <c r="A47" s="7" t="s">
        <v>36</v>
      </c>
    </row>
    <row r="48" ht="15.75" customHeight="1">
      <c r="A48" s="7"/>
    </row>
    <row r="49" ht="15.75" customHeight="1">
      <c r="A49" s="7" t="s">
        <v>37</v>
      </c>
    </row>
    <row r="50" ht="15.75" customHeight="1">
      <c r="A50" s="1" t="s">
        <v>38</v>
      </c>
    </row>
    <row r="51" ht="15.75" customHeight="1">
      <c r="A51" s="1" t="s">
        <v>39</v>
      </c>
    </row>
    <row r="52" ht="15.75" customHeight="1">
      <c r="A52" s="1" t="s">
        <v>40</v>
      </c>
    </row>
    <row r="53" ht="15.75" customHeight="1">
      <c r="A53" s="1" t="s">
        <v>41</v>
      </c>
    </row>
    <row r="54" ht="15.75" customHeight="1">
      <c r="A54" s="7"/>
    </row>
    <row r="55" ht="15.75" customHeight="1">
      <c r="A55" s="1" t="s">
        <v>42</v>
      </c>
    </row>
    <row r="56" ht="15.75" customHeight="1">
      <c r="A56" s="1" t="s">
        <v>43</v>
      </c>
    </row>
    <row r="57" ht="15.75" customHeight="1">
      <c r="A57" s="1" t="s">
        <v>44</v>
      </c>
    </row>
    <row r="58" ht="15.75" customHeight="1">
      <c r="A58" s="1" t="s">
        <v>45</v>
      </c>
    </row>
    <row r="59" ht="15.75" customHeight="1">
      <c r="A59" s="1" t="s">
        <v>46</v>
      </c>
    </row>
    <row r="60" ht="15.75" customHeight="1">
      <c r="A60" s="1" t="s">
        <v>47</v>
      </c>
    </row>
    <row r="61" ht="15.75" customHeight="1">
      <c r="A61" s="1" t="s">
        <v>48</v>
      </c>
    </row>
    <row r="62" ht="15.75" customHeight="1">
      <c r="A62" s="8" t="s">
        <v>49</v>
      </c>
    </row>
    <row r="63" ht="15.75" customHeight="1">
      <c r="A63" s="7"/>
    </row>
    <row r="64" ht="15.75" customHeight="1">
      <c r="A64" s="7"/>
    </row>
    <row r="65" ht="15.75" customHeight="1">
      <c r="A65" s="4" t="s">
        <v>50</v>
      </c>
    </row>
    <row r="66" ht="15.75" customHeight="1">
      <c r="A66" s="7"/>
    </row>
    <row r="67" ht="15.75" customHeight="1">
      <c r="A67" s="1" t="s">
        <v>51</v>
      </c>
    </row>
    <row r="68" ht="15.75" customHeight="1">
      <c r="A68" s="16" t="s">
        <v>52</v>
      </c>
    </row>
    <row r="69" ht="15.75" customHeight="1">
      <c r="A69" s="16" t="s">
        <v>53</v>
      </c>
    </row>
    <row r="70" ht="15.75" customHeight="1">
      <c r="A70" s="16" t="s">
        <v>54</v>
      </c>
    </row>
    <row r="71" ht="15.75" customHeight="1">
      <c r="A71" s="16" t="s">
        <v>55</v>
      </c>
    </row>
    <row r="72" ht="15.75" customHeight="1">
      <c r="A72" s="1"/>
    </row>
    <row r="73" ht="15.75" customHeight="1">
      <c r="A73" s="1" t="s">
        <v>56</v>
      </c>
    </row>
    <row r="74" ht="15.75" customHeight="1">
      <c r="A74" s="1" t="s">
        <v>57</v>
      </c>
    </row>
    <row r="75" ht="15.75" customHeight="1">
      <c r="A75" s="1" t="s">
        <v>58</v>
      </c>
    </row>
    <row r="76" ht="15.75" customHeight="1">
      <c r="A76" s="1" t="s">
        <v>59</v>
      </c>
    </row>
    <row r="77" ht="15.75" customHeight="1">
      <c r="A77" s="1"/>
    </row>
    <row r="78" ht="15.75" customHeight="1">
      <c r="A78" s="1" t="s">
        <v>60</v>
      </c>
    </row>
    <row r="79" ht="15.75" customHeight="1">
      <c r="A79" s="1"/>
    </row>
    <row r="80" ht="15.75" customHeight="1">
      <c r="A80" s="16" t="s">
        <v>61</v>
      </c>
    </row>
    <row r="81" ht="15.75" customHeight="1">
      <c r="A81" s="16" t="s">
        <v>62</v>
      </c>
    </row>
    <row r="82" ht="15.75" customHeight="1">
      <c r="A82" s="16" t="s">
        <v>63</v>
      </c>
    </row>
    <row r="83" ht="15.75" customHeight="1">
      <c r="A83" s="16" t="s">
        <v>64</v>
      </c>
    </row>
    <row r="84" ht="15.75" customHeight="1">
      <c r="A84" s="16" t="s">
        <v>65</v>
      </c>
    </row>
    <row r="85" ht="15.75" customHeight="1">
      <c r="A85" s="16" t="s">
        <v>66</v>
      </c>
    </row>
    <row r="86" ht="15.75" customHeight="1">
      <c r="A86" s="16" t="s">
        <v>67</v>
      </c>
    </row>
    <row r="87" ht="15.75" customHeight="1">
      <c r="A87" s="1" t="s">
        <v>57</v>
      </c>
    </row>
    <row r="88" ht="15.75" customHeight="1">
      <c r="A88" s="8" t="s">
        <v>49</v>
      </c>
    </row>
    <row r="89" ht="15.75" customHeight="1">
      <c r="A89" s="1"/>
    </row>
    <row r="90" ht="15.75" customHeight="1">
      <c r="A90" s="5" t="s">
        <v>68</v>
      </c>
    </row>
    <row r="91" ht="15.75" customHeight="1">
      <c r="A91" s="5" t="s">
        <v>69</v>
      </c>
    </row>
    <row r="92" ht="15.75" customHeight="1">
      <c r="A92" s="5"/>
    </row>
    <row r="93" ht="15.75" customHeight="1">
      <c r="A93" s="5" t="s">
        <v>70</v>
      </c>
    </row>
    <row r="94" ht="15.75" customHeight="1">
      <c r="A94" s="5" t="s">
        <v>71</v>
      </c>
    </row>
    <row r="95" ht="15.75" customHeight="1">
      <c r="A95" s="5" t="s">
        <v>49</v>
      </c>
    </row>
    <row r="96" ht="15.75" customHeight="1">
      <c r="A96" s="5"/>
    </row>
    <row r="97" ht="15.75" customHeight="1">
      <c r="A97" s="5" t="s">
        <v>72</v>
      </c>
    </row>
    <row r="98" ht="15.75" customHeight="1">
      <c r="A98" s="5"/>
    </row>
    <row r="99" ht="15.75" customHeight="1">
      <c r="A99" s="17" t="s">
        <v>73</v>
      </c>
    </row>
    <row r="100" ht="15.75" customHeight="1">
      <c r="A100" s="5" t="s">
        <v>74</v>
      </c>
    </row>
    <row r="101" ht="15.75" customHeight="1">
      <c r="A101" s="5" t="s">
        <v>75</v>
      </c>
    </row>
    <row r="102" ht="15.75" customHeight="1">
      <c r="A102" s="5"/>
    </row>
    <row r="103" ht="15.75" customHeight="1">
      <c r="A103" s="17" t="s">
        <v>76</v>
      </c>
    </row>
    <row r="104" ht="15.75" customHeight="1">
      <c r="A104" s="5" t="s">
        <v>77</v>
      </c>
    </row>
    <row r="105" ht="15.75" customHeight="1">
      <c r="A105" s="5" t="s">
        <v>71</v>
      </c>
    </row>
    <row r="106" ht="15.75" customHeight="1">
      <c r="A106" s="5" t="s">
        <v>49</v>
      </c>
    </row>
    <row r="107" ht="15.75" customHeight="1">
      <c r="A107" s="5" t="s">
        <v>78</v>
      </c>
    </row>
    <row r="108" ht="15.75" customHeight="1">
      <c r="A108" s="5" t="s">
        <v>79</v>
      </c>
    </row>
    <row r="109" ht="15.75" customHeight="1">
      <c r="A109" s="5"/>
    </row>
    <row r="110" ht="15.75" customHeight="1">
      <c r="A110" s="17" t="s">
        <v>80</v>
      </c>
    </row>
    <row r="111" ht="15.75" customHeight="1">
      <c r="A111" s="5" t="s">
        <v>70</v>
      </c>
    </row>
    <row r="112" ht="15.75" customHeight="1">
      <c r="A112" s="5" t="s">
        <v>71</v>
      </c>
    </row>
    <row r="113" ht="15.75" customHeight="1">
      <c r="A113" s="5" t="s">
        <v>81</v>
      </c>
    </row>
    <row r="114" ht="15.75" customHeight="1">
      <c r="A114" s="5"/>
    </row>
    <row r="115" ht="15.75" customHeight="1">
      <c r="A115" s="5"/>
    </row>
    <row r="116" ht="15.75" customHeight="1">
      <c r="A116" s="5" t="s">
        <v>82</v>
      </c>
    </row>
    <row r="117" ht="15.75" customHeight="1">
      <c r="A117" s="5" t="s">
        <v>83</v>
      </c>
    </row>
    <row r="118" ht="15.75" customHeight="1">
      <c r="A118" s="5"/>
    </row>
    <row r="119" ht="15.75" customHeight="1">
      <c r="A119" s="17" t="s">
        <v>84</v>
      </c>
    </row>
    <row r="120" ht="15.75" customHeight="1">
      <c r="A120" s="5"/>
    </row>
    <row r="121" ht="15.75" customHeight="1">
      <c r="A121" s="1" t="s">
        <v>5</v>
      </c>
    </row>
    <row r="122" ht="15.75" customHeight="1">
      <c r="A122" s="1" t="s">
        <v>6</v>
      </c>
    </row>
    <row r="123" ht="15.75" customHeight="1">
      <c r="A123" s="1" t="s">
        <v>8</v>
      </c>
    </row>
    <row r="124" ht="15.75" customHeight="1">
      <c r="A124" s="1" t="s">
        <v>10</v>
      </c>
    </row>
    <row r="125" ht="15.75" customHeight="1">
      <c r="A125" s="1" t="s">
        <v>12</v>
      </c>
    </row>
    <row r="126" ht="15.75" customHeight="1">
      <c r="A126" s="1" t="s">
        <v>85</v>
      </c>
    </row>
    <row r="127" ht="15.75" customHeight="1">
      <c r="A127" s="5"/>
    </row>
    <row r="128" ht="15.75" customHeight="1">
      <c r="A128" s="5"/>
    </row>
    <row r="129" ht="15.75" customHeight="1">
      <c r="A129" s="18" t="s">
        <v>86</v>
      </c>
    </row>
    <row r="130" ht="15.75" customHeight="1">
      <c r="A130" s="5"/>
    </row>
    <row r="131" ht="15.75" customHeight="1">
      <c r="A131" s="1" t="s">
        <v>5</v>
      </c>
    </row>
    <row r="132" ht="15.75" customHeight="1">
      <c r="A132" s="1" t="s">
        <v>6</v>
      </c>
    </row>
    <row r="133" ht="15.75" customHeight="1">
      <c r="A133" s="1" t="s">
        <v>8</v>
      </c>
    </row>
    <row r="134" ht="15.75" customHeight="1">
      <c r="A134" s="1" t="s">
        <v>10</v>
      </c>
    </row>
    <row r="135" ht="15.75" customHeight="1">
      <c r="A135" s="1" t="s">
        <v>12</v>
      </c>
    </row>
    <row r="136" ht="15.75" customHeight="1">
      <c r="A136" s="1" t="s">
        <v>85</v>
      </c>
    </row>
    <row r="137" ht="15.75" customHeight="1">
      <c r="A137" s="5"/>
    </row>
    <row r="138" ht="15.75" customHeight="1">
      <c r="A138" s="1" t="s">
        <v>83</v>
      </c>
    </row>
    <row r="139" ht="15.75" customHeight="1">
      <c r="A139" s="1" t="s">
        <v>5</v>
      </c>
    </row>
    <row r="140" ht="15.75" customHeight="1">
      <c r="A140" s="1" t="s">
        <v>6</v>
      </c>
    </row>
    <row r="141" ht="15.75" customHeight="1">
      <c r="A141" s="1" t="s">
        <v>8</v>
      </c>
    </row>
    <row r="142" ht="15.75" customHeight="1">
      <c r="A142" s="1" t="s">
        <v>10</v>
      </c>
    </row>
    <row r="143" ht="15.75" customHeight="1">
      <c r="A143" s="1" t="s">
        <v>12</v>
      </c>
    </row>
    <row r="144" ht="15.75" customHeight="1">
      <c r="A144" s="1" t="s">
        <v>85</v>
      </c>
    </row>
    <row r="145" ht="15.75" customHeight="1">
      <c r="A145" s="5"/>
    </row>
    <row r="146" ht="15.75" customHeight="1">
      <c r="A146" s="5"/>
    </row>
    <row r="147" ht="15.75" customHeight="1">
      <c r="A147" s="5"/>
    </row>
    <row r="148" ht="15.75" customHeight="1">
      <c r="A148" s="18" t="s">
        <v>87</v>
      </c>
    </row>
    <row r="149" ht="15.75" customHeight="1">
      <c r="A149" s="5"/>
    </row>
    <row r="150" ht="15.75" customHeight="1">
      <c r="A150" s="5" t="s">
        <v>60</v>
      </c>
    </row>
    <row r="151" ht="15.75" customHeight="1">
      <c r="A151" s="16" t="s">
        <v>61</v>
      </c>
    </row>
    <row r="152" ht="15.75" customHeight="1">
      <c r="A152" s="16" t="s">
        <v>62</v>
      </c>
    </row>
    <row r="153" ht="15.75" customHeight="1">
      <c r="A153" s="16" t="s">
        <v>64</v>
      </c>
    </row>
    <row r="154" ht="15.75" customHeight="1">
      <c r="A154" s="16" t="s">
        <v>65</v>
      </c>
    </row>
    <row r="155" ht="15.75" customHeight="1">
      <c r="A155" s="16" t="s">
        <v>66</v>
      </c>
    </row>
    <row r="156" ht="15.75" customHeight="1">
      <c r="A156" s="1" t="s">
        <v>57</v>
      </c>
    </row>
    <row r="157" ht="15.75" customHeight="1">
      <c r="A157" s="5"/>
    </row>
    <row r="158" ht="15.75" customHeight="1">
      <c r="A158" s="5" t="s">
        <v>42</v>
      </c>
    </row>
    <row r="159" ht="15.75" customHeight="1">
      <c r="A159" s="1" t="s">
        <v>43</v>
      </c>
    </row>
    <row r="160" ht="15.75" customHeight="1">
      <c r="A160" s="1" t="s">
        <v>44</v>
      </c>
    </row>
    <row r="161" ht="15.75" customHeight="1">
      <c r="A161" s="1" t="s">
        <v>45</v>
      </c>
    </row>
    <row r="162" ht="15.75" customHeight="1">
      <c r="A162" s="1" t="s">
        <v>46</v>
      </c>
    </row>
    <row r="163" ht="15.75" customHeight="1">
      <c r="A163" s="1" t="s">
        <v>47</v>
      </c>
    </row>
    <row r="164" ht="15.75" customHeight="1">
      <c r="A164" s="1" t="s">
        <v>48</v>
      </c>
    </row>
    <row r="165" ht="15.75" customHeight="1">
      <c r="A165" s="5"/>
    </row>
    <row r="166" ht="15.75" customHeight="1">
      <c r="A166" s="1" t="s">
        <v>88</v>
      </c>
    </row>
    <row r="167" ht="15.75" customHeight="1">
      <c r="A167" s="5"/>
    </row>
    <row r="168" ht="15.75" customHeight="1">
      <c r="A168" s="18" t="s">
        <v>89</v>
      </c>
    </row>
    <row r="169" ht="15.75" customHeight="1">
      <c r="A169" s="5" t="s">
        <v>60</v>
      </c>
    </row>
    <row r="170" ht="15.75" customHeight="1">
      <c r="A170" s="16" t="s">
        <v>61</v>
      </c>
    </row>
    <row r="171" ht="15.75" customHeight="1">
      <c r="A171" s="16" t="s">
        <v>62</v>
      </c>
    </row>
    <row r="172" ht="15.75" customHeight="1">
      <c r="A172" s="16" t="s">
        <v>64</v>
      </c>
    </row>
    <row r="173" ht="15.75" customHeight="1">
      <c r="A173" s="16" t="s">
        <v>65</v>
      </c>
    </row>
    <row r="174" ht="15.75" customHeight="1">
      <c r="A174" s="16" t="s">
        <v>66</v>
      </c>
    </row>
    <row r="175" ht="15.75" customHeight="1">
      <c r="A175" s="1" t="s">
        <v>57</v>
      </c>
    </row>
    <row r="176" ht="15.75" customHeight="1">
      <c r="A176" s="5"/>
    </row>
    <row r="177" ht="15.75" customHeight="1">
      <c r="A177" s="5" t="s">
        <v>42</v>
      </c>
    </row>
    <row r="178" ht="15.75" customHeight="1">
      <c r="A178" s="1" t="s">
        <v>43</v>
      </c>
    </row>
    <row r="179" ht="15.75" customHeight="1">
      <c r="A179" s="1" t="s">
        <v>44</v>
      </c>
    </row>
    <row r="180" ht="15.75" customHeight="1">
      <c r="A180" s="1" t="s">
        <v>45</v>
      </c>
    </row>
    <row r="181" ht="15.75" customHeight="1">
      <c r="A181" s="1" t="s">
        <v>46</v>
      </c>
    </row>
    <row r="182" ht="15.75" customHeight="1">
      <c r="A182" s="1" t="s">
        <v>47</v>
      </c>
    </row>
    <row r="183" ht="15.75" customHeight="1">
      <c r="A183" s="1" t="s">
        <v>48</v>
      </c>
    </row>
    <row r="184" ht="15.75" customHeight="1">
      <c r="A184" s="5"/>
    </row>
    <row r="185" ht="15.75" customHeight="1">
      <c r="A185" s="1" t="s">
        <v>90</v>
      </c>
    </row>
    <row r="186" ht="15.75" customHeight="1">
      <c r="A186" s="1" t="s">
        <v>91</v>
      </c>
    </row>
    <row r="187" ht="15.75" customHeight="1">
      <c r="A187" s="5"/>
    </row>
    <row r="188" ht="15.75" customHeight="1">
      <c r="A188" s="5"/>
    </row>
    <row r="189" ht="15.75" customHeight="1">
      <c r="A189" s="5"/>
    </row>
    <row r="190" ht="15.75" customHeight="1">
      <c r="A190" s="18" t="s">
        <v>92</v>
      </c>
    </row>
    <row r="191" ht="15.75" customHeight="1">
      <c r="A191" s="5" t="s">
        <v>93</v>
      </c>
    </row>
    <row r="192" ht="15.75" customHeight="1">
      <c r="A192" s="5" t="s">
        <v>94</v>
      </c>
    </row>
    <row r="193" ht="15.75" customHeight="1">
      <c r="A193" s="5" t="s">
        <v>49</v>
      </c>
    </row>
    <row r="194" ht="15.75" customHeight="1">
      <c r="A194" s="5"/>
    </row>
    <row r="195" ht="15.75" customHeight="1">
      <c r="A195" s="5" t="s">
        <v>95</v>
      </c>
    </row>
    <row r="196" ht="15.75" customHeight="1">
      <c r="A196" s="5"/>
    </row>
    <row r="197" ht="15.75" customHeight="1">
      <c r="A197" s="5" t="s">
        <v>96</v>
      </c>
    </row>
    <row r="198" ht="15.75" customHeight="1">
      <c r="A198" s="5" t="s">
        <v>97</v>
      </c>
    </row>
    <row r="199" ht="15.75" customHeight="1">
      <c r="A199" s="5" t="s">
        <v>98</v>
      </c>
    </row>
    <row r="200" ht="15.75" customHeight="1">
      <c r="A200" s="5"/>
    </row>
    <row r="201" ht="15.75" customHeight="1">
      <c r="A201" s="5" t="s">
        <v>99</v>
      </c>
    </row>
    <row r="202" ht="15.75" customHeight="1">
      <c r="A202" s="5" t="s">
        <v>100</v>
      </c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1"/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</row>
    <row r="5" ht="15.75" customHeight="1">
      <c r="A5" s="7"/>
    </row>
    <row r="6" ht="15.75" customHeight="1">
      <c r="A6" s="8" t="s">
        <v>3</v>
      </c>
      <c r="B6" s="9">
        <f t="shared" ref="B6:J6" si="2">SUM(B3:B4)</f>
        <v>586120</v>
      </c>
      <c r="C6" s="9">
        <f t="shared" si="2"/>
        <v>703746</v>
      </c>
      <c r="D6" s="9">
        <f t="shared" si="2"/>
        <v>818552</v>
      </c>
      <c r="E6" s="9">
        <f t="shared" si="2"/>
        <v>886301</v>
      </c>
      <c r="F6" s="9">
        <f t="shared" si="2"/>
        <v>789944</v>
      </c>
      <c r="G6" s="9">
        <f t="shared" si="2"/>
        <v>733083</v>
      </c>
      <c r="H6" s="9">
        <f t="shared" si="2"/>
        <v>900745</v>
      </c>
      <c r="I6" s="9">
        <f t="shared" si="2"/>
        <v>1206746</v>
      </c>
      <c r="J6" s="9">
        <f t="shared" si="2"/>
        <v>1459517</v>
      </c>
      <c r="K6" s="10"/>
      <c r="L6" s="10"/>
      <c r="M6" s="10"/>
      <c r="N6" s="10"/>
      <c r="O6" s="10"/>
      <c r="P6" s="10"/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</row>
    <row r="15" ht="15.75" customHeight="1">
      <c r="A15" s="7"/>
    </row>
    <row r="16" ht="15.75" customHeight="1">
      <c r="A16" s="8" t="s">
        <v>14</v>
      </c>
      <c r="B16" s="13">
        <f t="shared" ref="B16:J16" si="3">SUM(B9:B14)</f>
        <v>494932</v>
      </c>
      <c r="C16" s="13">
        <f t="shared" si="3"/>
        <v>577269</v>
      </c>
      <c r="D16" s="13">
        <f t="shared" si="3"/>
        <v>677460</v>
      </c>
      <c r="E16" s="13">
        <f t="shared" si="3"/>
        <v>750653</v>
      </c>
      <c r="F16" s="13">
        <f t="shared" si="3"/>
        <v>683474</v>
      </c>
      <c r="G16" s="13">
        <f t="shared" si="3"/>
        <v>650204</v>
      </c>
      <c r="H16" s="13">
        <f t="shared" si="3"/>
        <v>826236</v>
      </c>
      <c r="I16" s="13">
        <f t="shared" si="3"/>
        <v>1053155</v>
      </c>
      <c r="J16" s="13">
        <f t="shared" si="3"/>
        <v>1233319</v>
      </c>
      <c r="K16" s="14"/>
      <c r="L16" s="14"/>
      <c r="M16" s="14"/>
      <c r="N16" s="14"/>
      <c r="O16" s="14"/>
      <c r="P16" s="14"/>
    </row>
    <row r="17" ht="15.75" customHeight="1">
      <c r="A17" s="7"/>
    </row>
    <row r="18" ht="15.75" customHeight="1">
      <c r="A18" s="4" t="s">
        <v>15</v>
      </c>
      <c r="B18" s="6">
        <f t="shared" ref="B18:J18" si="4">B6-B16</f>
        <v>91188</v>
      </c>
      <c r="C18" s="6">
        <f t="shared" si="4"/>
        <v>126477</v>
      </c>
      <c r="D18" s="6">
        <f t="shared" si="4"/>
        <v>141092</v>
      </c>
      <c r="E18" s="6">
        <f t="shared" si="4"/>
        <v>135648</v>
      </c>
      <c r="F18" s="6">
        <f t="shared" si="4"/>
        <v>106470</v>
      </c>
      <c r="G18" s="6">
        <f t="shared" si="4"/>
        <v>82879</v>
      </c>
      <c r="H18" s="6">
        <f t="shared" si="4"/>
        <v>74509</v>
      </c>
      <c r="I18" s="6">
        <f t="shared" si="4"/>
        <v>153591</v>
      </c>
      <c r="J18" s="6">
        <f t="shared" si="4"/>
        <v>226198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</row>
    <row r="21" ht="15.75" customHeight="1">
      <c r="A21" s="7"/>
    </row>
    <row r="22" ht="15.75" customHeight="1">
      <c r="A22" s="7" t="s">
        <v>18</v>
      </c>
      <c r="B22" s="6">
        <f t="shared" ref="B22:J22" si="5">B18-B20</f>
        <v>62518</v>
      </c>
      <c r="C22" s="6">
        <f t="shared" si="5"/>
        <v>100438</v>
      </c>
      <c r="D22" s="6">
        <f t="shared" si="5"/>
        <v>113494</v>
      </c>
      <c r="E22" s="6">
        <f t="shared" si="5"/>
        <v>105440</v>
      </c>
      <c r="F22" s="6">
        <f t="shared" si="5"/>
        <v>71186</v>
      </c>
      <c r="G22" s="6">
        <f t="shared" si="5"/>
        <v>52538</v>
      </c>
      <c r="H22" s="6">
        <f t="shared" si="5"/>
        <v>46619</v>
      </c>
      <c r="I22" s="6">
        <f t="shared" si="5"/>
        <v>105131</v>
      </c>
      <c r="J22" s="6">
        <f t="shared" si="5"/>
        <v>173640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</row>
    <row r="25" ht="15.75" customHeight="1">
      <c r="A25" s="7"/>
    </row>
    <row r="26" ht="15.75" customHeight="1">
      <c r="A26" s="7" t="s">
        <v>23</v>
      </c>
      <c r="B26" s="6">
        <f t="shared" ref="B26:J26" si="6">B22-B24</f>
        <v>61581</v>
      </c>
      <c r="C26" s="6">
        <f t="shared" si="6"/>
        <v>99544</v>
      </c>
      <c r="D26" s="6">
        <f t="shared" si="6"/>
        <v>110036</v>
      </c>
      <c r="E26" s="6">
        <f t="shared" si="6"/>
        <v>104681</v>
      </c>
      <c r="F26" s="6">
        <f t="shared" si="6"/>
        <v>69844</v>
      </c>
      <c r="G26" s="6">
        <f t="shared" si="6"/>
        <v>51520</v>
      </c>
      <c r="H26" s="6">
        <f t="shared" si="6"/>
        <v>45353</v>
      </c>
      <c r="I26" s="6">
        <f t="shared" si="6"/>
        <v>102608</v>
      </c>
      <c r="J26" s="6">
        <f t="shared" si="6"/>
        <v>171704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</row>
    <row r="28" ht="15.75" customHeight="1">
      <c r="A28" s="7" t="s">
        <v>25</v>
      </c>
      <c r="B28" s="6">
        <f t="shared" ref="B28:J28" si="7">SUM(B26:B27)</f>
        <v>66296</v>
      </c>
      <c r="C28" s="6">
        <f t="shared" si="7"/>
        <v>101272</v>
      </c>
      <c r="D28" s="6">
        <f t="shared" si="7"/>
        <v>111669</v>
      </c>
      <c r="E28" s="6">
        <f t="shared" si="7"/>
        <v>102651</v>
      </c>
      <c r="F28" s="6">
        <f t="shared" si="7"/>
        <v>65427</v>
      </c>
      <c r="G28" s="6">
        <f t="shared" si="7"/>
        <v>56656</v>
      </c>
      <c r="H28" s="6">
        <f t="shared" si="7"/>
        <v>48482</v>
      </c>
      <c r="I28" s="6">
        <f t="shared" si="7"/>
        <v>103194</v>
      </c>
      <c r="J28" s="6">
        <f t="shared" si="7"/>
        <v>174373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</row>
    <row r="31" ht="15.75" customHeight="1">
      <c r="A31" s="7"/>
    </row>
    <row r="32" ht="15.75" customHeight="1">
      <c r="A32" s="7" t="s">
        <v>27</v>
      </c>
      <c r="B32" s="6">
        <f t="shared" ref="B32:J32" si="8">B28-B30</f>
        <v>46309</v>
      </c>
      <c r="C32" s="6">
        <f t="shared" si="8"/>
        <v>75110</v>
      </c>
      <c r="D32" s="6">
        <f t="shared" si="8"/>
        <v>78807</v>
      </c>
      <c r="E32" s="6">
        <f t="shared" si="8"/>
        <v>72919</v>
      </c>
      <c r="F32" s="6">
        <f t="shared" si="8"/>
        <v>51175</v>
      </c>
      <c r="G32" s="6">
        <f t="shared" si="8"/>
        <v>47337</v>
      </c>
      <c r="H32" s="6">
        <f t="shared" si="8"/>
        <v>40305</v>
      </c>
      <c r="I32" s="6">
        <f t="shared" si="8"/>
        <v>81449</v>
      </c>
      <c r="J32" s="6">
        <f t="shared" si="8"/>
        <v>135010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9">B32+B33</f>
        <v>46988</v>
      </c>
      <c r="C36" s="9">
        <f t="shared" si="9"/>
        <v>77326</v>
      </c>
      <c r="D36" s="9">
        <f t="shared" si="9"/>
        <v>82118</v>
      </c>
      <c r="E36" s="9">
        <f>E32+F33</f>
        <v>74103</v>
      </c>
      <c r="F36" s="9">
        <f t="shared" ref="F36:J36" si="10">F32+F33</f>
        <v>52359</v>
      </c>
      <c r="G36" s="9">
        <f t="shared" si="10"/>
        <v>49027</v>
      </c>
      <c r="H36" s="9">
        <f t="shared" si="10"/>
        <v>41924</v>
      </c>
      <c r="I36" s="9">
        <f t="shared" si="10"/>
        <v>83223</v>
      </c>
      <c r="J36" s="9">
        <f t="shared" si="10"/>
        <v>137551</v>
      </c>
      <c r="K36" s="10"/>
      <c r="L36" s="10"/>
      <c r="M36" s="10"/>
      <c r="N36" s="10"/>
      <c r="O36" s="10"/>
      <c r="P36" s="10"/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</row>
    <row r="42" ht="15.75" customHeight="1">
      <c r="A42" s="1" t="s">
        <v>32</v>
      </c>
    </row>
    <row r="43" ht="15.75" customHeight="1">
      <c r="A43" s="1" t="s">
        <v>33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</row>
    <row r="47" ht="15.75" customHeight="1">
      <c r="A47" s="7" t="s">
        <v>36</v>
      </c>
    </row>
    <row r="48" ht="15.75" customHeight="1">
      <c r="A48" s="7"/>
    </row>
    <row r="49" ht="15.75" customHeight="1">
      <c r="A49" s="7" t="s">
        <v>37</v>
      </c>
    </row>
    <row r="50" ht="15.75" customHeight="1">
      <c r="A50" s="1" t="s">
        <v>38</v>
      </c>
    </row>
    <row r="51" ht="15.75" customHeight="1">
      <c r="A51" s="1" t="s">
        <v>39</v>
      </c>
    </row>
    <row r="52" ht="15.75" customHeight="1">
      <c r="A52" s="1" t="s">
        <v>40</v>
      </c>
    </row>
    <row r="53" ht="15.75" customHeight="1">
      <c r="A53" s="1" t="s">
        <v>41</v>
      </c>
    </row>
    <row r="54" ht="15.75" customHeight="1">
      <c r="A54" s="7"/>
    </row>
    <row r="55" ht="15.75" customHeight="1">
      <c r="A55" s="1" t="s">
        <v>42</v>
      </c>
    </row>
    <row r="56" ht="15.75" customHeight="1">
      <c r="A56" s="1" t="s">
        <v>43</v>
      </c>
    </row>
    <row r="57" ht="15.75" customHeight="1">
      <c r="A57" s="1" t="s">
        <v>44</v>
      </c>
    </row>
    <row r="58" ht="15.75" customHeight="1">
      <c r="A58" s="1" t="s">
        <v>45</v>
      </c>
    </row>
    <row r="59" ht="15.75" customHeight="1">
      <c r="A59" s="1" t="s">
        <v>46</v>
      </c>
    </row>
    <row r="60" ht="15.75" customHeight="1">
      <c r="A60" s="1" t="s">
        <v>47</v>
      </c>
    </row>
    <row r="61" ht="15.75" customHeight="1">
      <c r="A61" s="1" t="s">
        <v>48</v>
      </c>
    </row>
    <row r="62" ht="15.75" customHeight="1">
      <c r="A62" s="8" t="s">
        <v>49</v>
      </c>
    </row>
    <row r="63" ht="15.75" customHeight="1">
      <c r="A63" s="7"/>
    </row>
    <row r="64" ht="15.75" customHeight="1">
      <c r="A64" s="7"/>
    </row>
    <row r="65" ht="15.75" customHeight="1">
      <c r="A65" s="4" t="s">
        <v>50</v>
      </c>
    </row>
    <row r="66" ht="15.75" customHeight="1">
      <c r="A66" s="7"/>
    </row>
    <row r="67" ht="15.75" customHeight="1">
      <c r="A67" s="1" t="s">
        <v>51</v>
      </c>
    </row>
    <row r="68" ht="15.75" customHeight="1">
      <c r="A68" s="16" t="s">
        <v>52</v>
      </c>
    </row>
    <row r="69" ht="15.75" customHeight="1">
      <c r="A69" s="16" t="s">
        <v>53</v>
      </c>
    </row>
    <row r="70" ht="15.75" customHeight="1">
      <c r="A70" s="16" t="s">
        <v>54</v>
      </c>
    </row>
    <row r="71" ht="15.75" customHeight="1">
      <c r="A71" s="16" t="s">
        <v>55</v>
      </c>
    </row>
    <row r="72" ht="15.75" customHeight="1">
      <c r="A72" s="1"/>
    </row>
    <row r="73" ht="15.75" customHeight="1">
      <c r="A73" s="1" t="s">
        <v>56</v>
      </c>
    </row>
    <row r="74" ht="15.75" customHeight="1">
      <c r="A74" s="1" t="s">
        <v>57</v>
      </c>
    </row>
    <row r="75" ht="15.75" customHeight="1">
      <c r="A75" s="1" t="s">
        <v>58</v>
      </c>
    </row>
    <row r="76" ht="15.75" customHeight="1">
      <c r="A76" s="1" t="s">
        <v>59</v>
      </c>
    </row>
    <row r="77" ht="15.75" customHeight="1">
      <c r="A77" s="1"/>
    </row>
    <row r="78" ht="15.75" customHeight="1">
      <c r="A78" s="1" t="s">
        <v>60</v>
      </c>
    </row>
    <row r="79" ht="15.75" customHeight="1">
      <c r="A79" s="1"/>
    </row>
    <row r="80" ht="15.75" customHeight="1">
      <c r="A80" s="16" t="s">
        <v>61</v>
      </c>
    </row>
    <row r="81" ht="15.75" customHeight="1">
      <c r="A81" s="16" t="s">
        <v>62</v>
      </c>
    </row>
    <row r="82" ht="15.75" customHeight="1">
      <c r="A82" s="16" t="s">
        <v>63</v>
      </c>
    </row>
    <row r="83" ht="15.75" customHeight="1">
      <c r="A83" s="16" t="s">
        <v>64</v>
      </c>
    </row>
    <row r="84" ht="15.75" customHeight="1">
      <c r="A84" s="16" t="s">
        <v>65</v>
      </c>
    </row>
    <row r="85" ht="15.75" customHeight="1">
      <c r="A85" s="16" t="s">
        <v>66</v>
      </c>
    </row>
    <row r="86" ht="15.75" customHeight="1">
      <c r="A86" s="16" t="s">
        <v>67</v>
      </c>
    </row>
    <row r="87" ht="15.75" customHeight="1">
      <c r="A87" s="1" t="s">
        <v>57</v>
      </c>
    </row>
    <row r="88" ht="15.75" customHeight="1">
      <c r="A88" s="8" t="s">
        <v>49</v>
      </c>
    </row>
    <row r="89" ht="15.75" customHeight="1">
      <c r="A89" s="1"/>
    </row>
    <row r="90" ht="15.75" customHeight="1">
      <c r="A90" s="5" t="s">
        <v>68</v>
      </c>
      <c r="B90" s="15">
        <v>1500000.0</v>
      </c>
      <c r="C90" s="15">
        <v>1550000.0</v>
      </c>
      <c r="D90" s="15">
        <v>1566800.0</v>
      </c>
      <c r="E90" s="15">
        <v>1576000.0</v>
      </c>
      <c r="F90" s="15">
        <v>1308000.0</v>
      </c>
      <c r="G90" s="15">
        <v>1308000.0</v>
      </c>
      <c r="H90" s="15">
        <v>1300000.0</v>
      </c>
      <c r="I90" s="15">
        <v>1300000.0</v>
      </c>
      <c r="J90" s="15">
        <v>1300000.0</v>
      </c>
    </row>
    <row r="91" ht="15.75" customHeight="1">
      <c r="A91" s="5" t="s">
        <v>69</v>
      </c>
      <c r="C91" s="15">
        <f t="shared" ref="C91:J91" si="11">C90-B90</f>
        <v>50000</v>
      </c>
      <c r="D91" s="44">
        <f t="shared" si="11"/>
        <v>16800</v>
      </c>
      <c r="E91" s="15">
        <f t="shared" si="11"/>
        <v>9200</v>
      </c>
      <c r="F91" s="44">
        <f t="shared" si="11"/>
        <v>-268000</v>
      </c>
      <c r="G91" s="15">
        <f t="shared" si="11"/>
        <v>0</v>
      </c>
      <c r="H91" s="44">
        <f t="shared" si="11"/>
        <v>-8000</v>
      </c>
      <c r="I91" s="15">
        <f t="shared" si="11"/>
        <v>0</v>
      </c>
      <c r="J91" s="44">
        <f t="shared" si="11"/>
        <v>0</v>
      </c>
    </row>
    <row r="92" ht="15.75" customHeight="1">
      <c r="A92" s="5"/>
    </row>
    <row r="93" ht="15.75" customHeight="1">
      <c r="A93" s="5" t="s">
        <v>70</v>
      </c>
      <c r="B93" s="49">
        <v>1305351.0</v>
      </c>
      <c r="C93" s="49">
        <v>1444541.0</v>
      </c>
      <c r="D93" s="15">
        <v>1653500.0</v>
      </c>
      <c r="E93" s="15">
        <v>1753700.0</v>
      </c>
      <c r="F93" s="15">
        <v>1461126.0</v>
      </c>
      <c r="G93" s="15">
        <v>1361722.0</v>
      </c>
      <c r="H93" s="15">
        <v>1414227.0</v>
      </c>
      <c r="I93" s="15">
        <v>1706831.0</v>
      </c>
      <c r="J93" s="15">
        <v>1852256.0</v>
      </c>
    </row>
    <row r="94" ht="15.75" customHeight="1">
      <c r="A94" s="5" t="s">
        <v>71</v>
      </c>
      <c r="B94" s="49">
        <v>123897.0</v>
      </c>
      <c r="C94" s="49">
        <v>124062.0</v>
      </c>
      <c r="D94" s="15">
        <v>126074.0</v>
      </c>
      <c r="E94" s="15">
        <v>108749.0</v>
      </c>
      <c r="F94" s="15">
        <v>102171.0</v>
      </c>
      <c r="G94" s="15">
        <v>96139.0</v>
      </c>
      <c r="H94" s="15">
        <v>238376.0</v>
      </c>
      <c r="I94" s="15">
        <v>259333.0</v>
      </c>
      <c r="J94" s="15">
        <v>283067.0</v>
      </c>
    </row>
    <row r="95" ht="15.75" customHeight="1">
      <c r="A95" s="17" t="s">
        <v>49</v>
      </c>
      <c r="B95" s="19">
        <f t="shared" ref="B95:J95" si="12">SUM(B93:B94)</f>
        <v>1429248</v>
      </c>
      <c r="C95" s="19">
        <f t="shared" si="12"/>
        <v>1568603</v>
      </c>
      <c r="D95" s="44">
        <f t="shared" si="12"/>
        <v>1779574</v>
      </c>
      <c r="E95" s="44">
        <f t="shared" si="12"/>
        <v>1862449</v>
      </c>
      <c r="F95" s="44">
        <f t="shared" si="12"/>
        <v>1563297</v>
      </c>
      <c r="G95" s="44">
        <f t="shared" si="12"/>
        <v>1457861</v>
      </c>
      <c r="H95" s="44">
        <f t="shared" si="12"/>
        <v>1652603</v>
      </c>
      <c r="I95" s="44">
        <f t="shared" si="12"/>
        <v>1966164</v>
      </c>
      <c r="J95" s="44">
        <f t="shared" si="12"/>
        <v>2135323</v>
      </c>
    </row>
    <row r="96" ht="15.75" customHeight="1">
      <c r="A96" s="5"/>
    </row>
    <row r="97" ht="15.75" customHeight="1">
      <c r="A97" s="5" t="s">
        <v>72</v>
      </c>
      <c r="B97" s="67">
        <f t="shared" ref="B97:J97" si="13">B95/B90</f>
        <v>0.952832</v>
      </c>
      <c r="C97" s="67">
        <f t="shared" si="13"/>
        <v>1.012001935</v>
      </c>
      <c r="D97" s="67">
        <f t="shared" si="13"/>
        <v>1.135801634</v>
      </c>
      <c r="E97" s="67">
        <f t="shared" si="13"/>
        <v>1.18175698</v>
      </c>
      <c r="F97" s="67">
        <f t="shared" si="13"/>
        <v>1.195181193</v>
      </c>
      <c r="G97" s="67">
        <f t="shared" si="13"/>
        <v>1.11457263</v>
      </c>
      <c r="H97" s="67">
        <f t="shared" si="13"/>
        <v>1.271233077</v>
      </c>
      <c r="I97" s="67">
        <f t="shared" si="13"/>
        <v>1.512433846</v>
      </c>
      <c r="J97" s="67">
        <f t="shared" si="13"/>
        <v>1.642556154</v>
      </c>
    </row>
    <row r="98" ht="15.75" customHeight="1">
      <c r="A98" s="5"/>
    </row>
    <row r="99" ht="15.75" customHeight="1">
      <c r="A99" s="17" t="s">
        <v>73</v>
      </c>
    </row>
    <row r="100" ht="15.75" customHeight="1">
      <c r="A100" s="5" t="s">
        <v>74</v>
      </c>
    </row>
    <row r="101" ht="15.75" customHeight="1">
      <c r="A101" s="5" t="s">
        <v>75</v>
      </c>
    </row>
    <row r="102" ht="15.75" customHeight="1">
      <c r="A102" s="5"/>
    </row>
    <row r="103" ht="15.75" customHeight="1">
      <c r="A103" s="17" t="s">
        <v>76</v>
      </c>
    </row>
    <row r="104" ht="15.75" customHeight="1">
      <c r="A104" s="5" t="s">
        <v>77</v>
      </c>
    </row>
    <row r="105" ht="15.75" customHeight="1">
      <c r="A105" s="5" t="s">
        <v>71</v>
      </c>
    </row>
    <row r="106" ht="15.75" customHeight="1">
      <c r="A106" s="5" t="s">
        <v>49</v>
      </c>
    </row>
    <row r="107" ht="15.75" customHeight="1">
      <c r="A107" s="5" t="s">
        <v>78</v>
      </c>
    </row>
    <row r="108" ht="15.75" customHeight="1">
      <c r="A108" s="5" t="s">
        <v>79</v>
      </c>
    </row>
    <row r="109" ht="15.75" customHeight="1">
      <c r="A109" s="5"/>
    </row>
    <row r="110" ht="15.75" customHeight="1">
      <c r="A110" s="17" t="s">
        <v>80</v>
      </c>
    </row>
    <row r="111" ht="15.75" customHeight="1">
      <c r="A111" s="5" t="s">
        <v>70</v>
      </c>
    </row>
    <row r="112" ht="15.75" customHeight="1">
      <c r="A112" s="5" t="s">
        <v>71</v>
      </c>
    </row>
    <row r="113" ht="15.75" customHeight="1">
      <c r="A113" s="5" t="s">
        <v>81</v>
      </c>
    </row>
    <row r="114" ht="15.75" customHeight="1">
      <c r="A114" s="5"/>
    </row>
    <row r="115" ht="15.75" customHeight="1">
      <c r="A115" s="5"/>
    </row>
    <row r="116" ht="15.75" customHeight="1">
      <c r="A116" s="5" t="s">
        <v>82</v>
      </c>
    </row>
    <row r="117" ht="15.75" customHeight="1">
      <c r="A117" s="5" t="s">
        <v>83</v>
      </c>
    </row>
    <row r="118" ht="15.75" customHeight="1">
      <c r="A118" s="5"/>
    </row>
    <row r="119" ht="15.75" customHeight="1">
      <c r="A119" s="17" t="s">
        <v>84</v>
      </c>
    </row>
    <row r="120" ht="15.75" customHeight="1">
      <c r="A120" s="5"/>
    </row>
    <row r="121" ht="15.75" customHeight="1">
      <c r="A121" s="1" t="s">
        <v>5</v>
      </c>
    </row>
    <row r="122" ht="15.75" customHeight="1">
      <c r="A122" s="1" t="s">
        <v>6</v>
      </c>
    </row>
    <row r="123" ht="15.75" customHeight="1">
      <c r="A123" s="1" t="s">
        <v>8</v>
      </c>
    </row>
    <row r="124" ht="15.75" customHeight="1">
      <c r="A124" s="1" t="s">
        <v>10</v>
      </c>
    </row>
    <row r="125" ht="15.75" customHeight="1">
      <c r="A125" s="1" t="s">
        <v>12</v>
      </c>
    </row>
    <row r="126" ht="15.75" customHeight="1">
      <c r="A126" s="1" t="s">
        <v>85</v>
      </c>
    </row>
    <row r="127" ht="15.75" customHeight="1">
      <c r="A127" s="5"/>
    </row>
    <row r="128" ht="15.75" customHeight="1">
      <c r="A128" s="5"/>
    </row>
    <row r="129" ht="15.75" customHeight="1">
      <c r="A129" s="18" t="s">
        <v>86</v>
      </c>
    </row>
    <row r="130" ht="15.75" customHeight="1">
      <c r="A130" s="5"/>
    </row>
    <row r="131" ht="15.75" customHeight="1">
      <c r="A131" s="1" t="s">
        <v>5</v>
      </c>
    </row>
    <row r="132" ht="15.75" customHeight="1">
      <c r="A132" s="1" t="s">
        <v>6</v>
      </c>
    </row>
    <row r="133" ht="15.75" customHeight="1">
      <c r="A133" s="1" t="s">
        <v>8</v>
      </c>
    </row>
    <row r="134" ht="15.75" customHeight="1">
      <c r="A134" s="1" t="s">
        <v>10</v>
      </c>
    </row>
    <row r="135" ht="15.75" customHeight="1">
      <c r="A135" s="1" t="s">
        <v>12</v>
      </c>
    </row>
    <row r="136" ht="15.75" customHeight="1">
      <c r="A136" s="1" t="s">
        <v>85</v>
      </c>
    </row>
    <row r="137" ht="15.75" customHeight="1">
      <c r="A137" s="5"/>
    </row>
    <row r="138" ht="15.75" customHeight="1">
      <c r="A138" s="1" t="s">
        <v>83</v>
      </c>
    </row>
    <row r="139" ht="15.75" customHeight="1">
      <c r="A139" s="1" t="s">
        <v>5</v>
      </c>
    </row>
    <row r="140" ht="15.75" customHeight="1">
      <c r="A140" s="1" t="s">
        <v>6</v>
      </c>
    </row>
    <row r="141" ht="15.75" customHeight="1">
      <c r="A141" s="1" t="s">
        <v>8</v>
      </c>
    </row>
    <row r="142" ht="15.75" customHeight="1">
      <c r="A142" s="1" t="s">
        <v>10</v>
      </c>
    </row>
    <row r="143" ht="15.75" customHeight="1">
      <c r="A143" s="1" t="s">
        <v>12</v>
      </c>
    </row>
    <row r="144" ht="15.75" customHeight="1">
      <c r="A144" s="1" t="s">
        <v>85</v>
      </c>
    </row>
    <row r="145" ht="15.75" customHeight="1">
      <c r="A145" s="5"/>
    </row>
    <row r="146" ht="15.75" customHeight="1">
      <c r="A146" s="5"/>
    </row>
    <row r="147" ht="15.75" customHeight="1">
      <c r="A147" s="5"/>
    </row>
    <row r="148" ht="15.75" customHeight="1">
      <c r="A148" s="18" t="s">
        <v>87</v>
      </c>
    </row>
    <row r="149" ht="15.75" customHeight="1">
      <c r="A149" s="5"/>
    </row>
    <row r="150" ht="15.75" customHeight="1">
      <c r="A150" s="5" t="s">
        <v>60</v>
      </c>
    </row>
    <row r="151" ht="15.75" customHeight="1">
      <c r="A151" s="16" t="s">
        <v>61</v>
      </c>
    </row>
    <row r="152" ht="15.75" customHeight="1">
      <c r="A152" s="16" t="s">
        <v>62</v>
      </c>
    </row>
    <row r="153" ht="15.75" customHeight="1">
      <c r="A153" s="16" t="s">
        <v>64</v>
      </c>
    </row>
    <row r="154" ht="15.75" customHeight="1">
      <c r="A154" s="16" t="s">
        <v>65</v>
      </c>
    </row>
    <row r="155" ht="15.75" customHeight="1">
      <c r="A155" s="16" t="s">
        <v>66</v>
      </c>
    </row>
    <row r="156" ht="15.75" customHeight="1">
      <c r="A156" s="1" t="s">
        <v>57</v>
      </c>
    </row>
    <row r="157" ht="15.75" customHeight="1">
      <c r="A157" s="5"/>
    </row>
    <row r="158" ht="15.75" customHeight="1">
      <c r="A158" s="5" t="s">
        <v>42</v>
      </c>
    </row>
    <row r="159" ht="15.75" customHeight="1">
      <c r="A159" s="1" t="s">
        <v>43</v>
      </c>
    </row>
    <row r="160" ht="15.75" customHeight="1">
      <c r="A160" s="1" t="s">
        <v>44</v>
      </c>
    </row>
    <row r="161" ht="15.75" customHeight="1">
      <c r="A161" s="1" t="s">
        <v>45</v>
      </c>
    </row>
    <row r="162" ht="15.75" customHeight="1">
      <c r="A162" s="1" t="s">
        <v>46</v>
      </c>
    </row>
    <row r="163" ht="15.75" customHeight="1">
      <c r="A163" s="1" t="s">
        <v>47</v>
      </c>
    </row>
    <row r="164" ht="15.75" customHeight="1">
      <c r="A164" s="1" t="s">
        <v>48</v>
      </c>
    </row>
    <row r="165" ht="15.75" customHeight="1">
      <c r="A165" s="5"/>
    </row>
    <row r="166" ht="15.75" customHeight="1">
      <c r="A166" s="1" t="s">
        <v>88</v>
      </c>
    </row>
    <row r="167" ht="15.75" customHeight="1">
      <c r="A167" s="5"/>
    </row>
    <row r="168" ht="15.75" customHeight="1">
      <c r="A168" s="18" t="s">
        <v>89</v>
      </c>
    </row>
    <row r="169" ht="15.75" customHeight="1">
      <c r="A169" s="5" t="s">
        <v>60</v>
      </c>
    </row>
    <row r="170" ht="15.75" customHeight="1">
      <c r="A170" s="16" t="s">
        <v>61</v>
      </c>
    </row>
    <row r="171" ht="15.75" customHeight="1">
      <c r="A171" s="16" t="s">
        <v>62</v>
      </c>
    </row>
    <row r="172" ht="15.75" customHeight="1">
      <c r="A172" s="16" t="s">
        <v>64</v>
      </c>
    </row>
    <row r="173" ht="15.75" customHeight="1">
      <c r="A173" s="16" t="s">
        <v>65</v>
      </c>
    </row>
    <row r="174" ht="15.75" customHeight="1">
      <c r="A174" s="16" t="s">
        <v>66</v>
      </c>
    </row>
    <row r="175" ht="15.75" customHeight="1">
      <c r="A175" s="1" t="s">
        <v>57</v>
      </c>
    </row>
    <row r="176" ht="15.75" customHeight="1">
      <c r="A176" s="5"/>
    </row>
    <row r="177" ht="15.75" customHeight="1">
      <c r="A177" s="5" t="s">
        <v>42</v>
      </c>
    </row>
    <row r="178" ht="15.75" customHeight="1">
      <c r="A178" s="1" t="s">
        <v>43</v>
      </c>
    </row>
    <row r="179" ht="15.75" customHeight="1">
      <c r="A179" s="1" t="s">
        <v>44</v>
      </c>
    </row>
    <row r="180" ht="15.75" customHeight="1">
      <c r="A180" s="1" t="s">
        <v>45</v>
      </c>
    </row>
    <row r="181" ht="15.75" customHeight="1">
      <c r="A181" s="1" t="s">
        <v>46</v>
      </c>
    </row>
    <row r="182" ht="15.75" customHeight="1">
      <c r="A182" s="1" t="s">
        <v>47</v>
      </c>
    </row>
    <row r="183" ht="15.75" customHeight="1">
      <c r="A183" s="1" t="s">
        <v>48</v>
      </c>
    </row>
    <row r="184" ht="15.75" customHeight="1">
      <c r="A184" s="5"/>
    </row>
    <row r="185" ht="15.75" customHeight="1">
      <c r="A185" s="1" t="s">
        <v>90</v>
      </c>
    </row>
    <row r="186" ht="15.75" customHeight="1">
      <c r="A186" s="1" t="s">
        <v>91</v>
      </c>
    </row>
    <row r="187" ht="15.75" customHeight="1">
      <c r="A187" s="5"/>
    </row>
    <row r="188" ht="15.75" customHeight="1">
      <c r="A188" s="5"/>
    </row>
    <row r="189" ht="15.75" customHeight="1">
      <c r="A189" s="5"/>
    </row>
    <row r="190" ht="15.75" customHeight="1">
      <c r="A190" s="18" t="s">
        <v>92</v>
      </c>
    </row>
    <row r="191" ht="15.75" customHeight="1">
      <c r="A191" s="5" t="s">
        <v>93</v>
      </c>
    </row>
    <row r="192" ht="15.75" customHeight="1">
      <c r="A192" s="5" t="s">
        <v>94</v>
      </c>
    </row>
    <row r="193" ht="15.75" customHeight="1">
      <c r="A193" s="5" t="s">
        <v>49</v>
      </c>
    </row>
    <row r="194" ht="15.75" customHeight="1">
      <c r="A194" s="5"/>
    </row>
    <row r="195" ht="15.75" customHeight="1">
      <c r="A195" s="5" t="s">
        <v>95</v>
      </c>
    </row>
    <row r="196" ht="15.75" customHeight="1">
      <c r="A196" s="5"/>
    </row>
    <row r="197" ht="15.75" customHeight="1">
      <c r="A197" s="5" t="s">
        <v>96</v>
      </c>
    </row>
    <row r="198" ht="15.75" customHeight="1">
      <c r="A198" s="5" t="s">
        <v>97</v>
      </c>
    </row>
    <row r="199" ht="15.75" customHeight="1">
      <c r="A199" s="5" t="s">
        <v>98</v>
      </c>
    </row>
    <row r="200" ht="15.75" customHeight="1">
      <c r="A200" s="5"/>
    </row>
    <row r="201" ht="15.75" customHeight="1">
      <c r="A201" s="5" t="s">
        <v>99</v>
      </c>
    </row>
    <row r="202" ht="15.75" customHeight="1">
      <c r="A202" s="5" t="s">
        <v>100</v>
      </c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1"/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</row>
    <row r="5" ht="15.75" customHeight="1">
      <c r="A5" s="7"/>
    </row>
    <row r="6" ht="15.75" customHeight="1">
      <c r="A6" s="8" t="s">
        <v>3</v>
      </c>
      <c r="B6" s="9">
        <f t="shared" ref="B6:J6" si="2">SUM(B3:B4)</f>
        <v>586120</v>
      </c>
      <c r="C6" s="9">
        <f t="shared" si="2"/>
        <v>703746</v>
      </c>
      <c r="D6" s="9">
        <f t="shared" si="2"/>
        <v>818552</v>
      </c>
      <c r="E6" s="9">
        <f t="shared" si="2"/>
        <v>886301</v>
      </c>
      <c r="F6" s="9">
        <f t="shared" si="2"/>
        <v>789944</v>
      </c>
      <c r="G6" s="9">
        <f t="shared" si="2"/>
        <v>733083</v>
      </c>
      <c r="H6" s="9">
        <f t="shared" si="2"/>
        <v>900745</v>
      </c>
      <c r="I6" s="9">
        <f t="shared" si="2"/>
        <v>1206746</v>
      </c>
      <c r="J6" s="9">
        <f t="shared" si="2"/>
        <v>1459517</v>
      </c>
      <c r="K6" s="10"/>
      <c r="L6" s="10"/>
      <c r="M6" s="10"/>
      <c r="N6" s="10"/>
      <c r="O6" s="10"/>
      <c r="P6" s="10"/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</row>
    <row r="15" ht="15.75" customHeight="1">
      <c r="A15" s="7"/>
    </row>
    <row r="16" ht="15.75" customHeight="1">
      <c r="A16" s="8" t="s">
        <v>14</v>
      </c>
      <c r="B16" s="13">
        <f t="shared" ref="B16:J16" si="3">SUM(B9:B14)</f>
        <v>494932</v>
      </c>
      <c r="C16" s="13">
        <f t="shared" si="3"/>
        <v>577269</v>
      </c>
      <c r="D16" s="13">
        <f t="shared" si="3"/>
        <v>677460</v>
      </c>
      <c r="E16" s="13">
        <f t="shared" si="3"/>
        <v>750653</v>
      </c>
      <c r="F16" s="13">
        <f t="shared" si="3"/>
        <v>683474</v>
      </c>
      <c r="G16" s="13">
        <f t="shared" si="3"/>
        <v>650204</v>
      </c>
      <c r="H16" s="13">
        <f t="shared" si="3"/>
        <v>826236</v>
      </c>
      <c r="I16" s="13">
        <f t="shared" si="3"/>
        <v>1053155</v>
      </c>
      <c r="J16" s="13">
        <f t="shared" si="3"/>
        <v>1233319</v>
      </c>
      <c r="K16" s="14"/>
      <c r="L16" s="14"/>
      <c r="M16" s="14"/>
      <c r="N16" s="14"/>
      <c r="O16" s="14"/>
      <c r="P16" s="14"/>
    </row>
    <row r="17" ht="15.75" customHeight="1">
      <c r="A17" s="7"/>
    </row>
    <row r="18" ht="15.75" customHeight="1">
      <c r="A18" s="4" t="s">
        <v>15</v>
      </c>
      <c r="B18" s="6">
        <f t="shared" ref="B18:J18" si="4">B6-B16</f>
        <v>91188</v>
      </c>
      <c r="C18" s="6">
        <f t="shared" si="4"/>
        <v>126477</v>
      </c>
      <c r="D18" s="6">
        <f t="shared" si="4"/>
        <v>141092</v>
      </c>
      <c r="E18" s="6">
        <f t="shared" si="4"/>
        <v>135648</v>
      </c>
      <c r="F18" s="6">
        <f t="shared" si="4"/>
        <v>106470</v>
      </c>
      <c r="G18" s="6">
        <f t="shared" si="4"/>
        <v>82879</v>
      </c>
      <c r="H18" s="6">
        <f t="shared" si="4"/>
        <v>74509</v>
      </c>
      <c r="I18" s="6">
        <f t="shared" si="4"/>
        <v>153591</v>
      </c>
      <c r="J18" s="6">
        <f t="shared" si="4"/>
        <v>226198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</row>
    <row r="21" ht="15.75" customHeight="1">
      <c r="A21" s="7"/>
    </row>
    <row r="22" ht="15.75" customHeight="1">
      <c r="A22" s="7" t="s">
        <v>18</v>
      </c>
      <c r="B22" s="6">
        <f t="shared" ref="B22:J22" si="5">B18-B20</f>
        <v>62518</v>
      </c>
      <c r="C22" s="6">
        <f t="shared" si="5"/>
        <v>100438</v>
      </c>
      <c r="D22" s="6">
        <f t="shared" si="5"/>
        <v>113494</v>
      </c>
      <c r="E22" s="6">
        <f t="shared" si="5"/>
        <v>105440</v>
      </c>
      <c r="F22" s="6">
        <f t="shared" si="5"/>
        <v>71186</v>
      </c>
      <c r="G22" s="6">
        <f t="shared" si="5"/>
        <v>52538</v>
      </c>
      <c r="H22" s="6">
        <f t="shared" si="5"/>
        <v>46619</v>
      </c>
      <c r="I22" s="6">
        <f t="shared" si="5"/>
        <v>105131</v>
      </c>
      <c r="J22" s="6">
        <f t="shared" si="5"/>
        <v>173640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</row>
    <row r="25" ht="15.75" customHeight="1">
      <c r="A25" s="7"/>
    </row>
    <row r="26" ht="15.75" customHeight="1">
      <c r="A26" s="7" t="s">
        <v>23</v>
      </c>
      <c r="B26" s="6">
        <f t="shared" ref="B26:J26" si="6">B22-B24</f>
        <v>61581</v>
      </c>
      <c r="C26" s="6">
        <f t="shared" si="6"/>
        <v>99544</v>
      </c>
      <c r="D26" s="6">
        <f t="shared" si="6"/>
        <v>110036</v>
      </c>
      <c r="E26" s="6">
        <f t="shared" si="6"/>
        <v>104681</v>
      </c>
      <c r="F26" s="6">
        <f t="shared" si="6"/>
        <v>69844</v>
      </c>
      <c r="G26" s="6">
        <f t="shared" si="6"/>
        <v>51520</v>
      </c>
      <c r="H26" s="6">
        <f t="shared" si="6"/>
        <v>45353</v>
      </c>
      <c r="I26" s="6">
        <f t="shared" si="6"/>
        <v>102608</v>
      </c>
      <c r="J26" s="6">
        <f t="shared" si="6"/>
        <v>171704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</row>
    <row r="28" ht="15.75" customHeight="1">
      <c r="A28" s="7" t="s">
        <v>25</v>
      </c>
      <c r="B28" s="6">
        <f t="shared" ref="B28:J28" si="7">SUM(B26:B27)</f>
        <v>66296</v>
      </c>
      <c r="C28" s="6">
        <f t="shared" si="7"/>
        <v>101272</v>
      </c>
      <c r="D28" s="6">
        <f t="shared" si="7"/>
        <v>111669</v>
      </c>
      <c r="E28" s="6">
        <f t="shared" si="7"/>
        <v>102651</v>
      </c>
      <c r="F28" s="6">
        <f t="shared" si="7"/>
        <v>65427</v>
      </c>
      <c r="G28" s="6">
        <f t="shared" si="7"/>
        <v>56656</v>
      </c>
      <c r="H28" s="6">
        <f t="shared" si="7"/>
        <v>48482</v>
      </c>
      <c r="I28" s="6">
        <f t="shared" si="7"/>
        <v>103194</v>
      </c>
      <c r="J28" s="6">
        <f t="shared" si="7"/>
        <v>174373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</row>
    <row r="31" ht="15.75" customHeight="1">
      <c r="A31" s="7"/>
    </row>
    <row r="32" ht="15.75" customHeight="1">
      <c r="A32" s="7" t="s">
        <v>27</v>
      </c>
      <c r="B32" s="6">
        <f t="shared" ref="B32:J32" si="8">B28-B30</f>
        <v>46309</v>
      </c>
      <c r="C32" s="6">
        <f t="shared" si="8"/>
        <v>75110</v>
      </c>
      <c r="D32" s="6">
        <f t="shared" si="8"/>
        <v>78807</v>
      </c>
      <c r="E32" s="6">
        <f t="shared" si="8"/>
        <v>72919</v>
      </c>
      <c r="F32" s="6">
        <f t="shared" si="8"/>
        <v>51175</v>
      </c>
      <c r="G32" s="6">
        <f t="shared" si="8"/>
        <v>47337</v>
      </c>
      <c r="H32" s="6">
        <f t="shared" si="8"/>
        <v>40305</v>
      </c>
      <c r="I32" s="6">
        <f t="shared" si="8"/>
        <v>81449</v>
      </c>
      <c r="J32" s="6">
        <f t="shared" si="8"/>
        <v>135010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9">B32+B33</f>
        <v>46988</v>
      </c>
      <c r="C36" s="9">
        <f t="shared" si="9"/>
        <v>77326</v>
      </c>
      <c r="D36" s="9">
        <f t="shared" si="9"/>
        <v>82118</v>
      </c>
      <c r="E36" s="9">
        <f>E32+F33</f>
        <v>74103</v>
      </c>
      <c r="F36" s="9">
        <f t="shared" ref="F36:J36" si="10">F32+F33</f>
        <v>52359</v>
      </c>
      <c r="G36" s="9">
        <f t="shared" si="10"/>
        <v>49027</v>
      </c>
      <c r="H36" s="9">
        <f t="shared" si="10"/>
        <v>41924</v>
      </c>
      <c r="I36" s="9">
        <f t="shared" si="10"/>
        <v>83223</v>
      </c>
      <c r="J36" s="9">
        <f t="shared" si="10"/>
        <v>137551</v>
      </c>
      <c r="K36" s="10"/>
      <c r="L36" s="10"/>
      <c r="M36" s="10"/>
      <c r="N36" s="10"/>
      <c r="O36" s="10"/>
      <c r="P36" s="10"/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</row>
    <row r="42" ht="15.75" customHeight="1">
      <c r="A42" s="1" t="s">
        <v>32</v>
      </c>
    </row>
    <row r="43" ht="15.75" customHeight="1">
      <c r="A43" s="1" t="s">
        <v>33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</row>
    <row r="47" ht="15.75" customHeight="1">
      <c r="A47" s="7" t="s">
        <v>36</v>
      </c>
    </row>
    <row r="48" ht="15.75" customHeight="1">
      <c r="A48" s="7"/>
    </row>
    <row r="49" ht="15.75" customHeight="1">
      <c r="A49" s="7" t="s">
        <v>37</v>
      </c>
    </row>
    <row r="50" ht="15.75" customHeight="1">
      <c r="A50" s="1" t="s">
        <v>38</v>
      </c>
    </row>
    <row r="51" ht="15.75" customHeight="1">
      <c r="A51" s="1" t="s">
        <v>39</v>
      </c>
    </row>
    <row r="52" ht="15.75" customHeight="1">
      <c r="A52" s="1" t="s">
        <v>40</v>
      </c>
    </row>
    <row r="53" ht="15.75" customHeight="1">
      <c r="A53" s="1" t="s">
        <v>41</v>
      </c>
    </row>
    <row r="54" ht="15.75" customHeight="1">
      <c r="A54" s="7"/>
    </row>
    <row r="55" ht="15.75" customHeight="1">
      <c r="A55" s="1" t="s">
        <v>42</v>
      </c>
    </row>
    <row r="56" ht="15.75" customHeight="1">
      <c r="A56" s="1" t="s">
        <v>43</v>
      </c>
    </row>
    <row r="57" ht="15.75" customHeight="1">
      <c r="A57" s="1" t="s">
        <v>44</v>
      </c>
    </row>
    <row r="58" ht="15.75" customHeight="1">
      <c r="A58" s="1" t="s">
        <v>45</v>
      </c>
    </row>
    <row r="59" ht="15.75" customHeight="1">
      <c r="A59" s="1" t="s">
        <v>46</v>
      </c>
    </row>
    <row r="60" ht="15.75" customHeight="1">
      <c r="A60" s="1" t="s">
        <v>47</v>
      </c>
    </row>
    <row r="61" ht="15.75" customHeight="1">
      <c r="A61" s="1" t="s">
        <v>48</v>
      </c>
    </row>
    <row r="62" ht="15.75" customHeight="1">
      <c r="A62" s="8" t="s">
        <v>49</v>
      </c>
    </row>
    <row r="63" ht="15.75" customHeight="1">
      <c r="A63" s="7"/>
    </row>
    <row r="64" ht="15.75" customHeight="1">
      <c r="A64" s="7"/>
    </row>
    <row r="65" ht="15.75" customHeight="1">
      <c r="A65" s="4" t="s">
        <v>50</v>
      </c>
    </row>
    <row r="66" ht="15.75" customHeight="1">
      <c r="A66" s="7"/>
    </row>
    <row r="67" ht="15.75" customHeight="1">
      <c r="A67" s="1" t="s">
        <v>51</v>
      </c>
    </row>
    <row r="68" ht="15.75" customHeight="1">
      <c r="A68" s="16" t="s">
        <v>52</v>
      </c>
    </row>
    <row r="69" ht="15.75" customHeight="1">
      <c r="A69" s="16" t="s">
        <v>53</v>
      </c>
    </row>
    <row r="70" ht="15.75" customHeight="1">
      <c r="A70" s="16" t="s">
        <v>54</v>
      </c>
    </row>
    <row r="71" ht="15.75" customHeight="1">
      <c r="A71" s="16" t="s">
        <v>55</v>
      </c>
    </row>
    <row r="72" ht="15.75" customHeight="1">
      <c r="A72" s="1"/>
    </row>
    <row r="73" ht="15.75" customHeight="1">
      <c r="A73" s="1" t="s">
        <v>56</v>
      </c>
    </row>
    <row r="74" ht="15.75" customHeight="1">
      <c r="A74" s="1" t="s">
        <v>57</v>
      </c>
    </row>
    <row r="75" ht="15.75" customHeight="1">
      <c r="A75" s="1" t="s">
        <v>58</v>
      </c>
    </row>
    <row r="76" ht="15.75" customHeight="1">
      <c r="A76" s="1" t="s">
        <v>59</v>
      </c>
    </row>
    <row r="77" ht="15.75" customHeight="1">
      <c r="A77" s="1"/>
    </row>
    <row r="78" ht="15.75" customHeight="1">
      <c r="A78" s="1" t="s">
        <v>60</v>
      </c>
    </row>
    <row r="79" ht="15.75" customHeight="1">
      <c r="A79" s="1"/>
    </row>
    <row r="80" ht="15.75" customHeight="1">
      <c r="A80" s="16" t="s">
        <v>61</v>
      </c>
    </row>
    <row r="81" ht="15.75" customHeight="1">
      <c r="A81" s="16" t="s">
        <v>62</v>
      </c>
    </row>
    <row r="82" ht="15.75" customHeight="1">
      <c r="A82" s="16" t="s">
        <v>63</v>
      </c>
    </row>
    <row r="83" ht="15.75" customHeight="1">
      <c r="A83" s="16" t="s">
        <v>64</v>
      </c>
    </row>
    <row r="84" ht="15.75" customHeight="1">
      <c r="A84" s="16" t="s">
        <v>65</v>
      </c>
    </row>
    <row r="85" ht="15.75" customHeight="1">
      <c r="A85" s="16" t="s">
        <v>66</v>
      </c>
    </row>
    <row r="86" ht="15.75" customHeight="1">
      <c r="A86" s="16" t="s">
        <v>67</v>
      </c>
    </row>
    <row r="87" ht="15.75" customHeight="1">
      <c r="A87" s="1" t="s">
        <v>57</v>
      </c>
    </row>
    <row r="88" ht="15.75" customHeight="1">
      <c r="A88" s="8" t="s">
        <v>49</v>
      </c>
    </row>
    <row r="89" ht="15.75" customHeight="1">
      <c r="A89" s="1"/>
    </row>
    <row r="90" ht="15.75" customHeight="1">
      <c r="A90" s="5" t="s">
        <v>68</v>
      </c>
      <c r="B90" s="22">
        <v>1500000.0</v>
      </c>
      <c r="C90" s="22">
        <v>1550000.0</v>
      </c>
      <c r="D90" s="22">
        <v>1560000.0</v>
      </c>
      <c r="E90" s="15">
        <v>1580000.0</v>
      </c>
      <c r="F90" s="22">
        <v>1308000.0</v>
      </c>
      <c r="G90" s="22">
        <v>1308000.0</v>
      </c>
      <c r="H90" s="22">
        <v>1300000.0</v>
      </c>
      <c r="I90" s="22">
        <v>1300000.0</v>
      </c>
      <c r="J90" s="22">
        <v>1300000.0</v>
      </c>
    </row>
    <row r="91" ht="15.75" customHeight="1">
      <c r="A91" s="5" t="s">
        <v>69</v>
      </c>
      <c r="C91" s="19">
        <f t="shared" ref="C91:J91" si="11">C90-B90</f>
        <v>50000</v>
      </c>
      <c r="D91" s="19">
        <f t="shared" si="11"/>
        <v>10000</v>
      </c>
      <c r="E91" s="19">
        <f t="shared" si="11"/>
        <v>20000</v>
      </c>
      <c r="F91" s="19">
        <f t="shared" si="11"/>
        <v>-272000</v>
      </c>
      <c r="G91" s="19">
        <f t="shared" si="11"/>
        <v>0</v>
      </c>
      <c r="H91" s="19">
        <f t="shared" si="11"/>
        <v>-8000</v>
      </c>
      <c r="I91" s="19">
        <f t="shared" si="11"/>
        <v>0</v>
      </c>
      <c r="J91" s="19">
        <f t="shared" si="11"/>
        <v>0</v>
      </c>
    </row>
    <row r="92" ht="15.75" customHeight="1">
      <c r="A92" s="5"/>
    </row>
    <row r="93" ht="15.75" customHeight="1">
      <c r="A93" s="5" t="s">
        <v>70</v>
      </c>
      <c r="B93" s="22">
        <v>1305351.0</v>
      </c>
      <c r="C93" s="22">
        <v>1444541.0</v>
      </c>
      <c r="D93" s="22">
        <v>1653500.0</v>
      </c>
      <c r="E93" s="22">
        <v>1753700.0</v>
      </c>
      <c r="F93" s="22">
        <v>1461126.0</v>
      </c>
      <c r="G93" s="22">
        <v>1361722.0</v>
      </c>
      <c r="H93" s="22">
        <v>1414277.0</v>
      </c>
      <c r="I93" s="22">
        <v>1706831.0</v>
      </c>
      <c r="J93" s="22">
        <v>1852256.0</v>
      </c>
    </row>
    <row r="94" ht="15.75" customHeight="1">
      <c r="A94" s="5" t="s">
        <v>71</v>
      </c>
      <c r="B94" s="15">
        <v>123897.0</v>
      </c>
      <c r="C94" s="15">
        <v>124062.0</v>
      </c>
      <c r="D94" s="22">
        <v>126074.0</v>
      </c>
      <c r="E94" s="22">
        <v>108749.0</v>
      </c>
      <c r="F94" s="22">
        <v>102171.0</v>
      </c>
      <c r="G94" s="22">
        <v>96139.0</v>
      </c>
      <c r="H94" s="22">
        <v>238376.0</v>
      </c>
      <c r="I94" s="22">
        <v>259333.0</v>
      </c>
      <c r="J94" s="22">
        <v>283067.0</v>
      </c>
    </row>
    <row r="95" ht="15.75" customHeight="1">
      <c r="A95" s="5" t="s">
        <v>49</v>
      </c>
      <c r="B95" s="27">
        <f t="shared" ref="B95:J95" si="12">SUM(B93:B94)</f>
        <v>1429248</v>
      </c>
      <c r="C95" s="27">
        <f t="shared" si="12"/>
        <v>1568603</v>
      </c>
      <c r="D95" s="27">
        <f t="shared" si="12"/>
        <v>1779574</v>
      </c>
      <c r="E95" s="27">
        <f t="shared" si="12"/>
        <v>1862449</v>
      </c>
      <c r="F95" s="27">
        <f t="shared" si="12"/>
        <v>1563297</v>
      </c>
      <c r="G95" s="27">
        <f t="shared" si="12"/>
        <v>1457861</v>
      </c>
      <c r="H95" s="27">
        <f t="shared" si="12"/>
        <v>1652653</v>
      </c>
      <c r="I95" s="27">
        <f t="shared" si="12"/>
        <v>1966164</v>
      </c>
      <c r="J95" s="27">
        <f t="shared" si="12"/>
        <v>2135323</v>
      </c>
    </row>
    <row r="96" ht="15.75" customHeight="1">
      <c r="A96" s="5"/>
    </row>
    <row r="97" ht="15.75" customHeight="1">
      <c r="A97" s="5" t="s">
        <v>72</v>
      </c>
      <c r="B97" s="39">
        <f t="shared" ref="B97:J97" si="13">B95/B90</f>
        <v>0.952832</v>
      </c>
      <c r="C97" s="39">
        <f t="shared" si="13"/>
        <v>1.012001935</v>
      </c>
      <c r="D97" s="39">
        <f t="shared" si="13"/>
        <v>1.140752564</v>
      </c>
      <c r="E97" s="39">
        <f t="shared" si="13"/>
        <v>1.17876519</v>
      </c>
      <c r="F97" s="39">
        <f t="shared" si="13"/>
        <v>1.195181193</v>
      </c>
      <c r="G97" s="39">
        <f t="shared" si="13"/>
        <v>1.11457263</v>
      </c>
      <c r="H97" s="39">
        <f t="shared" si="13"/>
        <v>1.271271538</v>
      </c>
      <c r="I97" s="39">
        <f t="shared" si="13"/>
        <v>1.512433846</v>
      </c>
      <c r="J97" s="39">
        <f t="shared" si="13"/>
        <v>1.642556154</v>
      </c>
    </row>
    <row r="98" ht="15.75" customHeight="1">
      <c r="A98" s="5"/>
    </row>
    <row r="99" ht="15.75" customHeight="1">
      <c r="A99" s="17" t="s">
        <v>73</v>
      </c>
      <c r="C99" s="35">
        <f t="shared" ref="C99:J99" si="14">C93/B93-1</f>
        <v>0.106630324</v>
      </c>
      <c r="D99" s="35">
        <f t="shared" si="14"/>
        <v>0.1446542535</v>
      </c>
      <c r="E99" s="35">
        <f t="shared" si="14"/>
        <v>0.06059872997</v>
      </c>
      <c r="F99" s="35">
        <f t="shared" si="14"/>
        <v>-0.1668324115</v>
      </c>
      <c r="G99" s="35">
        <f t="shared" si="14"/>
        <v>-0.06803246263</v>
      </c>
      <c r="H99" s="35">
        <f t="shared" si="14"/>
        <v>0.03859451489</v>
      </c>
      <c r="I99" s="35">
        <f t="shared" si="14"/>
        <v>0.2068576382</v>
      </c>
      <c r="J99" s="35">
        <f t="shared" si="14"/>
        <v>0.08520175694</v>
      </c>
    </row>
    <row r="100" ht="15.75" customHeight="1">
      <c r="A100" s="5" t="s">
        <v>74</v>
      </c>
      <c r="C100" s="35">
        <f t="shared" ref="C100:J100" si="15">C94/B94-1</f>
        <v>0.001331751374</v>
      </c>
      <c r="D100" s="35">
        <f t="shared" si="15"/>
        <v>0.0162176976</v>
      </c>
      <c r="E100" s="35">
        <f t="shared" si="15"/>
        <v>-0.1374192934</v>
      </c>
      <c r="F100" s="35">
        <f t="shared" si="15"/>
        <v>-0.06048791253</v>
      </c>
      <c r="G100" s="35">
        <f t="shared" si="15"/>
        <v>-0.05903827896</v>
      </c>
      <c r="H100" s="35">
        <f t="shared" si="15"/>
        <v>1.479493234</v>
      </c>
      <c r="I100" s="35">
        <f t="shared" si="15"/>
        <v>0.08791572977</v>
      </c>
      <c r="J100" s="35">
        <f t="shared" si="15"/>
        <v>0.09151939784</v>
      </c>
    </row>
    <row r="101" ht="15.75" customHeight="1">
      <c r="A101" s="5" t="s">
        <v>75</v>
      </c>
      <c r="C101" s="35">
        <f t="shared" ref="C101:J101" si="16">C95/B95-1</f>
        <v>0.0975023229</v>
      </c>
      <c r="D101" s="35">
        <f t="shared" si="16"/>
        <v>0.134496109</v>
      </c>
      <c r="E101" s="35">
        <f t="shared" si="16"/>
        <v>0.0465701342</v>
      </c>
      <c r="F101" s="35">
        <f t="shared" si="16"/>
        <v>-0.1606229218</v>
      </c>
      <c r="G101" s="35">
        <f t="shared" si="16"/>
        <v>-0.06744463784</v>
      </c>
      <c r="H101" s="35">
        <f t="shared" si="16"/>
        <v>0.1336149331</v>
      </c>
      <c r="I101" s="35">
        <f t="shared" si="16"/>
        <v>0.1897016494</v>
      </c>
      <c r="J101" s="35">
        <f t="shared" si="16"/>
        <v>0.08603504082</v>
      </c>
    </row>
    <row r="102" ht="15.75" customHeight="1">
      <c r="A102" s="5"/>
    </row>
    <row r="103" ht="15.75" customHeight="1">
      <c r="A103" s="17" t="s">
        <v>76</v>
      </c>
    </row>
    <row r="104" ht="15.75" customHeight="1">
      <c r="A104" s="5" t="s">
        <v>77</v>
      </c>
    </row>
    <row r="105" ht="15.75" customHeight="1">
      <c r="A105" s="5" t="s">
        <v>71</v>
      </c>
    </row>
    <row r="106" ht="15.75" customHeight="1">
      <c r="A106" s="5" t="s">
        <v>49</v>
      </c>
    </row>
    <row r="107" ht="15.75" customHeight="1">
      <c r="A107" s="5" t="s">
        <v>78</v>
      </c>
    </row>
    <row r="108" ht="15.75" customHeight="1">
      <c r="A108" s="5" t="s">
        <v>79</v>
      </c>
    </row>
    <row r="109" ht="15.75" customHeight="1">
      <c r="A109" s="5"/>
    </row>
    <row r="110" ht="15.75" customHeight="1">
      <c r="A110" s="17" t="s">
        <v>80</v>
      </c>
    </row>
    <row r="111" ht="15.75" customHeight="1">
      <c r="A111" s="5" t="s">
        <v>70</v>
      </c>
    </row>
    <row r="112" ht="15.75" customHeight="1">
      <c r="A112" s="5" t="s">
        <v>71</v>
      </c>
    </row>
    <row r="113" ht="15.75" customHeight="1">
      <c r="A113" s="5" t="s">
        <v>81</v>
      </c>
    </row>
    <row r="114" ht="15.75" customHeight="1">
      <c r="A114" s="5"/>
    </row>
    <row r="115" ht="15.75" customHeight="1">
      <c r="A115" s="5"/>
    </row>
    <row r="116" ht="15.75" customHeight="1">
      <c r="A116" s="5" t="s">
        <v>82</v>
      </c>
    </row>
    <row r="117" ht="15.75" customHeight="1">
      <c r="A117" s="5" t="s">
        <v>83</v>
      </c>
    </row>
    <row r="118" ht="15.75" customHeight="1">
      <c r="A118" s="5"/>
    </row>
    <row r="119" ht="15.75" customHeight="1">
      <c r="A119" s="17" t="s">
        <v>84</v>
      </c>
    </row>
    <row r="120" ht="15.75" customHeight="1">
      <c r="A120" s="5"/>
    </row>
    <row r="121" ht="15.75" customHeight="1">
      <c r="A121" s="1" t="s">
        <v>5</v>
      </c>
    </row>
    <row r="122" ht="15.75" customHeight="1">
      <c r="A122" s="1" t="s">
        <v>6</v>
      </c>
    </row>
    <row r="123" ht="15.75" customHeight="1">
      <c r="A123" s="1" t="s">
        <v>8</v>
      </c>
    </row>
    <row r="124" ht="15.75" customHeight="1">
      <c r="A124" s="1" t="s">
        <v>10</v>
      </c>
    </row>
    <row r="125" ht="15.75" customHeight="1">
      <c r="A125" s="1" t="s">
        <v>12</v>
      </c>
    </row>
    <row r="126" ht="15.75" customHeight="1">
      <c r="A126" s="1" t="s">
        <v>85</v>
      </c>
    </row>
    <row r="127" ht="15.75" customHeight="1">
      <c r="A127" s="5"/>
    </row>
    <row r="128" ht="15.75" customHeight="1">
      <c r="A128" s="5"/>
    </row>
    <row r="129" ht="15.75" customHeight="1">
      <c r="A129" s="18" t="s">
        <v>86</v>
      </c>
    </row>
    <row r="130" ht="15.75" customHeight="1">
      <c r="A130" s="5"/>
    </row>
    <row r="131" ht="15.75" customHeight="1">
      <c r="A131" s="1" t="s">
        <v>5</v>
      </c>
    </row>
    <row r="132" ht="15.75" customHeight="1">
      <c r="A132" s="1" t="s">
        <v>6</v>
      </c>
    </row>
    <row r="133" ht="15.75" customHeight="1">
      <c r="A133" s="1" t="s">
        <v>8</v>
      </c>
    </row>
    <row r="134" ht="15.75" customHeight="1">
      <c r="A134" s="1" t="s">
        <v>10</v>
      </c>
    </row>
    <row r="135" ht="15.75" customHeight="1">
      <c r="A135" s="1" t="s">
        <v>12</v>
      </c>
    </row>
    <row r="136" ht="15.75" customHeight="1">
      <c r="A136" s="1" t="s">
        <v>85</v>
      </c>
    </row>
    <row r="137" ht="15.75" customHeight="1">
      <c r="A137" s="5"/>
    </row>
    <row r="138" ht="15.75" customHeight="1">
      <c r="A138" s="1" t="s">
        <v>83</v>
      </c>
    </row>
    <row r="139" ht="15.75" customHeight="1">
      <c r="A139" s="1" t="s">
        <v>5</v>
      </c>
    </row>
    <row r="140" ht="15.75" customHeight="1">
      <c r="A140" s="1" t="s">
        <v>6</v>
      </c>
    </row>
    <row r="141" ht="15.75" customHeight="1">
      <c r="A141" s="1" t="s">
        <v>8</v>
      </c>
    </row>
    <row r="142" ht="15.75" customHeight="1">
      <c r="A142" s="1" t="s">
        <v>10</v>
      </c>
    </row>
    <row r="143" ht="15.75" customHeight="1">
      <c r="A143" s="1" t="s">
        <v>12</v>
      </c>
    </row>
    <row r="144" ht="15.75" customHeight="1">
      <c r="A144" s="1" t="s">
        <v>85</v>
      </c>
    </row>
    <row r="145" ht="15.75" customHeight="1">
      <c r="A145" s="5"/>
    </row>
    <row r="146" ht="15.75" customHeight="1">
      <c r="A146" s="5"/>
    </row>
    <row r="147" ht="15.75" customHeight="1">
      <c r="A147" s="5"/>
    </row>
    <row r="148" ht="15.75" customHeight="1">
      <c r="A148" s="18" t="s">
        <v>87</v>
      </c>
    </row>
    <row r="149" ht="15.75" customHeight="1">
      <c r="A149" s="5"/>
    </row>
    <row r="150" ht="15.75" customHeight="1">
      <c r="A150" s="5" t="s">
        <v>60</v>
      </c>
    </row>
    <row r="151" ht="15.75" customHeight="1">
      <c r="A151" s="16" t="s">
        <v>61</v>
      </c>
    </row>
    <row r="152" ht="15.75" customHeight="1">
      <c r="A152" s="16" t="s">
        <v>62</v>
      </c>
    </row>
    <row r="153" ht="15.75" customHeight="1">
      <c r="A153" s="16" t="s">
        <v>64</v>
      </c>
    </row>
    <row r="154" ht="15.75" customHeight="1">
      <c r="A154" s="16" t="s">
        <v>65</v>
      </c>
    </row>
    <row r="155" ht="15.75" customHeight="1">
      <c r="A155" s="16" t="s">
        <v>66</v>
      </c>
    </row>
    <row r="156" ht="15.75" customHeight="1">
      <c r="A156" s="1" t="s">
        <v>57</v>
      </c>
    </row>
    <row r="157" ht="15.75" customHeight="1">
      <c r="A157" s="5"/>
    </row>
    <row r="158" ht="15.75" customHeight="1">
      <c r="A158" s="5" t="s">
        <v>42</v>
      </c>
    </row>
    <row r="159" ht="15.75" customHeight="1">
      <c r="A159" s="1" t="s">
        <v>43</v>
      </c>
    </row>
    <row r="160" ht="15.75" customHeight="1">
      <c r="A160" s="1" t="s">
        <v>44</v>
      </c>
    </row>
    <row r="161" ht="15.75" customHeight="1">
      <c r="A161" s="1" t="s">
        <v>45</v>
      </c>
    </row>
    <row r="162" ht="15.75" customHeight="1">
      <c r="A162" s="1" t="s">
        <v>46</v>
      </c>
    </row>
    <row r="163" ht="15.75" customHeight="1">
      <c r="A163" s="1" t="s">
        <v>47</v>
      </c>
    </row>
    <row r="164" ht="15.75" customHeight="1">
      <c r="A164" s="1" t="s">
        <v>48</v>
      </c>
    </row>
    <row r="165" ht="15.75" customHeight="1">
      <c r="A165" s="5"/>
    </row>
    <row r="166" ht="15.75" customHeight="1">
      <c r="A166" s="1" t="s">
        <v>88</v>
      </c>
    </row>
    <row r="167" ht="15.75" customHeight="1">
      <c r="A167" s="5"/>
    </row>
    <row r="168" ht="15.75" customHeight="1">
      <c r="A168" s="18" t="s">
        <v>89</v>
      </c>
    </row>
    <row r="169" ht="15.75" customHeight="1">
      <c r="A169" s="5" t="s">
        <v>60</v>
      </c>
    </row>
    <row r="170" ht="15.75" customHeight="1">
      <c r="A170" s="16" t="s">
        <v>61</v>
      </c>
    </row>
    <row r="171" ht="15.75" customHeight="1">
      <c r="A171" s="16" t="s">
        <v>62</v>
      </c>
    </row>
    <row r="172" ht="15.75" customHeight="1">
      <c r="A172" s="16" t="s">
        <v>64</v>
      </c>
    </row>
    <row r="173" ht="15.75" customHeight="1">
      <c r="A173" s="16" t="s">
        <v>65</v>
      </c>
    </row>
    <row r="174" ht="15.75" customHeight="1">
      <c r="A174" s="16" t="s">
        <v>66</v>
      </c>
    </row>
    <row r="175" ht="15.75" customHeight="1">
      <c r="A175" s="1" t="s">
        <v>57</v>
      </c>
    </row>
    <row r="176" ht="15.75" customHeight="1">
      <c r="A176" s="5"/>
    </row>
    <row r="177" ht="15.75" customHeight="1">
      <c r="A177" s="5" t="s">
        <v>42</v>
      </c>
    </row>
    <row r="178" ht="15.75" customHeight="1">
      <c r="A178" s="1" t="s">
        <v>43</v>
      </c>
    </row>
    <row r="179" ht="15.75" customHeight="1">
      <c r="A179" s="1" t="s">
        <v>44</v>
      </c>
    </row>
    <row r="180" ht="15.75" customHeight="1">
      <c r="A180" s="1" t="s">
        <v>45</v>
      </c>
    </row>
    <row r="181" ht="15.75" customHeight="1">
      <c r="A181" s="1" t="s">
        <v>46</v>
      </c>
    </row>
    <row r="182" ht="15.75" customHeight="1">
      <c r="A182" s="1" t="s">
        <v>47</v>
      </c>
    </row>
    <row r="183" ht="15.75" customHeight="1">
      <c r="A183" s="1" t="s">
        <v>48</v>
      </c>
    </row>
    <row r="184" ht="15.75" customHeight="1">
      <c r="A184" s="5"/>
    </row>
    <row r="185" ht="15.75" customHeight="1">
      <c r="A185" s="1" t="s">
        <v>90</v>
      </c>
    </row>
    <row r="186" ht="15.75" customHeight="1">
      <c r="A186" s="1" t="s">
        <v>91</v>
      </c>
    </row>
    <row r="187" ht="15.75" customHeight="1">
      <c r="A187" s="5"/>
    </row>
    <row r="188" ht="15.75" customHeight="1">
      <c r="A188" s="5"/>
    </row>
    <row r="189" ht="15.75" customHeight="1">
      <c r="A189" s="5"/>
    </row>
    <row r="190" ht="15.75" customHeight="1">
      <c r="A190" s="18" t="s">
        <v>92</v>
      </c>
    </row>
    <row r="191" ht="15.75" customHeight="1">
      <c r="A191" s="5" t="s">
        <v>93</v>
      </c>
    </row>
    <row r="192" ht="15.75" customHeight="1">
      <c r="A192" s="5" t="s">
        <v>94</v>
      </c>
    </row>
    <row r="193" ht="15.75" customHeight="1">
      <c r="A193" s="5" t="s">
        <v>49</v>
      </c>
    </row>
    <row r="194" ht="15.75" customHeight="1">
      <c r="A194" s="5"/>
    </row>
    <row r="195" ht="15.75" customHeight="1">
      <c r="A195" s="5" t="s">
        <v>95</v>
      </c>
    </row>
    <row r="196" ht="15.75" customHeight="1">
      <c r="A196" s="5"/>
    </row>
    <row r="197" ht="15.75" customHeight="1">
      <c r="A197" s="5" t="s">
        <v>96</v>
      </c>
    </row>
    <row r="198" ht="15.75" customHeight="1">
      <c r="A198" s="5" t="s">
        <v>97</v>
      </c>
    </row>
    <row r="199" ht="15.75" customHeight="1">
      <c r="A199" s="5" t="s">
        <v>98</v>
      </c>
    </row>
    <row r="200" ht="15.75" customHeight="1">
      <c r="A200" s="5"/>
    </row>
    <row r="201" ht="15.75" customHeight="1">
      <c r="A201" s="5" t="s">
        <v>99</v>
      </c>
    </row>
    <row r="202" ht="15.75" customHeight="1">
      <c r="A202" s="5" t="s">
        <v>100</v>
      </c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1"/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</row>
    <row r="5" ht="15.75" customHeight="1">
      <c r="A5" s="7"/>
    </row>
    <row r="6" ht="15.75" customHeight="1">
      <c r="A6" s="8" t="s">
        <v>3</v>
      </c>
      <c r="B6" s="9">
        <f t="shared" ref="B6:J6" si="2">SUM(B3:B4)</f>
        <v>586120</v>
      </c>
      <c r="C6" s="9">
        <f t="shared" si="2"/>
        <v>703746</v>
      </c>
      <c r="D6" s="9">
        <f t="shared" si="2"/>
        <v>818552</v>
      </c>
      <c r="E6" s="9">
        <f t="shared" si="2"/>
        <v>886301</v>
      </c>
      <c r="F6" s="9">
        <f t="shared" si="2"/>
        <v>789944</v>
      </c>
      <c r="G6" s="9">
        <f t="shared" si="2"/>
        <v>733083</v>
      </c>
      <c r="H6" s="9">
        <f t="shared" si="2"/>
        <v>900745</v>
      </c>
      <c r="I6" s="9">
        <f t="shared" si="2"/>
        <v>1206746</v>
      </c>
      <c r="J6" s="9">
        <f t="shared" si="2"/>
        <v>1459517</v>
      </c>
      <c r="K6" s="10"/>
      <c r="L6" s="10"/>
      <c r="M6" s="10"/>
      <c r="N6" s="10"/>
      <c r="O6" s="10"/>
      <c r="P6" s="10"/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</row>
    <row r="15" ht="15.75" customHeight="1">
      <c r="A15" s="7"/>
    </row>
    <row r="16" ht="15.75" customHeight="1">
      <c r="A16" s="8" t="s">
        <v>14</v>
      </c>
      <c r="B16" s="13">
        <f t="shared" ref="B16:J16" si="3">SUM(B9:B14)</f>
        <v>494932</v>
      </c>
      <c r="C16" s="13">
        <f t="shared" si="3"/>
        <v>577269</v>
      </c>
      <c r="D16" s="13">
        <f t="shared" si="3"/>
        <v>677460</v>
      </c>
      <c r="E16" s="13">
        <f t="shared" si="3"/>
        <v>750653</v>
      </c>
      <c r="F16" s="13">
        <f t="shared" si="3"/>
        <v>683474</v>
      </c>
      <c r="G16" s="13">
        <f t="shared" si="3"/>
        <v>650204</v>
      </c>
      <c r="H16" s="13">
        <f t="shared" si="3"/>
        <v>826236</v>
      </c>
      <c r="I16" s="13">
        <f t="shared" si="3"/>
        <v>1053155</v>
      </c>
      <c r="J16" s="13">
        <f t="shared" si="3"/>
        <v>1233319</v>
      </c>
      <c r="K16" s="14"/>
      <c r="L16" s="14"/>
      <c r="M16" s="14"/>
      <c r="N16" s="14"/>
      <c r="O16" s="14"/>
      <c r="P16" s="14"/>
    </row>
    <row r="17" ht="15.75" customHeight="1">
      <c r="A17" s="7"/>
    </row>
    <row r="18" ht="15.75" customHeight="1">
      <c r="A18" s="4" t="s">
        <v>15</v>
      </c>
      <c r="B18" s="6">
        <f t="shared" ref="B18:J18" si="4">B6-B16</f>
        <v>91188</v>
      </c>
      <c r="C18" s="6">
        <f t="shared" si="4"/>
        <v>126477</v>
      </c>
      <c r="D18" s="6">
        <f t="shared" si="4"/>
        <v>141092</v>
      </c>
      <c r="E18" s="6">
        <f t="shared" si="4"/>
        <v>135648</v>
      </c>
      <c r="F18" s="6">
        <f t="shared" si="4"/>
        <v>106470</v>
      </c>
      <c r="G18" s="6">
        <f t="shared" si="4"/>
        <v>82879</v>
      </c>
      <c r="H18" s="6">
        <f t="shared" si="4"/>
        <v>74509</v>
      </c>
      <c r="I18" s="6">
        <f t="shared" si="4"/>
        <v>153591</v>
      </c>
      <c r="J18" s="6">
        <f t="shared" si="4"/>
        <v>226198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</row>
    <row r="21" ht="15.75" customHeight="1">
      <c r="A21" s="7"/>
    </row>
    <row r="22" ht="15.75" customHeight="1">
      <c r="A22" s="7" t="s">
        <v>18</v>
      </c>
      <c r="B22" s="6">
        <f t="shared" ref="B22:J22" si="5">B18-B20</f>
        <v>62518</v>
      </c>
      <c r="C22" s="6">
        <f t="shared" si="5"/>
        <v>100438</v>
      </c>
      <c r="D22" s="6">
        <f t="shared" si="5"/>
        <v>113494</v>
      </c>
      <c r="E22" s="6">
        <f t="shared" si="5"/>
        <v>105440</v>
      </c>
      <c r="F22" s="6">
        <f t="shared" si="5"/>
        <v>71186</v>
      </c>
      <c r="G22" s="6">
        <f t="shared" si="5"/>
        <v>52538</v>
      </c>
      <c r="H22" s="6">
        <f t="shared" si="5"/>
        <v>46619</v>
      </c>
      <c r="I22" s="6">
        <f t="shared" si="5"/>
        <v>105131</v>
      </c>
      <c r="J22" s="6">
        <f t="shared" si="5"/>
        <v>173640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</row>
    <row r="25" ht="15.75" customHeight="1">
      <c r="A25" s="7"/>
    </row>
    <row r="26" ht="15.75" customHeight="1">
      <c r="A26" s="7" t="s">
        <v>23</v>
      </c>
      <c r="B26" s="6">
        <f t="shared" ref="B26:J26" si="6">B22-B24</f>
        <v>61581</v>
      </c>
      <c r="C26" s="6">
        <f t="shared" si="6"/>
        <v>99544</v>
      </c>
      <c r="D26" s="6">
        <f t="shared" si="6"/>
        <v>110036</v>
      </c>
      <c r="E26" s="6">
        <f t="shared" si="6"/>
        <v>104681</v>
      </c>
      <c r="F26" s="6">
        <f t="shared" si="6"/>
        <v>69844</v>
      </c>
      <c r="G26" s="6">
        <f t="shared" si="6"/>
        <v>51520</v>
      </c>
      <c r="H26" s="6">
        <f t="shared" si="6"/>
        <v>45353</v>
      </c>
      <c r="I26" s="6">
        <f t="shared" si="6"/>
        <v>102608</v>
      </c>
      <c r="J26" s="6">
        <f t="shared" si="6"/>
        <v>171704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</row>
    <row r="28" ht="15.75" customHeight="1">
      <c r="A28" s="7" t="s">
        <v>25</v>
      </c>
      <c r="B28" s="6">
        <f t="shared" ref="B28:J28" si="7">SUM(B26:B27)</f>
        <v>66296</v>
      </c>
      <c r="C28" s="6">
        <f t="shared" si="7"/>
        <v>101272</v>
      </c>
      <c r="D28" s="6">
        <f t="shared" si="7"/>
        <v>111669</v>
      </c>
      <c r="E28" s="6">
        <f t="shared" si="7"/>
        <v>102651</v>
      </c>
      <c r="F28" s="6">
        <f t="shared" si="7"/>
        <v>65427</v>
      </c>
      <c r="G28" s="6">
        <f t="shared" si="7"/>
        <v>56656</v>
      </c>
      <c r="H28" s="6">
        <f t="shared" si="7"/>
        <v>48482</v>
      </c>
      <c r="I28" s="6">
        <f t="shared" si="7"/>
        <v>103194</v>
      </c>
      <c r="J28" s="6">
        <f t="shared" si="7"/>
        <v>174373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</row>
    <row r="31" ht="15.75" customHeight="1">
      <c r="A31" s="7"/>
    </row>
    <row r="32" ht="15.75" customHeight="1">
      <c r="A32" s="7" t="s">
        <v>27</v>
      </c>
      <c r="B32" s="6">
        <f t="shared" ref="B32:J32" si="8">B28-B30</f>
        <v>46309</v>
      </c>
      <c r="C32" s="6">
        <f t="shared" si="8"/>
        <v>75110</v>
      </c>
      <c r="D32" s="6">
        <f t="shared" si="8"/>
        <v>78807</v>
      </c>
      <c r="E32" s="6">
        <f t="shared" si="8"/>
        <v>72919</v>
      </c>
      <c r="F32" s="6">
        <f t="shared" si="8"/>
        <v>51175</v>
      </c>
      <c r="G32" s="6">
        <f t="shared" si="8"/>
        <v>47337</v>
      </c>
      <c r="H32" s="6">
        <f t="shared" si="8"/>
        <v>40305</v>
      </c>
      <c r="I32" s="6">
        <f t="shared" si="8"/>
        <v>81449</v>
      </c>
      <c r="J32" s="6">
        <f t="shared" si="8"/>
        <v>135010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9">B32+B33</f>
        <v>46988</v>
      </c>
      <c r="C36" s="9">
        <f t="shared" si="9"/>
        <v>77326</v>
      </c>
      <c r="D36" s="9">
        <f t="shared" si="9"/>
        <v>82118</v>
      </c>
      <c r="E36" s="9">
        <f>E32+F33</f>
        <v>74103</v>
      </c>
      <c r="F36" s="9">
        <f t="shared" ref="F36:J36" si="10">F32+F33</f>
        <v>52359</v>
      </c>
      <c r="G36" s="9">
        <f t="shared" si="10"/>
        <v>49027</v>
      </c>
      <c r="H36" s="9">
        <f t="shared" si="10"/>
        <v>41924</v>
      </c>
      <c r="I36" s="9">
        <f t="shared" si="10"/>
        <v>83223</v>
      </c>
      <c r="J36" s="9">
        <f t="shared" si="10"/>
        <v>137551</v>
      </c>
      <c r="K36" s="10"/>
      <c r="L36" s="10"/>
      <c r="M36" s="10"/>
      <c r="N36" s="10"/>
      <c r="O36" s="10"/>
      <c r="P36" s="10"/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</row>
    <row r="42" ht="15.75" customHeight="1">
      <c r="A42" s="1" t="s">
        <v>32</v>
      </c>
    </row>
    <row r="43" ht="15.75" customHeight="1">
      <c r="A43" s="1" t="s">
        <v>33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</row>
    <row r="47" ht="15.75" customHeight="1">
      <c r="A47" s="7" t="s">
        <v>36</v>
      </c>
    </row>
    <row r="48" ht="15.75" customHeight="1">
      <c r="A48" s="7"/>
    </row>
    <row r="49" ht="15.75" customHeight="1">
      <c r="A49" s="7" t="s">
        <v>37</v>
      </c>
    </row>
    <row r="50" ht="15.75" customHeight="1">
      <c r="A50" s="1" t="s">
        <v>38</v>
      </c>
    </row>
    <row r="51" ht="15.75" customHeight="1">
      <c r="A51" s="1" t="s">
        <v>39</v>
      </c>
    </row>
    <row r="52" ht="15.75" customHeight="1">
      <c r="A52" s="1" t="s">
        <v>40</v>
      </c>
    </row>
    <row r="53" ht="15.75" customHeight="1">
      <c r="A53" s="1" t="s">
        <v>41</v>
      </c>
    </row>
    <row r="54" ht="15.75" customHeight="1">
      <c r="A54" s="7"/>
    </row>
    <row r="55" ht="15.75" customHeight="1">
      <c r="A55" s="1" t="s">
        <v>42</v>
      </c>
    </row>
    <row r="56" ht="15.75" customHeight="1">
      <c r="A56" s="1" t="s">
        <v>43</v>
      </c>
    </row>
    <row r="57" ht="15.75" customHeight="1">
      <c r="A57" s="1" t="s">
        <v>44</v>
      </c>
    </row>
    <row r="58" ht="15.75" customHeight="1">
      <c r="A58" s="1" t="s">
        <v>45</v>
      </c>
    </row>
    <row r="59" ht="15.75" customHeight="1">
      <c r="A59" s="1" t="s">
        <v>46</v>
      </c>
    </row>
    <row r="60" ht="15.75" customHeight="1">
      <c r="A60" s="1" t="s">
        <v>47</v>
      </c>
    </row>
    <row r="61" ht="15.75" customHeight="1">
      <c r="A61" s="1" t="s">
        <v>48</v>
      </c>
    </row>
    <row r="62" ht="15.75" customHeight="1">
      <c r="A62" s="8" t="s">
        <v>49</v>
      </c>
    </row>
    <row r="63" ht="15.75" customHeight="1">
      <c r="A63" s="7"/>
    </row>
    <row r="64" ht="15.75" customHeight="1">
      <c r="A64" s="7"/>
    </row>
    <row r="65" ht="15.75" customHeight="1">
      <c r="A65" s="4" t="s">
        <v>50</v>
      </c>
    </row>
    <row r="66" ht="15.75" customHeight="1">
      <c r="A66" s="7"/>
    </row>
    <row r="67" ht="15.75" customHeight="1">
      <c r="A67" s="1" t="s">
        <v>51</v>
      </c>
    </row>
    <row r="68" ht="15.75" customHeight="1">
      <c r="A68" s="16" t="s">
        <v>52</v>
      </c>
    </row>
    <row r="69" ht="15.75" customHeight="1">
      <c r="A69" s="16" t="s">
        <v>53</v>
      </c>
    </row>
    <row r="70" ht="15.75" customHeight="1">
      <c r="A70" s="16" t="s">
        <v>54</v>
      </c>
    </row>
    <row r="71" ht="15.75" customHeight="1">
      <c r="A71" s="16" t="s">
        <v>55</v>
      </c>
    </row>
    <row r="72" ht="15.75" customHeight="1">
      <c r="A72" s="1"/>
    </row>
    <row r="73" ht="15.75" customHeight="1">
      <c r="A73" s="1" t="s">
        <v>56</v>
      </c>
    </row>
    <row r="74" ht="15.75" customHeight="1">
      <c r="A74" s="1" t="s">
        <v>57</v>
      </c>
    </row>
    <row r="75" ht="15.75" customHeight="1">
      <c r="A75" s="1" t="s">
        <v>58</v>
      </c>
    </row>
    <row r="76" ht="15.75" customHeight="1">
      <c r="A76" s="1" t="s">
        <v>59</v>
      </c>
    </row>
    <row r="77" ht="15.75" customHeight="1">
      <c r="A77" s="1"/>
    </row>
    <row r="78" ht="15.75" customHeight="1">
      <c r="A78" s="1" t="s">
        <v>60</v>
      </c>
    </row>
    <row r="79" ht="15.75" customHeight="1">
      <c r="A79" s="1"/>
    </row>
    <row r="80" ht="15.75" customHeight="1">
      <c r="A80" s="16" t="s">
        <v>61</v>
      </c>
    </row>
    <row r="81" ht="15.75" customHeight="1">
      <c r="A81" s="16" t="s">
        <v>62</v>
      </c>
    </row>
    <row r="82" ht="15.75" customHeight="1">
      <c r="A82" s="16" t="s">
        <v>63</v>
      </c>
    </row>
    <row r="83" ht="15.75" customHeight="1">
      <c r="A83" s="16" t="s">
        <v>64</v>
      </c>
    </row>
    <row r="84" ht="15.75" customHeight="1">
      <c r="A84" s="16" t="s">
        <v>65</v>
      </c>
    </row>
    <row r="85" ht="15.75" customHeight="1">
      <c r="A85" s="16" t="s">
        <v>66</v>
      </c>
    </row>
    <row r="86" ht="15.75" customHeight="1">
      <c r="A86" s="16" t="s">
        <v>67</v>
      </c>
    </row>
    <row r="87" ht="15.75" customHeight="1">
      <c r="A87" s="1" t="s">
        <v>57</v>
      </c>
    </row>
    <row r="88" ht="15.75" customHeight="1">
      <c r="A88" s="8" t="s">
        <v>49</v>
      </c>
    </row>
    <row r="89" ht="15.75" customHeight="1">
      <c r="A89" s="1"/>
    </row>
    <row r="90" ht="15.75" customHeight="1">
      <c r="A90" s="5" t="s">
        <v>68</v>
      </c>
    </row>
    <row r="91" ht="15.75" customHeight="1">
      <c r="A91" s="5" t="s">
        <v>69</v>
      </c>
    </row>
    <row r="92" ht="15.75" customHeight="1">
      <c r="A92" s="5"/>
    </row>
    <row r="93" ht="15.75" customHeight="1">
      <c r="A93" s="5" t="s">
        <v>70</v>
      </c>
    </row>
    <row r="94" ht="15.75" customHeight="1">
      <c r="A94" s="5" t="s">
        <v>71</v>
      </c>
    </row>
    <row r="95" ht="15.75" customHeight="1">
      <c r="A95" s="5" t="s">
        <v>49</v>
      </c>
    </row>
    <row r="96" ht="15.75" customHeight="1">
      <c r="A96" s="5"/>
    </row>
    <row r="97" ht="15.75" customHeight="1">
      <c r="A97" s="5" t="s">
        <v>72</v>
      </c>
    </row>
    <row r="98" ht="15.75" customHeight="1">
      <c r="A98" s="5"/>
    </row>
    <row r="99" ht="15.75" customHeight="1">
      <c r="A99" s="17" t="s">
        <v>73</v>
      </c>
    </row>
    <row r="100" ht="15.75" customHeight="1">
      <c r="A100" s="5" t="s">
        <v>74</v>
      </c>
    </row>
    <row r="101" ht="15.75" customHeight="1">
      <c r="A101" s="5" t="s">
        <v>75</v>
      </c>
    </row>
    <row r="102" ht="15.75" customHeight="1">
      <c r="A102" s="5"/>
    </row>
    <row r="103" ht="15.75" customHeight="1">
      <c r="A103" s="17" t="s">
        <v>76</v>
      </c>
    </row>
    <row r="104" ht="15.75" customHeight="1">
      <c r="A104" s="5" t="s">
        <v>77</v>
      </c>
    </row>
    <row r="105" ht="15.75" customHeight="1">
      <c r="A105" s="5" t="s">
        <v>71</v>
      </c>
    </row>
    <row r="106" ht="15.75" customHeight="1">
      <c r="A106" s="5" t="s">
        <v>49</v>
      </c>
    </row>
    <row r="107" ht="15.75" customHeight="1">
      <c r="A107" s="5" t="s">
        <v>78</v>
      </c>
    </row>
    <row r="108" ht="15.75" customHeight="1">
      <c r="A108" s="5" t="s">
        <v>79</v>
      </c>
    </row>
    <row r="109" ht="15.75" customHeight="1">
      <c r="A109" s="5"/>
    </row>
    <row r="110" ht="15.75" customHeight="1">
      <c r="A110" s="17" t="s">
        <v>80</v>
      </c>
    </row>
    <row r="111" ht="15.75" customHeight="1">
      <c r="A111" s="5" t="s">
        <v>70</v>
      </c>
    </row>
    <row r="112" ht="15.75" customHeight="1">
      <c r="A112" s="5" t="s">
        <v>71</v>
      </c>
    </row>
    <row r="113" ht="15.75" customHeight="1">
      <c r="A113" s="5" t="s">
        <v>81</v>
      </c>
    </row>
    <row r="114" ht="15.75" customHeight="1">
      <c r="A114" s="5"/>
    </row>
    <row r="115" ht="15.75" customHeight="1">
      <c r="A115" s="5"/>
    </row>
    <row r="116" ht="15.75" customHeight="1">
      <c r="A116" s="5" t="s">
        <v>82</v>
      </c>
    </row>
    <row r="117" ht="15.75" customHeight="1">
      <c r="A117" s="5" t="s">
        <v>83</v>
      </c>
    </row>
    <row r="118" ht="15.75" customHeight="1">
      <c r="A118" s="5"/>
    </row>
    <row r="119" ht="15.75" customHeight="1">
      <c r="A119" s="17" t="s">
        <v>84</v>
      </c>
    </row>
    <row r="120" ht="15.75" customHeight="1">
      <c r="A120" s="5"/>
    </row>
    <row r="121" ht="15.75" customHeight="1">
      <c r="A121" s="1" t="s">
        <v>5</v>
      </c>
    </row>
    <row r="122" ht="15.75" customHeight="1">
      <c r="A122" s="1" t="s">
        <v>6</v>
      </c>
    </row>
    <row r="123" ht="15.75" customHeight="1">
      <c r="A123" s="1" t="s">
        <v>8</v>
      </c>
    </row>
    <row r="124" ht="15.75" customHeight="1">
      <c r="A124" s="1" t="s">
        <v>10</v>
      </c>
    </row>
    <row r="125" ht="15.75" customHeight="1">
      <c r="A125" s="1" t="s">
        <v>12</v>
      </c>
    </row>
    <row r="126" ht="15.75" customHeight="1">
      <c r="A126" s="1" t="s">
        <v>85</v>
      </c>
    </row>
    <row r="127" ht="15.75" customHeight="1">
      <c r="A127" s="5"/>
    </row>
    <row r="128" ht="15.75" customHeight="1">
      <c r="A128" s="5"/>
    </row>
    <row r="129" ht="15.75" customHeight="1">
      <c r="A129" s="18" t="s">
        <v>86</v>
      </c>
    </row>
    <row r="130" ht="15.75" customHeight="1">
      <c r="A130" s="5"/>
    </row>
    <row r="131" ht="15.75" customHeight="1">
      <c r="A131" s="1" t="s">
        <v>5</v>
      </c>
    </row>
    <row r="132" ht="15.75" customHeight="1">
      <c r="A132" s="1" t="s">
        <v>6</v>
      </c>
    </row>
    <row r="133" ht="15.75" customHeight="1">
      <c r="A133" s="1" t="s">
        <v>8</v>
      </c>
    </row>
    <row r="134" ht="15.75" customHeight="1">
      <c r="A134" s="1" t="s">
        <v>10</v>
      </c>
    </row>
    <row r="135" ht="15.75" customHeight="1">
      <c r="A135" s="1" t="s">
        <v>12</v>
      </c>
    </row>
    <row r="136" ht="15.75" customHeight="1">
      <c r="A136" s="1" t="s">
        <v>85</v>
      </c>
    </row>
    <row r="137" ht="15.75" customHeight="1">
      <c r="A137" s="5"/>
    </row>
    <row r="138" ht="15.75" customHeight="1">
      <c r="A138" s="1" t="s">
        <v>83</v>
      </c>
    </row>
    <row r="139" ht="15.75" customHeight="1">
      <c r="A139" s="1" t="s">
        <v>5</v>
      </c>
    </row>
    <row r="140" ht="15.75" customHeight="1">
      <c r="A140" s="1" t="s">
        <v>6</v>
      </c>
    </row>
    <row r="141" ht="15.75" customHeight="1">
      <c r="A141" s="1" t="s">
        <v>8</v>
      </c>
    </row>
    <row r="142" ht="15.75" customHeight="1">
      <c r="A142" s="1" t="s">
        <v>10</v>
      </c>
    </row>
    <row r="143" ht="15.75" customHeight="1">
      <c r="A143" s="1" t="s">
        <v>12</v>
      </c>
    </row>
    <row r="144" ht="15.75" customHeight="1">
      <c r="A144" s="1" t="s">
        <v>85</v>
      </c>
    </row>
    <row r="145" ht="15.75" customHeight="1">
      <c r="A145" s="5"/>
    </row>
    <row r="146" ht="15.75" customHeight="1">
      <c r="A146" s="5"/>
    </row>
    <row r="147" ht="15.75" customHeight="1">
      <c r="A147" s="5"/>
    </row>
    <row r="148" ht="15.75" customHeight="1">
      <c r="A148" s="18" t="s">
        <v>87</v>
      </c>
    </row>
    <row r="149" ht="15.75" customHeight="1">
      <c r="A149" s="5"/>
    </row>
    <row r="150" ht="15.75" customHeight="1">
      <c r="A150" s="5" t="s">
        <v>60</v>
      </c>
    </row>
    <row r="151" ht="15.75" customHeight="1">
      <c r="A151" s="16" t="s">
        <v>61</v>
      </c>
    </row>
    <row r="152" ht="15.75" customHeight="1">
      <c r="A152" s="16" t="s">
        <v>62</v>
      </c>
    </row>
    <row r="153" ht="15.75" customHeight="1">
      <c r="A153" s="16" t="s">
        <v>64</v>
      </c>
    </row>
    <row r="154" ht="15.75" customHeight="1">
      <c r="A154" s="16" t="s">
        <v>65</v>
      </c>
    </row>
    <row r="155" ht="15.75" customHeight="1">
      <c r="A155" s="16" t="s">
        <v>66</v>
      </c>
    </row>
    <row r="156" ht="15.75" customHeight="1">
      <c r="A156" s="1" t="s">
        <v>57</v>
      </c>
    </row>
    <row r="157" ht="15.75" customHeight="1">
      <c r="A157" s="5"/>
    </row>
    <row r="158" ht="15.75" customHeight="1">
      <c r="A158" s="5" t="s">
        <v>42</v>
      </c>
    </row>
    <row r="159" ht="15.75" customHeight="1">
      <c r="A159" s="1" t="s">
        <v>43</v>
      </c>
    </row>
    <row r="160" ht="15.75" customHeight="1">
      <c r="A160" s="1" t="s">
        <v>44</v>
      </c>
    </row>
    <row r="161" ht="15.75" customHeight="1">
      <c r="A161" s="1" t="s">
        <v>45</v>
      </c>
    </row>
    <row r="162" ht="15.75" customHeight="1">
      <c r="A162" s="1" t="s">
        <v>46</v>
      </c>
    </row>
    <row r="163" ht="15.75" customHeight="1">
      <c r="A163" s="1" t="s">
        <v>47</v>
      </c>
    </row>
    <row r="164" ht="15.75" customHeight="1">
      <c r="A164" s="1" t="s">
        <v>48</v>
      </c>
    </row>
    <row r="165" ht="15.75" customHeight="1">
      <c r="A165" s="5"/>
    </row>
    <row r="166" ht="15.75" customHeight="1">
      <c r="A166" s="1" t="s">
        <v>88</v>
      </c>
    </row>
    <row r="167" ht="15.75" customHeight="1">
      <c r="A167" s="5"/>
    </row>
    <row r="168" ht="15.75" customHeight="1">
      <c r="A168" s="18" t="s">
        <v>89</v>
      </c>
    </row>
    <row r="169" ht="15.75" customHeight="1">
      <c r="A169" s="5" t="s">
        <v>60</v>
      </c>
    </row>
    <row r="170" ht="15.75" customHeight="1">
      <c r="A170" s="16" t="s">
        <v>61</v>
      </c>
    </row>
    <row r="171" ht="15.75" customHeight="1">
      <c r="A171" s="16" t="s">
        <v>62</v>
      </c>
    </row>
    <row r="172" ht="15.75" customHeight="1">
      <c r="A172" s="16" t="s">
        <v>64</v>
      </c>
    </row>
    <row r="173" ht="15.75" customHeight="1">
      <c r="A173" s="16" t="s">
        <v>65</v>
      </c>
    </row>
    <row r="174" ht="15.75" customHeight="1">
      <c r="A174" s="16" t="s">
        <v>66</v>
      </c>
    </row>
    <row r="175" ht="15.75" customHeight="1">
      <c r="A175" s="1" t="s">
        <v>57</v>
      </c>
    </row>
    <row r="176" ht="15.75" customHeight="1">
      <c r="A176" s="5"/>
    </row>
    <row r="177" ht="15.75" customHeight="1">
      <c r="A177" s="5" t="s">
        <v>42</v>
      </c>
    </row>
    <row r="178" ht="15.75" customHeight="1">
      <c r="A178" s="1" t="s">
        <v>43</v>
      </c>
    </row>
    <row r="179" ht="15.75" customHeight="1">
      <c r="A179" s="1" t="s">
        <v>44</v>
      </c>
    </row>
    <row r="180" ht="15.75" customHeight="1">
      <c r="A180" s="1" t="s">
        <v>45</v>
      </c>
    </row>
    <row r="181" ht="15.75" customHeight="1">
      <c r="A181" s="1" t="s">
        <v>46</v>
      </c>
    </row>
    <row r="182" ht="15.75" customHeight="1">
      <c r="A182" s="1" t="s">
        <v>47</v>
      </c>
    </row>
    <row r="183" ht="15.75" customHeight="1">
      <c r="A183" s="1" t="s">
        <v>48</v>
      </c>
    </row>
    <row r="184" ht="15.75" customHeight="1">
      <c r="A184" s="5"/>
    </row>
    <row r="185" ht="15.75" customHeight="1">
      <c r="A185" s="1" t="s">
        <v>90</v>
      </c>
    </row>
    <row r="186" ht="15.75" customHeight="1">
      <c r="A186" s="1" t="s">
        <v>91</v>
      </c>
    </row>
    <row r="187" ht="15.75" customHeight="1">
      <c r="A187" s="5"/>
    </row>
    <row r="188" ht="15.75" customHeight="1">
      <c r="A188" s="5"/>
    </row>
    <row r="189" ht="15.75" customHeight="1">
      <c r="A189" s="5"/>
    </row>
    <row r="190" ht="15.75" customHeight="1">
      <c r="A190" s="18" t="s">
        <v>92</v>
      </c>
    </row>
    <row r="191" ht="15.75" customHeight="1">
      <c r="A191" s="5" t="s">
        <v>93</v>
      </c>
    </row>
    <row r="192" ht="15.75" customHeight="1">
      <c r="A192" s="5" t="s">
        <v>94</v>
      </c>
    </row>
    <row r="193" ht="15.75" customHeight="1">
      <c r="A193" s="5" t="s">
        <v>49</v>
      </c>
    </row>
    <row r="194" ht="15.75" customHeight="1">
      <c r="A194" s="5"/>
    </row>
    <row r="195" ht="15.75" customHeight="1">
      <c r="A195" s="5" t="s">
        <v>95</v>
      </c>
    </row>
    <row r="196" ht="15.75" customHeight="1">
      <c r="A196" s="5"/>
    </row>
    <row r="197" ht="15.75" customHeight="1">
      <c r="A197" s="5" t="s">
        <v>96</v>
      </c>
    </row>
    <row r="198" ht="15.75" customHeight="1">
      <c r="A198" s="5" t="s">
        <v>97</v>
      </c>
    </row>
    <row r="199" ht="15.75" customHeight="1">
      <c r="A199" s="5" t="s">
        <v>98</v>
      </c>
    </row>
    <row r="200" ht="15.75" customHeight="1">
      <c r="A200" s="5"/>
    </row>
    <row r="201" ht="15.75" customHeight="1">
      <c r="A201" s="5" t="s">
        <v>99</v>
      </c>
    </row>
    <row r="202" ht="15.75" customHeight="1">
      <c r="A202" s="5" t="s">
        <v>100</v>
      </c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1"/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</row>
    <row r="5" ht="15.75" customHeight="1">
      <c r="A5" s="7"/>
    </row>
    <row r="6" ht="15.75" customHeight="1">
      <c r="A6" s="8" t="s">
        <v>3</v>
      </c>
      <c r="B6" s="9">
        <f t="shared" ref="B6:J6" si="2">SUM(B3:B4)</f>
        <v>586120</v>
      </c>
      <c r="C6" s="9">
        <f t="shared" si="2"/>
        <v>703746</v>
      </c>
      <c r="D6" s="9">
        <f t="shared" si="2"/>
        <v>818552</v>
      </c>
      <c r="E6" s="9">
        <f t="shared" si="2"/>
        <v>886301</v>
      </c>
      <c r="F6" s="9">
        <f t="shared" si="2"/>
        <v>789944</v>
      </c>
      <c r="G6" s="9">
        <f t="shared" si="2"/>
        <v>733083</v>
      </c>
      <c r="H6" s="9">
        <f t="shared" si="2"/>
        <v>900745</v>
      </c>
      <c r="I6" s="9">
        <f t="shared" si="2"/>
        <v>1206746</v>
      </c>
      <c r="J6" s="9">
        <f t="shared" si="2"/>
        <v>1459517</v>
      </c>
      <c r="K6" s="10"/>
      <c r="L6" s="10"/>
      <c r="M6" s="10"/>
      <c r="N6" s="10"/>
      <c r="O6" s="10"/>
      <c r="P6" s="10"/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</row>
    <row r="15" ht="15.75" customHeight="1">
      <c r="A15" s="7"/>
    </row>
    <row r="16" ht="15.75" customHeight="1">
      <c r="A16" s="8" t="s">
        <v>14</v>
      </c>
      <c r="B16" s="13">
        <f t="shared" ref="B16:J16" si="3">SUM(B9:B14)</f>
        <v>494932</v>
      </c>
      <c r="C16" s="13">
        <f t="shared" si="3"/>
        <v>577269</v>
      </c>
      <c r="D16" s="13">
        <f t="shared" si="3"/>
        <v>677460</v>
      </c>
      <c r="E16" s="13">
        <f t="shared" si="3"/>
        <v>750653</v>
      </c>
      <c r="F16" s="13">
        <f t="shared" si="3"/>
        <v>683474</v>
      </c>
      <c r="G16" s="13">
        <f t="shared" si="3"/>
        <v>650204</v>
      </c>
      <c r="H16" s="13">
        <f t="shared" si="3"/>
        <v>826236</v>
      </c>
      <c r="I16" s="13">
        <f t="shared" si="3"/>
        <v>1053155</v>
      </c>
      <c r="J16" s="13">
        <f t="shared" si="3"/>
        <v>1233319</v>
      </c>
      <c r="K16" s="14"/>
      <c r="L16" s="14"/>
      <c r="M16" s="14"/>
      <c r="N16" s="14"/>
      <c r="O16" s="14"/>
      <c r="P16" s="14"/>
    </row>
    <row r="17" ht="15.75" customHeight="1">
      <c r="A17" s="7"/>
    </row>
    <row r="18" ht="15.75" customHeight="1">
      <c r="A18" s="4" t="s">
        <v>15</v>
      </c>
      <c r="B18" s="6">
        <f t="shared" ref="B18:J18" si="4">B6-B16</f>
        <v>91188</v>
      </c>
      <c r="C18" s="6">
        <f t="shared" si="4"/>
        <v>126477</v>
      </c>
      <c r="D18" s="6">
        <f t="shared" si="4"/>
        <v>141092</v>
      </c>
      <c r="E18" s="6">
        <f t="shared" si="4"/>
        <v>135648</v>
      </c>
      <c r="F18" s="6">
        <f t="shared" si="4"/>
        <v>106470</v>
      </c>
      <c r="G18" s="6">
        <f t="shared" si="4"/>
        <v>82879</v>
      </c>
      <c r="H18" s="6">
        <f t="shared" si="4"/>
        <v>74509</v>
      </c>
      <c r="I18" s="6">
        <f t="shared" si="4"/>
        <v>153591</v>
      </c>
      <c r="J18" s="6">
        <f t="shared" si="4"/>
        <v>226198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</row>
    <row r="21" ht="15.75" customHeight="1">
      <c r="A21" s="7"/>
    </row>
    <row r="22" ht="15.75" customHeight="1">
      <c r="A22" s="7" t="s">
        <v>18</v>
      </c>
      <c r="B22" s="6">
        <f t="shared" ref="B22:J22" si="5">B18-B20</f>
        <v>62518</v>
      </c>
      <c r="C22" s="6">
        <f t="shared" si="5"/>
        <v>100438</v>
      </c>
      <c r="D22" s="6">
        <f t="shared" si="5"/>
        <v>113494</v>
      </c>
      <c r="E22" s="6">
        <f t="shared" si="5"/>
        <v>105440</v>
      </c>
      <c r="F22" s="6">
        <f t="shared" si="5"/>
        <v>71186</v>
      </c>
      <c r="G22" s="6">
        <f t="shared" si="5"/>
        <v>52538</v>
      </c>
      <c r="H22" s="6">
        <f t="shared" si="5"/>
        <v>46619</v>
      </c>
      <c r="I22" s="6">
        <f t="shared" si="5"/>
        <v>105131</v>
      </c>
      <c r="J22" s="6">
        <f t="shared" si="5"/>
        <v>173640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</row>
    <row r="25" ht="15.75" customHeight="1">
      <c r="A25" s="7"/>
    </row>
    <row r="26" ht="15.75" customHeight="1">
      <c r="A26" s="7" t="s">
        <v>23</v>
      </c>
      <c r="B26" s="6">
        <f t="shared" ref="B26:J26" si="6">B22-B24</f>
        <v>61581</v>
      </c>
      <c r="C26" s="6">
        <f t="shared" si="6"/>
        <v>99544</v>
      </c>
      <c r="D26" s="6">
        <f t="shared" si="6"/>
        <v>110036</v>
      </c>
      <c r="E26" s="6">
        <f t="shared" si="6"/>
        <v>104681</v>
      </c>
      <c r="F26" s="6">
        <f t="shared" si="6"/>
        <v>69844</v>
      </c>
      <c r="G26" s="6">
        <f t="shared" si="6"/>
        <v>51520</v>
      </c>
      <c r="H26" s="6">
        <f t="shared" si="6"/>
        <v>45353</v>
      </c>
      <c r="I26" s="6">
        <f t="shared" si="6"/>
        <v>102608</v>
      </c>
      <c r="J26" s="6">
        <f t="shared" si="6"/>
        <v>171704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</row>
    <row r="28" ht="15.75" customHeight="1">
      <c r="A28" s="7" t="s">
        <v>25</v>
      </c>
      <c r="B28" s="6">
        <f t="shared" ref="B28:J28" si="7">SUM(B26:B27)</f>
        <v>66296</v>
      </c>
      <c r="C28" s="6">
        <f t="shared" si="7"/>
        <v>101272</v>
      </c>
      <c r="D28" s="6">
        <f t="shared" si="7"/>
        <v>111669</v>
      </c>
      <c r="E28" s="6">
        <f t="shared" si="7"/>
        <v>102651</v>
      </c>
      <c r="F28" s="6">
        <f t="shared" si="7"/>
        <v>65427</v>
      </c>
      <c r="G28" s="6">
        <f t="shared" si="7"/>
        <v>56656</v>
      </c>
      <c r="H28" s="6">
        <f t="shared" si="7"/>
        <v>48482</v>
      </c>
      <c r="I28" s="6">
        <f t="shared" si="7"/>
        <v>103194</v>
      </c>
      <c r="J28" s="6">
        <f t="shared" si="7"/>
        <v>174373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</row>
    <row r="31" ht="15.75" customHeight="1">
      <c r="A31" s="7"/>
    </row>
    <row r="32" ht="15.75" customHeight="1">
      <c r="A32" s="7" t="s">
        <v>27</v>
      </c>
      <c r="B32" s="6">
        <f t="shared" ref="B32:J32" si="8">B28-B30</f>
        <v>46309</v>
      </c>
      <c r="C32" s="6">
        <f t="shared" si="8"/>
        <v>75110</v>
      </c>
      <c r="D32" s="6">
        <f t="shared" si="8"/>
        <v>78807</v>
      </c>
      <c r="E32" s="6">
        <f t="shared" si="8"/>
        <v>72919</v>
      </c>
      <c r="F32" s="6">
        <f t="shared" si="8"/>
        <v>51175</v>
      </c>
      <c r="G32" s="6">
        <f t="shared" si="8"/>
        <v>47337</v>
      </c>
      <c r="H32" s="6">
        <f t="shared" si="8"/>
        <v>40305</v>
      </c>
      <c r="I32" s="6">
        <f t="shared" si="8"/>
        <v>81449</v>
      </c>
      <c r="J32" s="6">
        <f t="shared" si="8"/>
        <v>135010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9">B32+B33</f>
        <v>46988</v>
      </c>
      <c r="C36" s="9">
        <f t="shared" si="9"/>
        <v>77326</v>
      </c>
      <c r="D36" s="9">
        <f t="shared" si="9"/>
        <v>82118</v>
      </c>
      <c r="E36" s="9">
        <f>E32+F33</f>
        <v>74103</v>
      </c>
      <c r="F36" s="9">
        <f t="shared" ref="F36:J36" si="10">F32+F33</f>
        <v>52359</v>
      </c>
      <c r="G36" s="9">
        <f t="shared" si="10"/>
        <v>49027</v>
      </c>
      <c r="H36" s="9">
        <f t="shared" si="10"/>
        <v>41924</v>
      </c>
      <c r="I36" s="9">
        <f t="shared" si="10"/>
        <v>83223</v>
      </c>
      <c r="J36" s="9">
        <f t="shared" si="10"/>
        <v>137551</v>
      </c>
      <c r="K36" s="10"/>
      <c r="L36" s="10"/>
      <c r="M36" s="10"/>
      <c r="N36" s="10"/>
      <c r="O36" s="10"/>
      <c r="P36" s="10"/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</row>
    <row r="42" ht="15.75" customHeight="1">
      <c r="A42" s="1" t="s">
        <v>32</v>
      </c>
    </row>
    <row r="43" ht="15.75" customHeight="1">
      <c r="A43" s="1" t="s">
        <v>33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</row>
    <row r="47" ht="15.75" customHeight="1">
      <c r="A47" s="7" t="s">
        <v>36</v>
      </c>
    </row>
    <row r="48" ht="15.75" customHeight="1">
      <c r="A48" s="7"/>
    </row>
    <row r="49" ht="15.75" customHeight="1">
      <c r="A49" s="7" t="s">
        <v>37</v>
      </c>
    </row>
    <row r="50" ht="15.75" customHeight="1">
      <c r="A50" s="1" t="s">
        <v>38</v>
      </c>
    </row>
    <row r="51" ht="15.75" customHeight="1">
      <c r="A51" s="1" t="s">
        <v>39</v>
      </c>
    </row>
    <row r="52" ht="15.75" customHeight="1">
      <c r="A52" s="1" t="s">
        <v>40</v>
      </c>
    </row>
    <row r="53" ht="15.75" customHeight="1">
      <c r="A53" s="1" t="s">
        <v>41</v>
      </c>
    </row>
    <row r="54" ht="15.75" customHeight="1">
      <c r="A54" s="7"/>
    </row>
    <row r="55" ht="15.75" customHeight="1">
      <c r="A55" s="1" t="s">
        <v>42</v>
      </c>
    </row>
    <row r="56" ht="15.75" customHeight="1">
      <c r="A56" s="1" t="s">
        <v>43</v>
      </c>
    </row>
    <row r="57" ht="15.75" customHeight="1">
      <c r="A57" s="1" t="s">
        <v>44</v>
      </c>
    </row>
    <row r="58" ht="15.75" customHeight="1">
      <c r="A58" s="1" t="s">
        <v>45</v>
      </c>
    </row>
    <row r="59" ht="15.75" customHeight="1">
      <c r="A59" s="1" t="s">
        <v>46</v>
      </c>
    </row>
    <row r="60" ht="15.75" customHeight="1">
      <c r="A60" s="1" t="s">
        <v>47</v>
      </c>
    </row>
    <row r="61" ht="15.75" customHeight="1">
      <c r="A61" s="1" t="s">
        <v>48</v>
      </c>
    </row>
    <row r="62" ht="15.75" customHeight="1">
      <c r="A62" s="8" t="s">
        <v>49</v>
      </c>
    </row>
    <row r="63" ht="15.75" customHeight="1">
      <c r="A63" s="7"/>
    </row>
    <row r="64" ht="15.75" customHeight="1">
      <c r="A64" s="7"/>
    </row>
    <row r="65" ht="15.75" customHeight="1">
      <c r="A65" s="4" t="s">
        <v>50</v>
      </c>
    </row>
    <row r="66" ht="15.75" customHeight="1">
      <c r="A66" s="7"/>
    </row>
    <row r="67" ht="15.75" customHeight="1">
      <c r="A67" s="1" t="s">
        <v>51</v>
      </c>
    </row>
    <row r="68" ht="15.75" customHeight="1">
      <c r="A68" s="16" t="s">
        <v>52</v>
      </c>
    </row>
    <row r="69" ht="15.75" customHeight="1">
      <c r="A69" s="16" t="s">
        <v>53</v>
      </c>
    </row>
    <row r="70" ht="15.75" customHeight="1">
      <c r="A70" s="16" t="s">
        <v>54</v>
      </c>
    </row>
    <row r="71" ht="15.75" customHeight="1">
      <c r="A71" s="16" t="s">
        <v>55</v>
      </c>
    </row>
    <row r="72" ht="15.75" customHeight="1">
      <c r="A72" s="1"/>
    </row>
    <row r="73" ht="15.75" customHeight="1">
      <c r="A73" s="1" t="s">
        <v>56</v>
      </c>
    </row>
    <row r="74" ht="15.75" customHeight="1">
      <c r="A74" s="1" t="s">
        <v>57</v>
      </c>
    </row>
    <row r="75" ht="15.75" customHeight="1">
      <c r="A75" s="1" t="s">
        <v>58</v>
      </c>
    </row>
    <row r="76" ht="15.75" customHeight="1">
      <c r="A76" s="1" t="s">
        <v>59</v>
      </c>
    </row>
    <row r="77" ht="15.75" customHeight="1">
      <c r="A77" s="1"/>
    </row>
    <row r="78" ht="15.75" customHeight="1">
      <c r="A78" s="1" t="s">
        <v>60</v>
      </c>
    </row>
    <row r="79" ht="15.75" customHeight="1">
      <c r="A79" s="1"/>
    </row>
    <row r="80" ht="15.75" customHeight="1">
      <c r="A80" s="16" t="s">
        <v>61</v>
      </c>
    </row>
    <row r="81" ht="15.75" customHeight="1">
      <c r="A81" s="16" t="s">
        <v>62</v>
      </c>
    </row>
    <row r="82" ht="15.75" customHeight="1">
      <c r="A82" s="16" t="s">
        <v>63</v>
      </c>
    </row>
    <row r="83" ht="15.75" customHeight="1">
      <c r="A83" s="16" t="s">
        <v>64</v>
      </c>
    </row>
    <row r="84" ht="15.75" customHeight="1">
      <c r="A84" s="16" t="s">
        <v>65</v>
      </c>
    </row>
    <row r="85" ht="15.75" customHeight="1">
      <c r="A85" s="16" t="s">
        <v>66</v>
      </c>
    </row>
    <row r="86" ht="15.75" customHeight="1">
      <c r="A86" s="16" t="s">
        <v>67</v>
      </c>
    </row>
    <row r="87" ht="15.75" customHeight="1">
      <c r="A87" s="1" t="s">
        <v>57</v>
      </c>
    </row>
    <row r="88" ht="15.75" customHeight="1">
      <c r="A88" s="8" t="s">
        <v>49</v>
      </c>
    </row>
    <row r="89" ht="15.75" customHeight="1">
      <c r="A89" s="1"/>
    </row>
    <row r="90" ht="15.75" customHeight="1">
      <c r="A90" s="5" t="s">
        <v>68</v>
      </c>
      <c r="B90" s="22">
        <v>1500000.0</v>
      </c>
      <c r="C90" s="22">
        <v>1550000.0</v>
      </c>
      <c r="D90" s="22">
        <v>1560000.0</v>
      </c>
    </row>
    <row r="91" ht="15.75" customHeight="1">
      <c r="A91" s="5" t="s">
        <v>69</v>
      </c>
      <c r="C91" s="19">
        <f t="shared" ref="C91:J91" si="11">C90-B90</f>
        <v>50000</v>
      </c>
      <c r="D91" s="19">
        <f t="shared" si="11"/>
        <v>10000</v>
      </c>
      <c r="E91" s="19">
        <f t="shared" si="11"/>
        <v>-1560000</v>
      </c>
      <c r="F91" s="44">
        <f t="shared" si="11"/>
        <v>0</v>
      </c>
      <c r="G91" s="44">
        <f t="shared" si="11"/>
        <v>0</v>
      </c>
      <c r="H91" s="44">
        <f t="shared" si="11"/>
        <v>0</v>
      </c>
      <c r="I91" s="44">
        <f t="shared" si="11"/>
        <v>0</v>
      </c>
      <c r="J91" s="44">
        <f t="shared" si="11"/>
        <v>0</v>
      </c>
    </row>
    <row r="92" ht="15.75" customHeight="1">
      <c r="A92" s="5"/>
    </row>
    <row r="93" ht="15.75" customHeight="1">
      <c r="A93" s="5" t="s">
        <v>70</v>
      </c>
      <c r="B93" s="22">
        <v>1305351.0</v>
      </c>
      <c r="C93" s="22">
        <v>1444541.0</v>
      </c>
    </row>
    <row r="94" ht="15.75" customHeight="1">
      <c r="A94" s="5" t="s">
        <v>71</v>
      </c>
      <c r="B94" s="22">
        <v>123897.0</v>
      </c>
      <c r="C94" s="22">
        <v>124062.0</v>
      </c>
    </row>
    <row r="95" ht="15.75" customHeight="1">
      <c r="A95" s="5" t="s">
        <v>49</v>
      </c>
      <c r="B95" s="27">
        <f t="shared" ref="B95:J95" si="12">SUM(B93:B94)</f>
        <v>1429248</v>
      </c>
      <c r="C95" s="27">
        <f t="shared" si="12"/>
        <v>1568603</v>
      </c>
      <c r="D95" s="27">
        <f t="shared" si="12"/>
        <v>0</v>
      </c>
      <c r="E95" s="27">
        <f t="shared" si="12"/>
        <v>0</v>
      </c>
      <c r="F95" s="27">
        <f t="shared" si="12"/>
        <v>0</v>
      </c>
      <c r="G95" s="27">
        <f t="shared" si="12"/>
        <v>0</v>
      </c>
      <c r="H95" s="27">
        <f t="shared" si="12"/>
        <v>0</v>
      </c>
      <c r="I95" s="27">
        <f t="shared" si="12"/>
        <v>0</v>
      </c>
      <c r="J95" s="27">
        <f t="shared" si="12"/>
        <v>0</v>
      </c>
    </row>
    <row r="96" ht="15.75" customHeight="1">
      <c r="A96" s="5"/>
    </row>
    <row r="97" ht="15.75" customHeight="1">
      <c r="A97" s="5" t="s">
        <v>72</v>
      </c>
      <c r="B97" s="35">
        <f t="shared" ref="B97:J97" si="13">B95/B90</f>
        <v>0.952832</v>
      </c>
      <c r="C97" s="35">
        <f t="shared" si="13"/>
        <v>1.012001935</v>
      </c>
      <c r="D97" s="35">
        <f t="shared" si="13"/>
        <v>0</v>
      </c>
      <c r="E97" s="35" t="str">
        <f t="shared" si="13"/>
        <v>#DIV/0!</v>
      </c>
      <c r="F97" s="35" t="str">
        <f t="shared" si="13"/>
        <v>#DIV/0!</v>
      </c>
      <c r="G97" s="35" t="str">
        <f t="shared" si="13"/>
        <v>#DIV/0!</v>
      </c>
      <c r="H97" s="35" t="str">
        <f t="shared" si="13"/>
        <v>#DIV/0!</v>
      </c>
      <c r="I97" s="35" t="str">
        <f t="shared" si="13"/>
        <v>#DIV/0!</v>
      </c>
      <c r="J97" s="35" t="str">
        <f t="shared" si="13"/>
        <v>#DIV/0!</v>
      </c>
    </row>
    <row r="98" ht="15.75" customHeight="1">
      <c r="A98" s="5"/>
    </row>
    <row r="99" ht="15.75" customHeight="1">
      <c r="A99" s="17" t="s">
        <v>73</v>
      </c>
      <c r="C99" s="35">
        <f t="shared" ref="C99:J99" si="14">C93/B93-1</f>
        <v>0.106630324</v>
      </c>
      <c r="D99" s="35">
        <f t="shared" si="14"/>
        <v>-1</v>
      </c>
      <c r="E99" s="35" t="str">
        <f t="shared" si="14"/>
        <v>#DIV/0!</v>
      </c>
      <c r="F99" s="35" t="str">
        <f t="shared" si="14"/>
        <v>#DIV/0!</v>
      </c>
      <c r="G99" s="35" t="str">
        <f t="shared" si="14"/>
        <v>#DIV/0!</v>
      </c>
      <c r="H99" s="35" t="str">
        <f t="shared" si="14"/>
        <v>#DIV/0!</v>
      </c>
      <c r="I99" s="35" t="str">
        <f t="shared" si="14"/>
        <v>#DIV/0!</v>
      </c>
      <c r="J99" s="35" t="str">
        <f t="shared" si="14"/>
        <v>#DIV/0!</v>
      </c>
    </row>
    <row r="100" ht="15.75" customHeight="1">
      <c r="A100" s="5" t="s">
        <v>74</v>
      </c>
      <c r="C100" s="35">
        <f t="shared" ref="C100:J100" si="15">C94/B94-1</f>
        <v>0.001331751374</v>
      </c>
      <c r="D100" s="35">
        <f t="shared" si="15"/>
        <v>-1</v>
      </c>
      <c r="E100" s="35" t="str">
        <f t="shared" si="15"/>
        <v>#DIV/0!</v>
      </c>
      <c r="F100" s="35" t="str">
        <f t="shared" si="15"/>
        <v>#DIV/0!</v>
      </c>
      <c r="G100" s="35" t="str">
        <f t="shared" si="15"/>
        <v>#DIV/0!</v>
      </c>
      <c r="H100" s="35" t="str">
        <f t="shared" si="15"/>
        <v>#DIV/0!</v>
      </c>
      <c r="I100" s="35" t="str">
        <f t="shared" si="15"/>
        <v>#DIV/0!</v>
      </c>
      <c r="J100" s="35" t="str">
        <f t="shared" si="15"/>
        <v>#DIV/0!</v>
      </c>
    </row>
    <row r="101" ht="15.75" customHeight="1">
      <c r="A101" s="5" t="s">
        <v>75</v>
      </c>
      <c r="B101" s="34"/>
      <c r="C101" s="36">
        <f t="shared" ref="C101:J101" si="16">C95/B95-1</f>
        <v>0.0975023229</v>
      </c>
      <c r="D101" s="36">
        <f t="shared" si="16"/>
        <v>-1</v>
      </c>
      <c r="E101" s="36" t="str">
        <f t="shared" si="16"/>
        <v>#DIV/0!</v>
      </c>
      <c r="F101" s="36" t="str">
        <f t="shared" si="16"/>
        <v>#DIV/0!</v>
      </c>
      <c r="G101" s="36" t="str">
        <f t="shared" si="16"/>
        <v>#DIV/0!</v>
      </c>
      <c r="H101" s="36" t="str">
        <f t="shared" si="16"/>
        <v>#DIV/0!</v>
      </c>
      <c r="I101" s="36" t="str">
        <f t="shared" si="16"/>
        <v>#DIV/0!</v>
      </c>
      <c r="J101" s="36" t="str">
        <f t="shared" si="16"/>
        <v>#DIV/0!</v>
      </c>
    </row>
    <row r="102" ht="15.75" customHeight="1">
      <c r="A102" s="5"/>
    </row>
    <row r="103" ht="15.75" customHeight="1">
      <c r="A103" s="17" t="s">
        <v>76</v>
      </c>
    </row>
    <row r="104" ht="15.75" customHeight="1">
      <c r="A104" s="5" t="s">
        <v>77</v>
      </c>
    </row>
    <row r="105" ht="15.75" customHeight="1">
      <c r="A105" s="5" t="s">
        <v>71</v>
      </c>
    </row>
    <row r="106" ht="15.75" customHeight="1">
      <c r="A106" s="5" t="s">
        <v>49</v>
      </c>
    </row>
    <row r="107" ht="15.75" customHeight="1">
      <c r="A107" s="5" t="s">
        <v>78</v>
      </c>
    </row>
    <row r="108" ht="15.75" customHeight="1">
      <c r="A108" s="5" t="s">
        <v>79</v>
      </c>
    </row>
    <row r="109" ht="15.75" customHeight="1">
      <c r="A109" s="5"/>
    </row>
    <row r="110" ht="15.75" customHeight="1">
      <c r="A110" s="17" t="s">
        <v>80</v>
      </c>
    </row>
    <row r="111" ht="15.75" customHeight="1">
      <c r="A111" s="5" t="s">
        <v>70</v>
      </c>
    </row>
    <row r="112" ht="15.75" customHeight="1">
      <c r="A112" s="5" t="s">
        <v>71</v>
      </c>
    </row>
    <row r="113" ht="15.75" customHeight="1">
      <c r="A113" s="5" t="s">
        <v>81</v>
      </c>
    </row>
    <row r="114" ht="15.75" customHeight="1">
      <c r="A114" s="5"/>
    </row>
    <row r="115" ht="15.75" customHeight="1">
      <c r="A115" s="5"/>
    </row>
    <row r="116" ht="15.75" customHeight="1">
      <c r="A116" s="5" t="s">
        <v>82</v>
      </c>
    </row>
    <row r="117" ht="15.75" customHeight="1">
      <c r="A117" s="5" t="s">
        <v>83</v>
      </c>
    </row>
    <row r="118" ht="15.75" customHeight="1">
      <c r="A118" s="5"/>
    </row>
    <row r="119" ht="15.75" customHeight="1">
      <c r="A119" s="17" t="s">
        <v>84</v>
      </c>
    </row>
    <row r="120" ht="15.75" customHeight="1">
      <c r="A120" s="5"/>
    </row>
    <row r="121" ht="15.75" customHeight="1">
      <c r="A121" s="1" t="s">
        <v>5</v>
      </c>
    </row>
    <row r="122" ht="15.75" customHeight="1">
      <c r="A122" s="1" t="s">
        <v>6</v>
      </c>
    </row>
    <row r="123" ht="15.75" customHeight="1">
      <c r="A123" s="1" t="s">
        <v>8</v>
      </c>
    </row>
    <row r="124" ht="15.75" customHeight="1">
      <c r="A124" s="1" t="s">
        <v>10</v>
      </c>
    </row>
    <row r="125" ht="15.75" customHeight="1">
      <c r="A125" s="1" t="s">
        <v>12</v>
      </c>
    </row>
    <row r="126" ht="15.75" customHeight="1">
      <c r="A126" s="1" t="s">
        <v>85</v>
      </c>
    </row>
    <row r="127" ht="15.75" customHeight="1">
      <c r="A127" s="5"/>
    </row>
    <row r="128" ht="15.75" customHeight="1">
      <c r="A128" s="5"/>
    </row>
    <row r="129" ht="15.75" customHeight="1">
      <c r="A129" s="18" t="s">
        <v>86</v>
      </c>
    </row>
    <row r="130" ht="15.75" customHeight="1">
      <c r="A130" s="5"/>
    </row>
    <row r="131" ht="15.75" customHeight="1">
      <c r="A131" s="1" t="s">
        <v>5</v>
      </c>
    </row>
    <row r="132" ht="15.75" customHeight="1">
      <c r="A132" s="1" t="s">
        <v>6</v>
      </c>
    </row>
    <row r="133" ht="15.75" customHeight="1">
      <c r="A133" s="1" t="s">
        <v>8</v>
      </c>
    </row>
    <row r="134" ht="15.75" customHeight="1">
      <c r="A134" s="1" t="s">
        <v>10</v>
      </c>
    </row>
    <row r="135" ht="15.75" customHeight="1">
      <c r="A135" s="1" t="s">
        <v>12</v>
      </c>
    </row>
    <row r="136" ht="15.75" customHeight="1">
      <c r="A136" s="1" t="s">
        <v>85</v>
      </c>
    </row>
    <row r="137" ht="15.75" customHeight="1">
      <c r="A137" s="5"/>
    </row>
    <row r="138" ht="15.75" customHeight="1">
      <c r="A138" s="1" t="s">
        <v>83</v>
      </c>
    </row>
    <row r="139" ht="15.75" customHeight="1">
      <c r="A139" s="1" t="s">
        <v>5</v>
      </c>
    </row>
    <row r="140" ht="15.75" customHeight="1">
      <c r="A140" s="1" t="s">
        <v>6</v>
      </c>
    </row>
    <row r="141" ht="15.75" customHeight="1">
      <c r="A141" s="1" t="s">
        <v>8</v>
      </c>
    </row>
    <row r="142" ht="15.75" customHeight="1">
      <c r="A142" s="1" t="s">
        <v>10</v>
      </c>
    </row>
    <row r="143" ht="15.75" customHeight="1">
      <c r="A143" s="1" t="s">
        <v>12</v>
      </c>
    </row>
    <row r="144" ht="15.75" customHeight="1">
      <c r="A144" s="1" t="s">
        <v>85</v>
      </c>
    </row>
    <row r="145" ht="15.75" customHeight="1">
      <c r="A145" s="5"/>
    </row>
    <row r="146" ht="15.75" customHeight="1">
      <c r="A146" s="5"/>
    </row>
    <row r="147" ht="15.75" customHeight="1">
      <c r="A147" s="5"/>
    </row>
    <row r="148" ht="15.75" customHeight="1">
      <c r="A148" s="18" t="s">
        <v>87</v>
      </c>
    </row>
    <row r="149" ht="15.75" customHeight="1">
      <c r="A149" s="5"/>
    </row>
    <row r="150" ht="15.75" customHeight="1">
      <c r="A150" s="5" t="s">
        <v>60</v>
      </c>
    </row>
    <row r="151" ht="15.75" customHeight="1">
      <c r="A151" s="16" t="s">
        <v>61</v>
      </c>
    </row>
    <row r="152" ht="15.75" customHeight="1">
      <c r="A152" s="16" t="s">
        <v>62</v>
      </c>
    </row>
    <row r="153" ht="15.75" customHeight="1">
      <c r="A153" s="16" t="s">
        <v>64</v>
      </c>
    </row>
    <row r="154" ht="15.75" customHeight="1">
      <c r="A154" s="16" t="s">
        <v>65</v>
      </c>
    </row>
    <row r="155" ht="15.75" customHeight="1">
      <c r="A155" s="16" t="s">
        <v>66</v>
      </c>
    </row>
    <row r="156" ht="15.75" customHeight="1">
      <c r="A156" s="1" t="s">
        <v>57</v>
      </c>
    </row>
    <row r="157" ht="15.75" customHeight="1">
      <c r="A157" s="5"/>
    </row>
    <row r="158" ht="15.75" customHeight="1">
      <c r="A158" s="5" t="s">
        <v>42</v>
      </c>
    </row>
    <row r="159" ht="15.75" customHeight="1">
      <c r="A159" s="1" t="s">
        <v>43</v>
      </c>
    </row>
    <row r="160" ht="15.75" customHeight="1">
      <c r="A160" s="1" t="s">
        <v>44</v>
      </c>
    </row>
    <row r="161" ht="15.75" customHeight="1">
      <c r="A161" s="1" t="s">
        <v>45</v>
      </c>
    </row>
    <row r="162" ht="15.75" customHeight="1">
      <c r="A162" s="1" t="s">
        <v>46</v>
      </c>
    </row>
    <row r="163" ht="15.75" customHeight="1">
      <c r="A163" s="1" t="s">
        <v>47</v>
      </c>
    </row>
    <row r="164" ht="15.75" customHeight="1">
      <c r="A164" s="1" t="s">
        <v>48</v>
      </c>
    </row>
    <row r="165" ht="15.75" customHeight="1">
      <c r="A165" s="5"/>
    </row>
    <row r="166" ht="15.75" customHeight="1">
      <c r="A166" s="1" t="s">
        <v>88</v>
      </c>
    </row>
    <row r="167" ht="15.75" customHeight="1">
      <c r="A167" s="5"/>
    </row>
    <row r="168" ht="15.75" customHeight="1">
      <c r="A168" s="18" t="s">
        <v>89</v>
      </c>
    </row>
    <row r="169" ht="15.75" customHeight="1">
      <c r="A169" s="5" t="s">
        <v>60</v>
      </c>
    </row>
    <row r="170" ht="15.75" customHeight="1">
      <c r="A170" s="16" t="s">
        <v>61</v>
      </c>
    </row>
    <row r="171" ht="15.75" customHeight="1">
      <c r="A171" s="16" t="s">
        <v>62</v>
      </c>
    </row>
    <row r="172" ht="15.75" customHeight="1">
      <c r="A172" s="16" t="s">
        <v>64</v>
      </c>
    </row>
    <row r="173" ht="15.75" customHeight="1">
      <c r="A173" s="16" t="s">
        <v>65</v>
      </c>
    </row>
    <row r="174" ht="15.75" customHeight="1">
      <c r="A174" s="16" t="s">
        <v>66</v>
      </c>
    </row>
    <row r="175" ht="15.75" customHeight="1">
      <c r="A175" s="1" t="s">
        <v>57</v>
      </c>
    </row>
    <row r="176" ht="15.75" customHeight="1">
      <c r="A176" s="5"/>
    </row>
    <row r="177" ht="15.75" customHeight="1">
      <c r="A177" s="5" t="s">
        <v>42</v>
      </c>
    </row>
    <row r="178" ht="15.75" customHeight="1">
      <c r="A178" s="1" t="s">
        <v>43</v>
      </c>
    </row>
    <row r="179" ht="15.75" customHeight="1">
      <c r="A179" s="1" t="s">
        <v>44</v>
      </c>
    </row>
    <row r="180" ht="15.75" customHeight="1">
      <c r="A180" s="1" t="s">
        <v>45</v>
      </c>
    </row>
    <row r="181" ht="15.75" customHeight="1">
      <c r="A181" s="1" t="s">
        <v>46</v>
      </c>
    </row>
    <row r="182" ht="15.75" customHeight="1">
      <c r="A182" s="1" t="s">
        <v>47</v>
      </c>
    </row>
    <row r="183" ht="15.75" customHeight="1">
      <c r="A183" s="1" t="s">
        <v>48</v>
      </c>
    </row>
    <row r="184" ht="15.75" customHeight="1">
      <c r="A184" s="5"/>
    </row>
    <row r="185" ht="15.75" customHeight="1">
      <c r="A185" s="1" t="s">
        <v>90</v>
      </c>
    </row>
    <row r="186" ht="15.75" customHeight="1">
      <c r="A186" s="1" t="s">
        <v>91</v>
      </c>
    </row>
    <row r="187" ht="15.75" customHeight="1">
      <c r="A187" s="5"/>
    </row>
    <row r="188" ht="15.75" customHeight="1">
      <c r="A188" s="5"/>
    </row>
    <row r="189" ht="15.75" customHeight="1">
      <c r="A189" s="5"/>
    </row>
    <row r="190" ht="15.75" customHeight="1">
      <c r="A190" s="18" t="s">
        <v>92</v>
      </c>
    </row>
    <row r="191" ht="15.75" customHeight="1">
      <c r="A191" s="5" t="s">
        <v>93</v>
      </c>
    </row>
    <row r="192" ht="15.75" customHeight="1">
      <c r="A192" s="5" t="s">
        <v>94</v>
      </c>
    </row>
    <row r="193" ht="15.75" customHeight="1">
      <c r="A193" s="5" t="s">
        <v>49</v>
      </c>
    </row>
    <row r="194" ht="15.75" customHeight="1">
      <c r="A194" s="5"/>
    </row>
    <row r="195" ht="15.75" customHeight="1">
      <c r="A195" s="5" t="s">
        <v>95</v>
      </c>
    </row>
    <row r="196" ht="15.75" customHeight="1">
      <c r="A196" s="5"/>
    </row>
    <row r="197" ht="15.75" customHeight="1">
      <c r="A197" s="5" t="s">
        <v>96</v>
      </c>
    </row>
    <row r="198" ht="15.75" customHeight="1">
      <c r="A198" s="5" t="s">
        <v>97</v>
      </c>
    </row>
    <row r="199" ht="15.75" customHeight="1">
      <c r="A199" s="5" t="s">
        <v>98</v>
      </c>
    </row>
    <row r="200" ht="15.75" customHeight="1">
      <c r="A200" s="5"/>
    </row>
    <row r="201" ht="15.75" customHeight="1">
      <c r="A201" s="5" t="s">
        <v>99</v>
      </c>
    </row>
    <row r="202" ht="15.75" customHeight="1">
      <c r="A202" s="5" t="s">
        <v>100</v>
      </c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233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34" t="s">
        <v>220</v>
      </c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88">
        <v>75660.0</v>
      </c>
      <c r="C5" s="88">
        <v>70372.0</v>
      </c>
      <c r="D5" s="88">
        <v>88330.0</v>
      </c>
      <c r="E5" s="88">
        <v>117571.0</v>
      </c>
      <c r="F5" s="88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88">
        <v>7355.0</v>
      </c>
      <c r="C6" s="88">
        <v>5411.0</v>
      </c>
      <c r="D6" s="88">
        <v>5752.0</v>
      </c>
      <c r="E6" s="88">
        <v>11029.0</v>
      </c>
      <c r="F6" s="88">
        <v>18626.0</v>
      </c>
      <c r="G6" s="87">
        <f t="shared" si="2"/>
        <v>0.2042242937</v>
      </c>
    </row>
    <row r="7" ht="15.75" customHeight="1">
      <c r="A7" s="85" t="s">
        <v>19</v>
      </c>
      <c r="B7" s="89">
        <v>134.0</v>
      </c>
      <c r="C7" s="89">
        <v>102.0</v>
      </c>
      <c r="D7" s="89">
        <v>127.0</v>
      </c>
      <c r="E7" s="90">
        <v>187.0</v>
      </c>
      <c r="F7" s="89">
        <v>194.0</v>
      </c>
      <c r="G7" s="87">
        <f t="shared" si="2"/>
        <v>0.07681075935</v>
      </c>
    </row>
    <row r="8" ht="15.75" customHeight="1">
      <c r="A8" s="85" t="s">
        <v>146</v>
      </c>
      <c r="B8" s="88">
        <v>5678.0</v>
      </c>
      <c r="C8" s="88">
        <v>4389.0</v>
      </c>
      <c r="D8" s="88">
        <v>3880.0</v>
      </c>
      <c r="E8" s="88">
        <v>8211.0</v>
      </c>
      <c r="F8" s="88">
        <v>13488.0</v>
      </c>
      <c r="G8" s="87">
        <f t="shared" si="2"/>
        <v>0.1889139801</v>
      </c>
    </row>
    <row r="9" ht="15.75" customHeight="1">
      <c r="A9" s="85" t="s">
        <v>147</v>
      </c>
      <c r="B9" s="91">
        <v>0.0</v>
      </c>
      <c r="C9" s="91">
        <v>0.0</v>
      </c>
      <c r="D9" s="91">
        <v>0.0</v>
      </c>
      <c r="E9" s="91">
        <v>0.0</v>
      </c>
      <c r="F9" s="91">
        <v>0.0</v>
      </c>
      <c r="G9" s="87" t="str">
        <f t="shared" si="2"/>
        <v>#DIV/0!</v>
      </c>
      <c r="I9" s="11" t="s">
        <v>7</v>
      </c>
      <c r="J9" s="12"/>
      <c r="K9" s="12"/>
    </row>
    <row r="10" ht="15.75" customHeight="1">
      <c r="A10" s="85" t="s">
        <v>148</v>
      </c>
      <c r="B10" s="91">
        <v>0.0</v>
      </c>
      <c r="C10" s="91">
        <v>0.0</v>
      </c>
      <c r="D10" s="91">
        <v>0.0</v>
      </c>
      <c r="E10" s="91">
        <v>0.0</v>
      </c>
      <c r="F10" s="91">
        <v>0.0</v>
      </c>
      <c r="G10" s="87" t="str">
        <f t="shared" si="2"/>
        <v>#DIV/0!</v>
      </c>
      <c r="I10" s="11" t="s">
        <v>9</v>
      </c>
      <c r="J10" s="12"/>
      <c r="K10" s="12"/>
    </row>
    <row r="11" ht="15.75" customHeight="1">
      <c r="A11" s="85" t="s">
        <v>149</v>
      </c>
      <c r="B11" s="88">
        <v>3496.0</v>
      </c>
      <c r="C11" s="88">
        <v>8856.0</v>
      </c>
      <c r="D11" s="88">
        <v>1840.0</v>
      </c>
      <c r="E11" s="88">
        <v>9251.0</v>
      </c>
      <c r="F11" s="88">
        <v>16801.0</v>
      </c>
      <c r="G11" s="87">
        <f t="shared" si="2"/>
        <v>0.3688401701</v>
      </c>
      <c r="I11" s="11" t="s">
        <v>221</v>
      </c>
      <c r="J11" s="12"/>
      <c r="K11" s="12"/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88">
        <v>49413.0</v>
      </c>
      <c r="C13" s="88">
        <v>57501.0</v>
      </c>
      <c r="D13" s="88">
        <v>55314.0</v>
      </c>
      <c r="E13" s="88">
        <v>74600.0</v>
      </c>
      <c r="F13" s="88">
        <v>85636.0</v>
      </c>
      <c r="G13" s="87">
        <f t="shared" ref="G13:G15" si="3">(F13/B13)^(1/5)-1</f>
        <v>0.1162540056</v>
      </c>
    </row>
    <row r="14" ht="15.75" customHeight="1">
      <c r="A14" s="85" t="s">
        <v>151</v>
      </c>
      <c r="B14" s="88">
        <v>2890.0</v>
      </c>
      <c r="C14" s="88">
        <v>2662.0</v>
      </c>
      <c r="D14" s="88">
        <v>2157.0</v>
      </c>
      <c r="E14" s="88">
        <v>2739.0</v>
      </c>
      <c r="F14" s="88">
        <v>3716.0</v>
      </c>
      <c r="G14" s="87">
        <f t="shared" si="3"/>
        <v>0.05156366773</v>
      </c>
    </row>
    <row r="15" ht="15.75" customHeight="1">
      <c r="A15" s="85" t="s">
        <v>152</v>
      </c>
      <c r="B15" s="88">
        <v>15744.0</v>
      </c>
      <c r="C15" s="88">
        <v>14989.0</v>
      </c>
      <c r="D15" s="88">
        <v>13747.0</v>
      </c>
      <c r="E15" s="88">
        <v>17830.0</v>
      </c>
      <c r="F15" s="88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98">
        <f t="shared" ref="B18:F18" si="4">B6/B5</f>
        <v>0.09721120804</v>
      </c>
      <c r="C18" s="98">
        <f t="shared" si="4"/>
        <v>0.07689137725</v>
      </c>
      <c r="D18" s="98">
        <f t="shared" si="4"/>
        <v>0.06511943847</v>
      </c>
      <c r="E18" s="98">
        <f t="shared" si="4"/>
        <v>0.09380714632</v>
      </c>
      <c r="F18" s="98">
        <f t="shared" si="4"/>
        <v>0.1313003144</v>
      </c>
      <c r="G18" s="95"/>
    </row>
    <row r="19" ht="15.75" customHeight="1">
      <c r="A19" s="85" t="s">
        <v>154</v>
      </c>
      <c r="B19" s="98">
        <f t="shared" ref="B19:F19" si="5">B8/B5</f>
        <v>0.07504625958</v>
      </c>
      <c r="C19" s="98">
        <f t="shared" si="5"/>
        <v>0.06236855568</v>
      </c>
      <c r="D19" s="98">
        <f t="shared" si="5"/>
        <v>0.04392618589</v>
      </c>
      <c r="E19" s="98">
        <f t="shared" si="5"/>
        <v>0.06983865069</v>
      </c>
      <c r="F19" s="98">
        <f t="shared" si="5"/>
        <v>0.09508099649</v>
      </c>
      <c r="G19" s="95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14.48818898</v>
      </c>
      <c r="E20" s="98">
        <f t="shared" si="6"/>
        <v>49.47058824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58.97860963</v>
      </c>
      <c r="F21" s="98">
        <f t="shared" si="7"/>
        <v>96.01030928</v>
      </c>
      <c r="G21" s="95"/>
    </row>
    <row r="22" ht="15.75" customHeight="1">
      <c r="A22" s="85" t="s">
        <v>157</v>
      </c>
      <c r="B22" s="98">
        <f t="shared" ref="B22:F22" si="8">B14/B13</f>
        <v>0.05848663307</v>
      </c>
      <c r="C22" s="98">
        <f t="shared" si="8"/>
        <v>0.04629484705</v>
      </c>
      <c r="D22" s="98">
        <f t="shared" si="8"/>
        <v>0.03899555266</v>
      </c>
      <c r="E22" s="98">
        <f t="shared" si="8"/>
        <v>0.03671581769</v>
      </c>
      <c r="F22" s="98">
        <f t="shared" si="8"/>
        <v>0.04339296558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>
        <f t="shared" ref="B24:F24" si="9">B8/B13</f>
        <v>0.114909032</v>
      </c>
      <c r="C24" s="98">
        <f t="shared" si="9"/>
        <v>0.07632910732</v>
      </c>
      <c r="D24" s="98">
        <f t="shared" si="9"/>
        <v>0.07014499042</v>
      </c>
      <c r="E24" s="98">
        <f t="shared" si="9"/>
        <v>0.1100670241</v>
      </c>
      <c r="F24" s="98">
        <f t="shared" si="9"/>
        <v>0.1575038535</v>
      </c>
      <c r="G24" s="95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0.08993899905</v>
      </c>
      <c r="D25" s="98">
        <f t="shared" si="10"/>
        <v>0.1000852604</v>
      </c>
      <c r="E25" s="98">
        <f t="shared" si="10"/>
        <v>0.1426059297</v>
      </c>
      <c r="F25" s="98">
        <f t="shared" si="10"/>
        <v>0.2084564419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>
        <f t="shared" ref="B30:F30" si="11">B19</f>
        <v>0.07504625958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0.06983865069</v>
      </c>
      <c r="F30" s="98">
        <f t="shared" si="11"/>
        <v>0.09508099649</v>
      </c>
      <c r="G30" s="95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6.593998878</v>
      </c>
      <c r="F31" s="98">
        <f t="shared" si="12"/>
        <v>5.090902566</v>
      </c>
      <c r="G31" s="95"/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0.2606737274</v>
      </c>
      <c r="D32" s="98">
        <f t="shared" si="13"/>
        <v>0.2485265936</v>
      </c>
      <c r="E32" s="98">
        <f t="shared" si="13"/>
        <v>0.2390080429</v>
      </c>
      <c r="F32" s="98">
        <f t="shared" si="13"/>
        <v>0.3253888552</v>
      </c>
      <c r="G32" s="95"/>
    </row>
    <row r="33" ht="15.75" customHeight="1">
      <c r="A33" s="85" t="s">
        <v>164</v>
      </c>
      <c r="B33" s="98">
        <f t="shared" ref="B33:F33" si="14">B30*B31*B32</f>
        <v>0.114909032</v>
      </c>
      <c r="C33" s="98">
        <f t="shared" si="14"/>
        <v>0.07632910732</v>
      </c>
      <c r="D33" s="98">
        <f t="shared" si="14"/>
        <v>0.07014499042</v>
      </c>
      <c r="E33" s="98">
        <f t="shared" si="14"/>
        <v>0.1100670241</v>
      </c>
      <c r="F33" s="98">
        <f t="shared" si="14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102"/>
      <c r="C35" s="95"/>
      <c r="D35" s="95"/>
      <c r="E35" s="95"/>
      <c r="F35" s="95"/>
      <c r="G35" s="95"/>
    </row>
    <row r="36" ht="15.75" customHeight="1">
      <c r="A36" s="85" t="s">
        <v>166</v>
      </c>
      <c r="B36" s="94"/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16036.07176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94"/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104"/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141858</v>
      </c>
      <c r="C41" s="95"/>
      <c r="D41" s="77" t="s">
        <v>171</v>
      </c>
      <c r="E41" s="106"/>
      <c r="F41" s="106"/>
      <c r="G41" s="107"/>
    </row>
    <row r="42" ht="15.75" customHeight="1">
      <c r="A42" s="85" t="s">
        <v>172</v>
      </c>
      <c r="B42" s="108"/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0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0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 t="str">
        <f>(B44/B36)-1</f>
        <v>#DIV/0!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35" t="s">
        <v>142</v>
      </c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236">
        <v>75660.0</v>
      </c>
      <c r="C5" s="236">
        <v>70372.0</v>
      </c>
      <c r="D5" s="236">
        <v>88330.0</v>
      </c>
      <c r="E5" s="236">
        <v>118410.0</v>
      </c>
      <c r="F5" s="236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236">
        <v>7355.0</v>
      </c>
      <c r="C6" s="236">
        <v>5411.0</v>
      </c>
      <c r="D6" s="236">
        <v>5752.0</v>
      </c>
      <c r="E6" s="236">
        <v>13122.0</v>
      </c>
      <c r="F6" s="236">
        <v>18626.0</v>
      </c>
      <c r="G6" s="87">
        <f t="shared" si="2"/>
        <v>0.2042242937</v>
      </c>
    </row>
    <row r="7" ht="15.75" customHeight="1">
      <c r="A7" s="85" t="s">
        <v>19</v>
      </c>
      <c r="B7" s="237">
        <v>134.0</v>
      </c>
      <c r="C7" s="237">
        <v>102.0</v>
      </c>
      <c r="D7" s="237">
        <v>127.0</v>
      </c>
      <c r="E7" s="238">
        <v>252.0</v>
      </c>
      <c r="F7" s="237">
        <v>194.0</v>
      </c>
      <c r="G7" s="87">
        <f t="shared" si="2"/>
        <v>0.07681075935</v>
      </c>
    </row>
    <row r="8" ht="15.75" customHeight="1">
      <c r="A8" s="85" t="s">
        <v>146</v>
      </c>
      <c r="B8" s="236">
        <v>5676.0</v>
      </c>
      <c r="C8" s="236">
        <v>4389.0</v>
      </c>
      <c r="D8" s="236">
        <v>3880.0</v>
      </c>
      <c r="E8" s="236">
        <v>8264.0</v>
      </c>
      <c r="F8" s="236">
        <v>13488.0</v>
      </c>
      <c r="G8" s="87">
        <f t="shared" si="2"/>
        <v>0.1889977536</v>
      </c>
    </row>
    <row r="9" ht="15.75" customHeight="1">
      <c r="A9" s="85" t="s">
        <v>147</v>
      </c>
      <c r="B9" s="239">
        <v>0.0</v>
      </c>
      <c r="C9" s="239">
        <v>0.0</v>
      </c>
      <c r="D9" s="239">
        <v>0.0</v>
      </c>
      <c r="E9" s="239">
        <v>0.0</v>
      </c>
      <c r="F9" s="239">
        <v>0.0</v>
      </c>
      <c r="G9" s="87" t="str">
        <f t="shared" si="2"/>
        <v>#DIV/0!</v>
      </c>
    </row>
    <row r="10" ht="15.75" customHeight="1">
      <c r="A10" s="85" t="s">
        <v>148</v>
      </c>
      <c r="B10" s="239">
        <v>0.0</v>
      </c>
      <c r="C10" s="239">
        <v>0.0</v>
      </c>
      <c r="D10" s="239">
        <v>0.0</v>
      </c>
      <c r="E10" s="239">
        <v>0.0</v>
      </c>
      <c r="F10" s="239">
        <v>0.0</v>
      </c>
      <c r="G10" s="87" t="str">
        <f t="shared" si="2"/>
        <v>#DIV/0!</v>
      </c>
    </row>
    <row r="11" ht="15.75" customHeight="1">
      <c r="A11" s="85" t="s">
        <v>149</v>
      </c>
      <c r="B11" s="236">
        <v>3496.0</v>
      </c>
      <c r="C11" s="236">
        <v>8856.0</v>
      </c>
      <c r="D11" s="236">
        <v>1841.0</v>
      </c>
      <c r="E11" s="236">
        <v>10815.0</v>
      </c>
      <c r="F11" s="236">
        <v>16801.0</v>
      </c>
      <c r="G11" s="87">
        <f t="shared" si="2"/>
        <v>0.3688401701</v>
      </c>
    </row>
    <row r="12" ht="15.75" customHeight="1">
      <c r="A12" s="85"/>
      <c r="B12" s="240"/>
      <c r="C12" s="240"/>
      <c r="D12" s="240"/>
      <c r="E12" s="240"/>
      <c r="F12" s="240"/>
      <c r="G12" s="84"/>
    </row>
    <row r="13" ht="15.75" customHeight="1">
      <c r="A13" s="85" t="s">
        <v>150</v>
      </c>
      <c r="B13" s="236">
        <v>49413.0</v>
      </c>
      <c r="C13" s="236">
        <v>52501.0</v>
      </c>
      <c r="D13" s="236">
        <f>151+55182        </f>
        <v>55333</v>
      </c>
      <c r="E13" s="236">
        <v>74600.0</v>
      </c>
      <c r="F13" s="236">
        <v>85636.0</v>
      </c>
      <c r="G13" s="87">
        <f t="shared" ref="G13:G15" si="3">(F13/B13)^(1/5)-1</f>
        <v>0.1162540056</v>
      </c>
    </row>
    <row r="14" ht="15.75" customHeight="1">
      <c r="A14" s="85" t="s">
        <v>151</v>
      </c>
      <c r="B14" s="236">
        <v>2890.0</v>
      </c>
      <c r="C14" s="236">
        <v>2662.0</v>
      </c>
      <c r="D14" s="236">
        <v>2157.0</v>
      </c>
      <c r="E14" s="236">
        <v>2739.0</v>
      </c>
      <c r="F14" s="236">
        <v>3716.0</v>
      </c>
      <c r="G14" s="87">
        <f t="shared" si="3"/>
        <v>0.05156366773</v>
      </c>
    </row>
    <row r="15" ht="15.75" customHeight="1">
      <c r="A15" s="85" t="s">
        <v>152</v>
      </c>
      <c r="B15" s="236">
        <v>15744.0</v>
      </c>
      <c r="C15" s="236">
        <v>14989.0</v>
      </c>
      <c r="D15" s="236">
        <v>13747.0</v>
      </c>
      <c r="E15" s="236">
        <v>27941.0</v>
      </c>
      <c r="F15" s="236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5"/>
      <c r="D17" s="95"/>
      <c r="E17" s="95"/>
      <c r="F17" s="95"/>
      <c r="G17" s="95"/>
    </row>
    <row r="18" ht="15.75" customHeight="1">
      <c r="A18" s="77" t="s">
        <v>153</v>
      </c>
      <c r="B18" s="241">
        <f t="shared" ref="B18:F18" si="4">B6/B5</f>
        <v>0.09721120804</v>
      </c>
      <c r="C18" s="241">
        <f t="shared" si="4"/>
        <v>0.07689137725</v>
      </c>
      <c r="D18" s="241">
        <f t="shared" si="4"/>
        <v>0.06511943847</v>
      </c>
      <c r="E18" s="241">
        <f t="shared" si="4"/>
        <v>0.110818343</v>
      </c>
      <c r="F18" s="241">
        <f t="shared" si="4"/>
        <v>0.1313003144</v>
      </c>
      <c r="G18" s="95"/>
    </row>
    <row r="19" ht="15.75" customHeight="1">
      <c r="A19" s="85" t="s">
        <v>154</v>
      </c>
      <c r="B19" s="241">
        <f t="shared" ref="B19:F19" si="5">B8/B5</f>
        <v>0.07501982554</v>
      </c>
      <c r="C19" s="241">
        <f t="shared" si="5"/>
        <v>0.06236855568</v>
      </c>
      <c r="D19" s="241">
        <f t="shared" si="5"/>
        <v>0.04392618589</v>
      </c>
      <c r="E19" s="241">
        <f t="shared" si="5"/>
        <v>0.06979140275</v>
      </c>
      <c r="F19" s="241">
        <f t="shared" si="5"/>
        <v>0.09508099649</v>
      </c>
      <c r="G19" s="95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14.49606299</v>
      </c>
      <c r="E20" s="98">
        <f t="shared" si="6"/>
        <v>42.91666667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52.07142857</v>
      </c>
      <c r="F21" s="98">
        <f t="shared" si="7"/>
        <v>96.01030928</v>
      </c>
      <c r="G21" s="95"/>
    </row>
    <row r="22" ht="15.75" customHeight="1">
      <c r="A22" s="85" t="s">
        <v>157</v>
      </c>
      <c r="B22" s="241">
        <f t="shared" ref="B22:F22" si="8">B14/B13</f>
        <v>0.05848663307</v>
      </c>
      <c r="C22" s="241">
        <f t="shared" si="8"/>
        <v>0.05070379612</v>
      </c>
      <c r="D22" s="241">
        <f t="shared" si="8"/>
        <v>0.03898216254</v>
      </c>
      <c r="E22" s="241">
        <f t="shared" si="8"/>
        <v>0.03671581769</v>
      </c>
      <c r="F22" s="241">
        <f t="shared" si="8"/>
        <v>0.04339296558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  <c r="I23" s="242"/>
      <c r="J23" s="242"/>
      <c r="K23" s="242"/>
      <c r="L23" s="242"/>
    </row>
    <row r="24" ht="15.75" customHeight="1">
      <c r="A24" s="85" t="s">
        <v>158</v>
      </c>
      <c r="B24" s="98">
        <f t="shared" ref="B24:F24" si="9">B8/B13</f>
        <v>0.1148685569</v>
      </c>
      <c r="C24" s="98">
        <f t="shared" si="9"/>
        <v>0.08359840765</v>
      </c>
      <c r="D24" s="98">
        <f t="shared" si="9"/>
        <v>0.07012090434</v>
      </c>
      <c r="E24" s="98">
        <f t="shared" si="9"/>
        <v>0.1107774799</v>
      </c>
      <c r="F24" s="98">
        <f t="shared" si="9"/>
        <v>0.1575038535</v>
      </c>
      <c r="G24" s="95"/>
      <c r="I24" s="242"/>
      <c r="J24" s="242"/>
      <c r="K24" s="242"/>
      <c r="L24" s="242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0.100052183</v>
      </c>
      <c r="E25" s="98">
        <f t="shared" si="10"/>
        <v>0.1696686019</v>
      </c>
      <c r="F25" s="98">
        <f t="shared" si="10"/>
        <v>0.2084564419</v>
      </c>
      <c r="G25" s="95"/>
      <c r="I25" s="242" t="s">
        <v>144</v>
      </c>
      <c r="J25" s="242">
        <v>1000.0</v>
      </c>
      <c r="K25" s="243">
        <v>1.0</v>
      </c>
      <c r="L25" s="242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  <c r="I26" s="242" t="s">
        <v>222</v>
      </c>
      <c r="J26" s="242">
        <v>600.0</v>
      </c>
      <c r="K26" s="242"/>
      <c r="L26" s="242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  <c r="I27" s="242" t="s">
        <v>223</v>
      </c>
      <c r="J27" s="242">
        <f>J25-J26</f>
        <v>400</v>
      </c>
      <c r="K27" s="242">
        <f>J27/$J$25</f>
        <v>0.4</v>
      </c>
      <c r="L27" s="242"/>
    </row>
    <row r="28" ht="15.75" customHeight="1">
      <c r="A28" s="85"/>
      <c r="B28" s="99"/>
      <c r="C28" s="99"/>
      <c r="D28" s="99"/>
      <c r="E28" s="99"/>
      <c r="F28" s="99"/>
      <c r="G28" s="95"/>
      <c r="I28" s="242" t="s">
        <v>224</v>
      </c>
      <c r="J28" s="242">
        <f>J25*30%</f>
        <v>300</v>
      </c>
      <c r="K28" s="242"/>
      <c r="L28" s="242"/>
    </row>
    <row r="29" ht="15.75" customHeight="1">
      <c r="A29" s="85"/>
      <c r="B29" s="99"/>
      <c r="C29" s="99"/>
      <c r="D29" s="99"/>
      <c r="E29" s="99"/>
      <c r="F29" s="99"/>
      <c r="G29" s="95"/>
      <c r="I29" s="242" t="s">
        <v>225</v>
      </c>
      <c r="J29" s="242">
        <f>J27-J28</f>
        <v>100</v>
      </c>
      <c r="K29" s="242">
        <f>J29/$J$25</f>
        <v>0.1</v>
      </c>
      <c r="L29" s="15" t="s">
        <v>226</v>
      </c>
    </row>
    <row r="30" ht="15.75" customHeight="1">
      <c r="A30" s="85" t="s">
        <v>154</v>
      </c>
      <c r="B30" s="98">
        <f t="shared" ref="B30:F30" si="11">B19</f>
        <v>0.07501982554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0.06979140275</v>
      </c>
      <c r="F30" s="98">
        <f t="shared" si="11"/>
        <v>0.09508099649</v>
      </c>
      <c r="G30" s="95"/>
      <c r="I30" s="242" t="s">
        <v>227</v>
      </c>
      <c r="J30" s="242">
        <f>J29*35%</f>
        <v>35</v>
      </c>
      <c r="K30" s="242"/>
      <c r="L30" s="242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4.237858344</v>
      </c>
      <c r="F31" s="98">
        <f t="shared" si="12"/>
        <v>5.090902566</v>
      </c>
      <c r="G31" s="95"/>
      <c r="I31" s="242" t="s">
        <v>228</v>
      </c>
      <c r="J31" s="242">
        <f>J29-J30</f>
        <v>65</v>
      </c>
      <c r="K31" s="242">
        <f>J31/$J$25</f>
        <v>0.065</v>
      </c>
      <c r="L31" s="242" t="s">
        <v>229</v>
      </c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0.2484412557</v>
      </c>
      <c r="E32" s="98">
        <f t="shared" si="13"/>
        <v>0.3745442359</v>
      </c>
      <c r="F32" s="98">
        <f t="shared" si="13"/>
        <v>0.3253888552</v>
      </c>
      <c r="G32" s="95"/>
      <c r="I32" s="242"/>
      <c r="J32" s="242"/>
      <c r="K32" s="242"/>
      <c r="L32" s="242"/>
    </row>
    <row r="33" ht="15.75" customHeight="1">
      <c r="A33" s="85" t="s">
        <v>164</v>
      </c>
      <c r="B33" s="98">
        <f t="shared" ref="B33:F33" si="14">B30*B31*B32</f>
        <v>0.1148685569</v>
      </c>
      <c r="C33" s="98">
        <f t="shared" si="14"/>
        <v>0.08359840765</v>
      </c>
      <c r="D33" s="98">
        <f t="shared" si="14"/>
        <v>0.07012090434</v>
      </c>
      <c r="E33" s="98">
        <f t="shared" si="14"/>
        <v>0.1107774799</v>
      </c>
      <c r="F33" s="98">
        <f t="shared" si="14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2.0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88">
        <v>106216.0</v>
      </c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16037.2017</v>
      </c>
      <c r="C37" s="245" t="s">
        <v>230</v>
      </c>
      <c r="D37" s="95"/>
      <c r="E37" s="95"/>
      <c r="F37" s="95"/>
      <c r="G37" s="95"/>
    </row>
    <row r="38" ht="15.75" customHeight="1">
      <c r="A38" s="85" t="s">
        <v>168</v>
      </c>
      <c r="B38" s="88">
        <v>35.0</v>
      </c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246">
        <v>45.0</v>
      </c>
      <c r="C40" s="245" t="s">
        <v>231</v>
      </c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215748.2858</v>
      </c>
      <c r="C41" s="95"/>
      <c r="D41" s="77" t="s">
        <v>171</v>
      </c>
      <c r="E41" s="106"/>
      <c r="F41" s="106"/>
      <c r="G41" s="247">
        <v>0.15</v>
      </c>
    </row>
    <row r="42" ht="15.75" customHeight="1">
      <c r="A42" s="85" t="s">
        <v>172</v>
      </c>
      <c r="B42" s="248">
        <v>0.1</v>
      </c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21574.82858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970867.2859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>
        <f>(B44/B36)-1</f>
        <v>8.140499415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233" t="s">
        <v>140</v>
      </c>
    </row>
    <row r="2" ht="15.75" customHeight="1">
      <c r="C2" s="39">
        <f t="shared" ref="C2:F2" si="1">C5/B5-1</f>
        <v>-0.06989162041</v>
      </c>
      <c r="D2" s="39">
        <f t="shared" si="1"/>
        <v>0.255186722</v>
      </c>
      <c r="E2" s="39">
        <f t="shared" si="1"/>
        <v>0.3405411525</v>
      </c>
      <c r="F2" s="39">
        <f t="shared" si="1"/>
        <v>0.1980238156</v>
      </c>
    </row>
    <row r="3" ht="15.75" customHeight="1">
      <c r="A3" s="249">
        <v>0.0</v>
      </c>
      <c r="B3" s="78">
        <v>2020.0</v>
      </c>
      <c r="C3" s="78">
        <f t="shared" ref="C3:F3" si="2">B3+1</f>
        <v>2021</v>
      </c>
      <c r="D3" s="78">
        <f t="shared" si="2"/>
        <v>2022</v>
      </c>
      <c r="E3" s="78">
        <f t="shared" si="2"/>
        <v>2023</v>
      </c>
      <c r="F3" s="78">
        <f t="shared" si="2"/>
        <v>2024</v>
      </c>
      <c r="G3" s="79" t="s">
        <v>141</v>
      </c>
    </row>
    <row r="4" ht="15.75" customHeight="1">
      <c r="A4" s="235" t="s">
        <v>142</v>
      </c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236">
        <v>75660.0</v>
      </c>
      <c r="C5" s="236">
        <v>70372.0</v>
      </c>
      <c r="D5" s="236">
        <v>88330.0</v>
      </c>
      <c r="E5" s="236">
        <v>118410.0</v>
      </c>
      <c r="F5" s="236">
        <v>141858.0</v>
      </c>
      <c r="G5" s="87">
        <f t="shared" ref="G5:G11" si="3">(F5/B5)^(1/5)-1</f>
        <v>0.1339593835</v>
      </c>
    </row>
    <row r="6" ht="15.75" customHeight="1">
      <c r="A6" s="85" t="s">
        <v>145</v>
      </c>
      <c r="B6" s="236">
        <v>7355.0</v>
      </c>
      <c r="C6" s="236">
        <v>5411.0</v>
      </c>
      <c r="D6" s="236">
        <v>5752.0</v>
      </c>
      <c r="E6" s="236">
        <v>13122.0</v>
      </c>
      <c r="F6" s="236">
        <v>18626.0</v>
      </c>
      <c r="G6" s="87">
        <f t="shared" si="3"/>
        <v>0.2042242937</v>
      </c>
    </row>
    <row r="7" ht="15.75" customHeight="1">
      <c r="A7" s="85" t="s">
        <v>19</v>
      </c>
      <c r="B7" s="237">
        <v>134.0</v>
      </c>
      <c r="C7" s="237">
        <v>102.0</v>
      </c>
      <c r="D7" s="237">
        <v>127.0</v>
      </c>
      <c r="E7" s="238">
        <v>252.0</v>
      </c>
      <c r="F7" s="237">
        <v>194.0</v>
      </c>
      <c r="G7" s="87">
        <f t="shared" si="3"/>
        <v>0.07681075935</v>
      </c>
    </row>
    <row r="8" ht="15.75" customHeight="1">
      <c r="A8" s="85" t="s">
        <v>146</v>
      </c>
      <c r="B8" s="236">
        <v>5676.0</v>
      </c>
      <c r="C8" s="236">
        <v>4389.0</v>
      </c>
      <c r="D8" s="236">
        <v>3880.0</v>
      </c>
      <c r="E8" s="236">
        <v>8264.0</v>
      </c>
      <c r="F8" s="236">
        <v>13488.0</v>
      </c>
      <c r="G8" s="87">
        <f t="shared" si="3"/>
        <v>0.1889977536</v>
      </c>
    </row>
    <row r="9" ht="15.75" customHeight="1">
      <c r="A9" s="85" t="s">
        <v>147</v>
      </c>
      <c r="B9" s="239">
        <v>0.0</v>
      </c>
      <c r="C9" s="239">
        <v>0.0</v>
      </c>
      <c r="D9" s="239">
        <v>0.0</v>
      </c>
      <c r="E9" s="239">
        <v>0.0</v>
      </c>
      <c r="F9" s="239">
        <v>0.0</v>
      </c>
      <c r="G9" s="87" t="str">
        <f t="shared" si="3"/>
        <v>#DIV/0!</v>
      </c>
    </row>
    <row r="10" ht="15.75" customHeight="1">
      <c r="A10" s="85" t="s">
        <v>148</v>
      </c>
      <c r="B10" s="239">
        <v>0.0</v>
      </c>
      <c r="C10" s="239">
        <v>0.0</v>
      </c>
      <c r="D10" s="239">
        <v>0.0</v>
      </c>
      <c r="E10" s="239">
        <v>0.0</v>
      </c>
      <c r="F10" s="239">
        <v>0.0</v>
      </c>
      <c r="G10" s="87" t="str">
        <f t="shared" si="3"/>
        <v>#DIV/0!</v>
      </c>
    </row>
    <row r="11" ht="15.75" customHeight="1">
      <c r="A11" s="85" t="s">
        <v>149</v>
      </c>
      <c r="B11" s="236">
        <v>3496.0</v>
      </c>
      <c r="C11" s="236">
        <v>8856.0</v>
      </c>
      <c r="D11" s="236">
        <v>1841.0</v>
      </c>
      <c r="E11" s="236">
        <v>10815.0</v>
      </c>
      <c r="F11" s="236">
        <v>16801.0</v>
      </c>
      <c r="G11" s="87">
        <f t="shared" si="3"/>
        <v>0.3688401701</v>
      </c>
    </row>
    <row r="12" ht="15.75" customHeight="1">
      <c r="A12" s="85"/>
      <c r="B12" s="240"/>
      <c r="C12" s="240"/>
      <c r="D12" s="240"/>
      <c r="E12" s="240"/>
      <c r="F12" s="240"/>
      <c r="G12" s="84"/>
    </row>
    <row r="13" ht="15.75" customHeight="1">
      <c r="A13" s="85" t="s">
        <v>150</v>
      </c>
      <c r="B13" s="236">
        <v>49413.0</v>
      </c>
      <c r="C13" s="236">
        <v>52501.0</v>
      </c>
      <c r="D13" s="236">
        <f>151+55182        </f>
        <v>55333</v>
      </c>
      <c r="E13" s="236">
        <v>74600.0</v>
      </c>
      <c r="F13" s="236">
        <v>85636.0</v>
      </c>
      <c r="G13" s="87">
        <f t="shared" ref="G13:G15" si="4">(F13/B13)^(1/5)-1</f>
        <v>0.1162540056</v>
      </c>
    </row>
    <row r="14" ht="15.75" customHeight="1">
      <c r="A14" s="85" t="s">
        <v>151</v>
      </c>
      <c r="B14" s="236">
        <v>2890.0</v>
      </c>
      <c r="C14" s="236">
        <v>2662.0</v>
      </c>
      <c r="D14" s="236">
        <v>2157.0</v>
      </c>
      <c r="E14" s="236">
        <v>2739.0</v>
      </c>
      <c r="F14" s="236">
        <v>3716.0</v>
      </c>
      <c r="G14" s="87">
        <f t="shared" si="4"/>
        <v>0.05156366773</v>
      </c>
    </row>
    <row r="15" ht="15.75" customHeight="1">
      <c r="A15" s="85" t="s">
        <v>152</v>
      </c>
      <c r="B15" s="236">
        <v>15744.0</v>
      </c>
      <c r="C15" s="236">
        <v>14989.0</v>
      </c>
      <c r="D15" s="236">
        <v>13747.0</v>
      </c>
      <c r="E15" s="236">
        <v>27941.0</v>
      </c>
      <c r="F15" s="236">
        <v>27865.0</v>
      </c>
      <c r="G15" s="87">
        <f t="shared" si="4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5"/>
      <c r="D17" s="95"/>
      <c r="E17" s="95"/>
      <c r="F17" s="95"/>
      <c r="G17" s="95"/>
    </row>
    <row r="18" ht="15.75" customHeight="1">
      <c r="A18" s="77" t="s">
        <v>153</v>
      </c>
      <c r="B18" s="241">
        <f t="shared" ref="B18:F18" si="5">B6/B5</f>
        <v>0.09721120804</v>
      </c>
      <c r="C18" s="241">
        <f t="shared" si="5"/>
        <v>0.07689137725</v>
      </c>
      <c r="D18" s="241">
        <f t="shared" si="5"/>
        <v>0.06511943847</v>
      </c>
      <c r="E18" s="241">
        <f t="shared" si="5"/>
        <v>0.110818343</v>
      </c>
      <c r="F18" s="241">
        <f t="shared" si="5"/>
        <v>0.1313003144</v>
      </c>
      <c r="G18" s="95"/>
    </row>
    <row r="19" ht="15.75" customHeight="1">
      <c r="A19" s="85" t="s">
        <v>154</v>
      </c>
      <c r="B19" s="241">
        <f t="shared" ref="B19:F19" si="6">B8/B5</f>
        <v>0.07501982554</v>
      </c>
      <c r="C19" s="241">
        <f t="shared" si="6"/>
        <v>0.06236855568</v>
      </c>
      <c r="D19" s="241">
        <f t="shared" si="6"/>
        <v>0.04392618589</v>
      </c>
      <c r="E19" s="241">
        <f t="shared" si="6"/>
        <v>0.06979140275</v>
      </c>
      <c r="F19" s="241">
        <f t="shared" si="6"/>
        <v>0.09508099649</v>
      </c>
      <c r="G19" s="95"/>
    </row>
    <row r="20" ht="15.75" customHeight="1">
      <c r="A20" s="85" t="s">
        <v>155</v>
      </c>
      <c r="B20" s="98">
        <f t="shared" ref="B20:F20" si="7">B11/B7</f>
        <v>26.08955224</v>
      </c>
      <c r="C20" s="98">
        <f t="shared" si="7"/>
        <v>86.82352941</v>
      </c>
      <c r="D20" s="98">
        <f t="shared" si="7"/>
        <v>14.49606299</v>
      </c>
      <c r="E20" s="98">
        <f t="shared" si="7"/>
        <v>42.91666667</v>
      </c>
      <c r="F20" s="98">
        <f t="shared" si="7"/>
        <v>86.60309278</v>
      </c>
      <c r="G20" s="95"/>
    </row>
    <row r="21" ht="15.75" customHeight="1">
      <c r="A21" s="85" t="s">
        <v>156</v>
      </c>
      <c r="B21" s="98">
        <f t="shared" ref="B21:F21" si="8">B6/B7</f>
        <v>54.8880597</v>
      </c>
      <c r="C21" s="98">
        <f t="shared" si="8"/>
        <v>53.04901961</v>
      </c>
      <c r="D21" s="98">
        <f t="shared" si="8"/>
        <v>45.29133858</v>
      </c>
      <c r="E21" s="98">
        <f t="shared" si="8"/>
        <v>52.07142857</v>
      </c>
      <c r="F21" s="98">
        <f t="shared" si="8"/>
        <v>96.01030928</v>
      </c>
      <c r="G21" s="95"/>
    </row>
    <row r="22" ht="15.75" customHeight="1">
      <c r="A22" s="85" t="s">
        <v>157</v>
      </c>
      <c r="B22" s="241">
        <f t="shared" ref="B22:F22" si="9">B14/B13</f>
        <v>0.05848663307</v>
      </c>
      <c r="C22" s="241">
        <f t="shared" si="9"/>
        <v>0.05070379612</v>
      </c>
      <c r="D22" s="241">
        <f t="shared" si="9"/>
        <v>0.03898216254</v>
      </c>
      <c r="E22" s="241">
        <f t="shared" si="9"/>
        <v>0.03671581769</v>
      </c>
      <c r="F22" s="241">
        <f t="shared" si="9"/>
        <v>0.04339296558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  <c r="I23" s="242"/>
      <c r="J23" s="242"/>
      <c r="K23" s="242"/>
      <c r="L23" s="242"/>
    </row>
    <row r="24" ht="15.75" customHeight="1">
      <c r="A24" s="85" t="s">
        <v>158</v>
      </c>
      <c r="B24" s="98">
        <f t="shared" ref="B24:F24" si="10">B8/B13</f>
        <v>0.1148685569</v>
      </c>
      <c r="C24" s="98">
        <f t="shared" si="10"/>
        <v>0.08359840765</v>
      </c>
      <c r="D24" s="98">
        <f t="shared" si="10"/>
        <v>0.07012090434</v>
      </c>
      <c r="E24" s="98">
        <f t="shared" si="10"/>
        <v>0.1107774799</v>
      </c>
      <c r="F24" s="98">
        <f t="shared" si="10"/>
        <v>0.1575038535</v>
      </c>
      <c r="G24" s="95"/>
      <c r="I24" s="242"/>
      <c r="J24" s="242"/>
      <c r="K24" s="242"/>
      <c r="L24" s="242"/>
    </row>
    <row r="25" ht="15.75" customHeight="1">
      <c r="A25" s="85" t="s">
        <v>159</v>
      </c>
      <c r="B25" s="98">
        <f t="shared" ref="B25:F25" si="11">B6/SUM(B13:B14)</f>
        <v>0.1406229088</v>
      </c>
      <c r="C25" s="98">
        <f t="shared" si="11"/>
        <v>0.0980911118</v>
      </c>
      <c r="D25" s="98">
        <f t="shared" si="11"/>
        <v>0.100052183</v>
      </c>
      <c r="E25" s="98">
        <f t="shared" si="11"/>
        <v>0.1696686019</v>
      </c>
      <c r="F25" s="98">
        <f t="shared" si="11"/>
        <v>0.2084564419</v>
      </c>
      <c r="G25" s="95"/>
      <c r="I25" s="242" t="s">
        <v>144</v>
      </c>
      <c r="J25" s="242">
        <v>1000.0</v>
      </c>
      <c r="K25" s="243">
        <v>1.0</v>
      </c>
      <c r="L25" s="242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  <c r="I26" s="242" t="s">
        <v>222</v>
      </c>
      <c r="J26" s="242">
        <v>600.0</v>
      </c>
      <c r="K26" s="242"/>
      <c r="L26" s="242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  <c r="I27" s="242" t="s">
        <v>223</v>
      </c>
      <c r="J27" s="242">
        <f>J25-J26</f>
        <v>400</v>
      </c>
      <c r="K27" s="242">
        <f>J27/$J$25</f>
        <v>0.4</v>
      </c>
      <c r="L27" s="242"/>
    </row>
    <row r="28" ht="15.75" customHeight="1">
      <c r="A28" s="85"/>
      <c r="B28" s="99"/>
      <c r="C28" s="99"/>
      <c r="D28" s="99"/>
      <c r="E28" s="99"/>
      <c r="F28" s="99"/>
      <c r="G28" s="95"/>
      <c r="I28" s="242" t="s">
        <v>224</v>
      </c>
      <c r="J28" s="242">
        <f>J25*30%</f>
        <v>300</v>
      </c>
      <c r="K28" s="242"/>
      <c r="L28" s="242"/>
    </row>
    <row r="29" ht="15.75" customHeight="1">
      <c r="A29" s="85"/>
      <c r="B29" s="99"/>
      <c r="C29" s="99"/>
      <c r="D29" s="99"/>
      <c r="E29" s="99"/>
      <c r="F29" s="99"/>
      <c r="G29" s="95"/>
      <c r="I29" s="242" t="s">
        <v>225</v>
      </c>
      <c r="J29" s="242">
        <f>J27-J28</f>
        <v>100</v>
      </c>
      <c r="K29" s="242">
        <f>J29/$J$25</f>
        <v>0.1</v>
      </c>
      <c r="L29" s="15" t="s">
        <v>226</v>
      </c>
    </row>
    <row r="30" ht="15.75" customHeight="1">
      <c r="A30" s="85" t="s">
        <v>154</v>
      </c>
      <c r="B30" s="98">
        <f t="shared" ref="B30:F30" si="12">B19</f>
        <v>0.07501982554</v>
      </c>
      <c r="C30" s="98">
        <f t="shared" si="12"/>
        <v>0.06236855568</v>
      </c>
      <c r="D30" s="98">
        <f t="shared" si="12"/>
        <v>0.04392618589</v>
      </c>
      <c r="E30" s="98">
        <f t="shared" si="12"/>
        <v>0.06979140275</v>
      </c>
      <c r="F30" s="98">
        <f t="shared" si="12"/>
        <v>0.09508099649</v>
      </c>
      <c r="G30" s="95"/>
      <c r="I30" s="242" t="s">
        <v>227</v>
      </c>
      <c r="J30" s="242">
        <f>J29*35%</f>
        <v>35</v>
      </c>
      <c r="K30" s="242"/>
      <c r="L30" s="242"/>
    </row>
    <row r="31" ht="15.75" customHeight="1">
      <c r="A31" s="85" t="s">
        <v>162</v>
      </c>
      <c r="B31" s="98">
        <f t="shared" ref="B31:F31" si="13">B5/B15</f>
        <v>4.805640244</v>
      </c>
      <c r="C31" s="98">
        <f t="shared" si="13"/>
        <v>4.6949096</v>
      </c>
      <c r="D31" s="98">
        <f t="shared" si="13"/>
        <v>6.425401906</v>
      </c>
      <c r="E31" s="98">
        <f t="shared" si="13"/>
        <v>4.237858344</v>
      </c>
      <c r="F31" s="98">
        <f t="shared" si="13"/>
        <v>5.090902566</v>
      </c>
      <c r="G31" s="95"/>
      <c r="I31" s="242" t="s">
        <v>228</v>
      </c>
      <c r="J31" s="242">
        <f>J29-J30</f>
        <v>65</v>
      </c>
      <c r="K31" s="242">
        <f>J31/$J$25</f>
        <v>0.065</v>
      </c>
      <c r="L31" s="242" t="s">
        <v>229</v>
      </c>
    </row>
    <row r="32" ht="15.75" customHeight="1">
      <c r="A32" s="85" t="s">
        <v>163</v>
      </c>
      <c r="B32" s="98">
        <f t="shared" ref="B32:F32" si="14">B15/B13</f>
        <v>0.3186206059</v>
      </c>
      <c r="C32" s="98">
        <f t="shared" si="14"/>
        <v>0.2854993238</v>
      </c>
      <c r="D32" s="98">
        <f t="shared" si="14"/>
        <v>0.2484412557</v>
      </c>
      <c r="E32" s="98">
        <f t="shared" si="14"/>
        <v>0.3745442359</v>
      </c>
      <c r="F32" s="98">
        <f t="shared" si="14"/>
        <v>0.3253888552</v>
      </c>
      <c r="G32" s="95"/>
      <c r="I32" s="242"/>
      <c r="J32" s="242"/>
      <c r="K32" s="242"/>
      <c r="L32" s="242"/>
    </row>
    <row r="33" ht="15.75" customHeight="1">
      <c r="A33" s="85" t="s">
        <v>164</v>
      </c>
      <c r="B33" s="98">
        <f t="shared" ref="B33:F33" si="15">B30*B31*B32</f>
        <v>0.1148685569</v>
      </c>
      <c r="C33" s="98">
        <f t="shared" si="15"/>
        <v>0.08359840765</v>
      </c>
      <c r="D33" s="98">
        <f t="shared" si="15"/>
        <v>0.07012090434</v>
      </c>
      <c r="E33" s="98">
        <f t="shared" si="15"/>
        <v>0.1107774799</v>
      </c>
      <c r="F33" s="98">
        <f t="shared" si="15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88">
        <v>106216.0</v>
      </c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16037.2017</v>
      </c>
      <c r="C37" s="245" t="s">
        <v>230</v>
      </c>
      <c r="D37" s="95"/>
      <c r="E37" s="95"/>
      <c r="F37" s="95"/>
      <c r="G37" s="95"/>
    </row>
    <row r="38" ht="15.75" customHeight="1">
      <c r="A38" s="85" t="s">
        <v>168</v>
      </c>
      <c r="B38" s="88">
        <v>35.0</v>
      </c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246">
        <v>45.0</v>
      </c>
      <c r="C40" s="245" t="s">
        <v>231</v>
      </c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215748.2858</v>
      </c>
      <c r="C41" s="95"/>
      <c r="D41" s="77" t="s">
        <v>171</v>
      </c>
      <c r="E41" s="106"/>
      <c r="F41" s="106"/>
      <c r="G41" s="247">
        <v>0.15</v>
      </c>
    </row>
    <row r="42" ht="15.75" customHeight="1">
      <c r="A42" s="85" t="s">
        <v>172</v>
      </c>
      <c r="B42" s="248">
        <v>0.1</v>
      </c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21574.82858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970867.2859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>
        <f>(B44/B36)-1</f>
        <v>8.140499415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35" t="s">
        <v>142</v>
      </c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236">
        <v>75660.0</v>
      </c>
      <c r="C5" s="236">
        <v>70372.0</v>
      </c>
      <c r="D5" s="236">
        <v>88330.0</v>
      </c>
      <c r="E5" s="236">
        <v>117571.0</v>
      </c>
      <c r="F5" s="236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236">
        <v>7355.0</v>
      </c>
      <c r="C6" s="236">
        <v>5411.0</v>
      </c>
      <c r="D6" s="236">
        <v>5752.0</v>
      </c>
      <c r="E6" s="236">
        <v>11029.0</v>
      </c>
      <c r="F6" s="236">
        <v>18626.0</v>
      </c>
      <c r="G6" s="87">
        <f t="shared" si="2"/>
        <v>0.2042242937</v>
      </c>
    </row>
    <row r="7" ht="15.75" customHeight="1">
      <c r="A7" s="85" t="s">
        <v>19</v>
      </c>
      <c r="B7" s="237">
        <v>134.0</v>
      </c>
      <c r="C7" s="237">
        <v>102.0</v>
      </c>
      <c r="D7" s="237">
        <v>127.0</v>
      </c>
      <c r="E7" s="238">
        <v>252.0</v>
      </c>
      <c r="F7" s="237">
        <v>194.0</v>
      </c>
      <c r="G7" s="87">
        <f t="shared" si="2"/>
        <v>0.07681075935</v>
      </c>
    </row>
    <row r="8" ht="15.75" customHeight="1">
      <c r="A8" s="85" t="s">
        <v>146</v>
      </c>
      <c r="B8" s="236">
        <v>5676.0</v>
      </c>
      <c r="C8" s="236">
        <v>4389.0</v>
      </c>
      <c r="D8" s="236">
        <v>3880.0</v>
      </c>
      <c r="E8" s="236">
        <v>8264.0</v>
      </c>
      <c r="F8" s="236">
        <v>13488.0</v>
      </c>
      <c r="G8" s="87">
        <f t="shared" si="2"/>
        <v>0.1889977536</v>
      </c>
    </row>
    <row r="9" ht="15.75" customHeight="1">
      <c r="A9" s="85" t="s">
        <v>147</v>
      </c>
      <c r="B9" s="239" t="s">
        <v>218</v>
      </c>
      <c r="C9" s="239" t="s">
        <v>218</v>
      </c>
      <c r="D9" s="239" t="s">
        <v>218</v>
      </c>
      <c r="E9" s="239" t="s">
        <v>218</v>
      </c>
      <c r="F9" s="239" t="s">
        <v>218</v>
      </c>
      <c r="G9" s="87" t="str">
        <f t="shared" si="2"/>
        <v>#VALUE!</v>
      </c>
    </row>
    <row r="10" ht="15.75" customHeight="1">
      <c r="A10" s="85" t="s">
        <v>148</v>
      </c>
      <c r="B10" s="239" t="s">
        <v>218</v>
      </c>
      <c r="C10" s="239" t="s">
        <v>218</v>
      </c>
      <c r="D10" s="239" t="s">
        <v>218</v>
      </c>
      <c r="E10" s="239" t="s">
        <v>218</v>
      </c>
      <c r="F10" s="239" t="s">
        <v>218</v>
      </c>
      <c r="G10" s="87" t="str">
        <f t="shared" si="2"/>
        <v>#VALUE!</v>
      </c>
    </row>
    <row r="11" ht="15.75" customHeight="1">
      <c r="A11" s="85" t="s">
        <v>149</v>
      </c>
      <c r="B11" s="236">
        <v>3496.0</v>
      </c>
      <c r="C11" s="236">
        <v>8856.0</v>
      </c>
      <c r="D11" s="236">
        <v>1841.0</v>
      </c>
      <c r="E11" s="236">
        <v>10815.0</v>
      </c>
      <c r="F11" s="236">
        <v>16801.0</v>
      </c>
      <c r="G11" s="87">
        <f t="shared" si="2"/>
        <v>0.3688401701</v>
      </c>
    </row>
    <row r="12" ht="15.75" customHeight="1">
      <c r="A12" s="85"/>
      <c r="B12" s="240"/>
      <c r="C12" s="240"/>
      <c r="D12" s="240"/>
      <c r="E12" s="240"/>
      <c r="F12" s="240"/>
      <c r="G12" s="84"/>
    </row>
    <row r="13" ht="15.75" customHeight="1">
      <c r="A13" s="85" t="s">
        <v>150</v>
      </c>
      <c r="B13" s="236">
        <v>49413.0</v>
      </c>
      <c r="C13" s="236">
        <v>52501.0</v>
      </c>
      <c r="D13" s="236">
        <v>55334.0</v>
      </c>
      <c r="E13" s="236">
        <v>74600.0</v>
      </c>
      <c r="F13" s="236">
        <v>85636.0</v>
      </c>
      <c r="G13" s="87">
        <f t="shared" ref="G13:G15" si="3">(F13/B13)^(1/5)-1</f>
        <v>0.1162540056</v>
      </c>
    </row>
    <row r="14" ht="15.75" customHeight="1">
      <c r="A14" s="85" t="s">
        <v>151</v>
      </c>
      <c r="B14" s="236">
        <v>2890.0</v>
      </c>
      <c r="C14" s="236">
        <v>2662.0</v>
      </c>
      <c r="D14" s="236">
        <v>2157.0</v>
      </c>
      <c r="E14" s="236">
        <v>2739.0</v>
      </c>
      <c r="F14" s="236">
        <v>3716.0</v>
      </c>
      <c r="G14" s="87">
        <f t="shared" si="3"/>
        <v>0.05156366773</v>
      </c>
    </row>
    <row r="15" ht="15.75" customHeight="1">
      <c r="A15" s="85" t="s">
        <v>152</v>
      </c>
      <c r="B15" s="236">
        <v>15744.0</v>
      </c>
      <c r="C15" s="236">
        <v>14989.0</v>
      </c>
      <c r="D15" s="236">
        <v>13747.0</v>
      </c>
      <c r="E15" s="236">
        <v>27941.0</v>
      </c>
      <c r="F15" s="236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5"/>
      <c r="D17" s="95"/>
      <c r="E17" s="95"/>
      <c r="F17" s="95"/>
      <c r="G17" s="95"/>
    </row>
    <row r="18" ht="15.75" customHeight="1">
      <c r="A18" s="77" t="s">
        <v>153</v>
      </c>
      <c r="B18" s="241">
        <f t="shared" ref="B18:F18" si="4">B6/B5</f>
        <v>0.09721120804</v>
      </c>
      <c r="C18" s="241">
        <f t="shared" si="4"/>
        <v>0.07689137725</v>
      </c>
      <c r="D18" s="241">
        <f t="shared" si="4"/>
        <v>0.06511943847</v>
      </c>
      <c r="E18" s="241">
        <f t="shared" si="4"/>
        <v>0.09380714632</v>
      </c>
      <c r="F18" s="241">
        <f t="shared" si="4"/>
        <v>0.1313003144</v>
      </c>
      <c r="G18" s="95"/>
    </row>
    <row r="19" ht="15.75" customHeight="1">
      <c r="A19" s="85" t="s">
        <v>154</v>
      </c>
      <c r="B19" s="241">
        <f t="shared" ref="B19:F19" si="5">B8/B5</f>
        <v>0.07501982554</v>
      </c>
      <c r="C19" s="241">
        <f t="shared" si="5"/>
        <v>0.06236855568</v>
      </c>
      <c r="D19" s="241">
        <f t="shared" si="5"/>
        <v>0.04392618589</v>
      </c>
      <c r="E19" s="241">
        <f t="shared" si="5"/>
        <v>0.07028944212</v>
      </c>
      <c r="F19" s="241">
        <f t="shared" si="5"/>
        <v>0.09508099649</v>
      </c>
      <c r="G19" s="95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14.49606299</v>
      </c>
      <c r="E20" s="98">
        <f t="shared" si="6"/>
        <v>42.91666667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43.76587302</v>
      </c>
      <c r="F21" s="98">
        <f t="shared" si="7"/>
        <v>96.01030928</v>
      </c>
      <c r="G21" s="95"/>
    </row>
    <row r="22" ht="15.75" customHeight="1">
      <c r="A22" s="85" t="s">
        <v>157</v>
      </c>
      <c r="B22" s="241">
        <f t="shared" ref="B22:F22" si="8">B14/B13</f>
        <v>0.05848663307</v>
      </c>
      <c r="C22" s="241">
        <f t="shared" si="8"/>
        <v>0.05070379612</v>
      </c>
      <c r="D22" s="241">
        <f t="shared" si="8"/>
        <v>0.03898145805</v>
      </c>
      <c r="E22" s="241">
        <f t="shared" si="8"/>
        <v>0.03671581769</v>
      </c>
      <c r="F22" s="241">
        <f t="shared" si="8"/>
        <v>0.04339296558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  <c r="I23" s="242"/>
      <c r="J23" s="242"/>
      <c r="K23" s="242"/>
      <c r="L23" s="242"/>
    </row>
    <row r="24" ht="15.75" customHeight="1">
      <c r="A24" s="85" t="s">
        <v>158</v>
      </c>
      <c r="B24" s="98">
        <f t="shared" ref="B24:F24" si="9">B8/B13</f>
        <v>0.1148685569</v>
      </c>
      <c r="C24" s="98">
        <f t="shared" si="9"/>
        <v>0.08359840765</v>
      </c>
      <c r="D24" s="98">
        <f t="shared" si="9"/>
        <v>0.07011963711</v>
      </c>
      <c r="E24" s="98">
        <f t="shared" si="9"/>
        <v>0.1107774799</v>
      </c>
      <c r="F24" s="98">
        <f t="shared" si="9"/>
        <v>0.1575038535</v>
      </c>
      <c r="G24" s="95"/>
      <c r="I24" s="242"/>
      <c r="J24" s="242"/>
      <c r="K24" s="242"/>
      <c r="L24" s="242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0.1000504427</v>
      </c>
      <c r="E25" s="98">
        <f t="shared" si="10"/>
        <v>0.1426059297</v>
      </c>
      <c r="F25" s="98">
        <f t="shared" si="10"/>
        <v>0.2084564419</v>
      </c>
      <c r="G25" s="95"/>
      <c r="I25" s="242"/>
      <c r="J25" s="242"/>
      <c r="K25" s="177" t="s">
        <v>144</v>
      </c>
      <c r="L25" s="169">
        <v>1000.0</v>
      </c>
      <c r="M25" s="250">
        <v>1.0</v>
      </c>
      <c r="N25" s="172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  <c r="I26" s="242"/>
      <c r="J26" s="242"/>
      <c r="K26" s="251" t="s">
        <v>222</v>
      </c>
      <c r="L26" s="169">
        <v>600.0</v>
      </c>
      <c r="M26" s="172"/>
      <c r="N26" s="172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  <c r="I27" s="242"/>
      <c r="J27" s="242"/>
      <c r="K27" s="251" t="s">
        <v>223</v>
      </c>
      <c r="L27" s="169">
        <v>400.0</v>
      </c>
      <c r="M27" s="250">
        <v>0.4</v>
      </c>
      <c r="N27" s="172"/>
    </row>
    <row r="28" ht="15.75" customHeight="1">
      <c r="A28" s="85"/>
      <c r="B28" s="99"/>
      <c r="C28" s="99"/>
      <c r="D28" s="99"/>
      <c r="E28" s="99"/>
      <c r="F28" s="99"/>
      <c r="G28" s="95"/>
      <c r="I28" s="242"/>
      <c r="J28" s="242"/>
      <c r="K28" s="251" t="s">
        <v>224</v>
      </c>
      <c r="L28" s="169">
        <v>300.0</v>
      </c>
      <c r="M28" s="172"/>
      <c r="N28" s="172"/>
    </row>
    <row r="29" ht="15.75" customHeight="1">
      <c r="A29" s="85"/>
      <c r="B29" s="99"/>
      <c r="C29" s="99"/>
      <c r="D29" s="99"/>
      <c r="E29" s="99"/>
      <c r="F29" s="99"/>
      <c r="G29" s="95"/>
      <c r="I29" s="242"/>
      <c r="J29" s="242"/>
      <c r="K29" s="251" t="s">
        <v>225</v>
      </c>
      <c r="L29" s="173">
        <v>100.0</v>
      </c>
      <c r="M29" s="173">
        <v>10.0</v>
      </c>
      <c r="N29" s="172"/>
    </row>
    <row r="30" ht="15.75" customHeight="1">
      <c r="A30" s="85" t="s">
        <v>154</v>
      </c>
      <c r="B30" s="98">
        <f t="shared" ref="B30:F30" si="11">B19</f>
        <v>0.07501982554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0.07028944212</v>
      </c>
      <c r="F30" s="98">
        <f t="shared" si="11"/>
        <v>0.09508099649</v>
      </c>
      <c r="G30" s="95"/>
      <c r="I30" s="242"/>
      <c r="J30" s="242"/>
      <c r="K30" s="251" t="s">
        <v>227</v>
      </c>
      <c r="L30" s="169">
        <v>35.0</v>
      </c>
      <c r="M30" s="172"/>
      <c r="N30" s="172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4.207830786</v>
      </c>
      <c r="F31" s="98">
        <f t="shared" si="12"/>
        <v>5.090902566</v>
      </c>
      <c r="G31" s="95"/>
      <c r="I31" s="242"/>
      <c r="J31" s="242"/>
      <c r="K31" s="251" t="s">
        <v>228</v>
      </c>
      <c r="L31" s="169">
        <v>65.0</v>
      </c>
      <c r="M31" s="250">
        <v>0.065</v>
      </c>
      <c r="N31" s="177" t="s">
        <v>232</v>
      </c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0.2484367658</v>
      </c>
      <c r="E32" s="98">
        <f t="shared" si="13"/>
        <v>0.3745442359</v>
      </c>
      <c r="F32" s="98">
        <f t="shared" si="13"/>
        <v>0.3253888552</v>
      </c>
      <c r="G32" s="95"/>
      <c r="I32" s="242"/>
      <c r="J32" s="242"/>
      <c r="K32" s="242"/>
      <c r="L32" s="242"/>
    </row>
    <row r="33" ht="15.75" customHeight="1">
      <c r="A33" s="85" t="s">
        <v>164</v>
      </c>
      <c r="B33" s="98">
        <f t="shared" ref="B33:F33" si="14">B30*B31*B32</f>
        <v>0.1148685569</v>
      </c>
      <c r="C33" s="98">
        <f t="shared" si="14"/>
        <v>0.08359840765</v>
      </c>
      <c r="D33" s="98">
        <f t="shared" si="14"/>
        <v>0.07011963711</v>
      </c>
      <c r="E33" s="98">
        <f t="shared" si="14"/>
        <v>0.1107774799</v>
      </c>
      <c r="F33" s="98">
        <f t="shared" si="14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52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236">
        <v>511659.0</v>
      </c>
      <c r="C36" s="95"/>
      <c r="D36" s="95"/>
      <c r="E36" s="95"/>
      <c r="F36" s="95"/>
      <c r="G36" s="95"/>
    </row>
    <row r="37" ht="15.75" customHeight="1">
      <c r="A37" s="85" t="s">
        <v>167</v>
      </c>
      <c r="B37" s="253">
        <v>16037.0</v>
      </c>
      <c r="C37" s="245" t="s">
        <v>230</v>
      </c>
      <c r="D37" s="95"/>
      <c r="E37" s="95"/>
      <c r="F37" s="95"/>
      <c r="G37" s="95"/>
    </row>
    <row r="38" ht="15.75" customHeight="1">
      <c r="A38" s="85" t="s">
        <v>168</v>
      </c>
      <c r="B38" s="236">
        <v>35.0</v>
      </c>
      <c r="C38" s="95"/>
      <c r="D38" s="95"/>
      <c r="E38" s="95"/>
      <c r="F38" s="95"/>
      <c r="G38" s="95"/>
    </row>
    <row r="39" ht="15.75" customHeight="1">
      <c r="A39" s="85"/>
      <c r="B39" s="254"/>
      <c r="C39" s="95"/>
      <c r="D39" s="95"/>
      <c r="E39" s="95"/>
      <c r="F39" s="95"/>
      <c r="G39" s="95"/>
    </row>
    <row r="40" ht="15.75" customHeight="1">
      <c r="A40" s="85" t="s">
        <v>169</v>
      </c>
      <c r="B40" s="255">
        <v>45.0</v>
      </c>
      <c r="C40" s="245" t="s">
        <v>231</v>
      </c>
      <c r="D40" s="95"/>
      <c r="E40" s="95"/>
      <c r="F40" s="95"/>
      <c r="G40" s="95"/>
    </row>
    <row r="41" ht="15.75" customHeight="1">
      <c r="A41" s="85" t="s">
        <v>170</v>
      </c>
      <c r="B41" s="256">
        <v>215748.0</v>
      </c>
      <c r="C41" s="95"/>
      <c r="D41" s="77" t="s">
        <v>171</v>
      </c>
      <c r="E41" s="106"/>
      <c r="F41" s="106"/>
      <c r="G41" s="247">
        <v>0.15</v>
      </c>
      <c r="H41" s="177" t="s">
        <v>233</v>
      </c>
    </row>
    <row r="42" ht="15.75" customHeight="1">
      <c r="A42" s="85" t="s">
        <v>172</v>
      </c>
      <c r="B42" s="257">
        <v>0.1</v>
      </c>
      <c r="C42" s="95"/>
      <c r="D42" s="95"/>
      <c r="E42" s="95"/>
      <c r="F42" s="95"/>
      <c r="G42" s="95"/>
    </row>
    <row r="43" ht="15.75" customHeight="1">
      <c r="A43" s="85" t="s">
        <v>173</v>
      </c>
      <c r="B43" s="256">
        <v>21575.0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258">
        <v>970867.0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>
        <f>(B44/B36)-1</f>
        <v>0.8974883663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35" t="s">
        <v>142</v>
      </c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236">
        <v>75660.0</v>
      </c>
      <c r="C5" s="236">
        <v>70372.0</v>
      </c>
      <c r="D5" s="236">
        <v>88330.0</v>
      </c>
      <c r="E5" s="236">
        <v>118410.0</v>
      </c>
      <c r="F5" s="236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236">
        <v>7355.0</v>
      </c>
      <c r="C6" s="236">
        <v>5411.0</v>
      </c>
      <c r="D6" s="236">
        <v>5752.0</v>
      </c>
      <c r="E6" s="236">
        <v>13122.0</v>
      </c>
      <c r="F6" s="236">
        <v>18626.0</v>
      </c>
      <c r="G6" s="87">
        <f t="shared" si="2"/>
        <v>0.2042242937</v>
      </c>
    </row>
    <row r="7" ht="15.75" customHeight="1">
      <c r="A7" s="85" t="s">
        <v>19</v>
      </c>
      <c r="B7" s="237">
        <v>134.0</v>
      </c>
      <c r="C7" s="237">
        <v>102.0</v>
      </c>
      <c r="D7" s="237">
        <v>127.0</v>
      </c>
      <c r="E7" s="238">
        <v>252.0</v>
      </c>
      <c r="F7" s="237">
        <v>194.0</v>
      </c>
      <c r="G7" s="87">
        <f t="shared" si="2"/>
        <v>0.07681075935</v>
      </c>
    </row>
    <row r="8" ht="15.75" customHeight="1">
      <c r="A8" s="85" t="s">
        <v>146</v>
      </c>
      <c r="B8" s="236">
        <v>5678.0</v>
      </c>
      <c r="C8" s="236">
        <v>4389.0</v>
      </c>
      <c r="D8" s="236">
        <v>3880.0</v>
      </c>
      <c r="E8" s="236">
        <v>8264.0</v>
      </c>
      <c r="F8" s="236">
        <v>13488.0</v>
      </c>
      <c r="G8" s="87">
        <f t="shared" si="2"/>
        <v>0.1889139801</v>
      </c>
    </row>
    <row r="9" ht="15.75" customHeight="1">
      <c r="A9" s="85" t="s">
        <v>147</v>
      </c>
      <c r="B9" s="239">
        <v>0.0</v>
      </c>
      <c r="C9" s="239">
        <v>0.0</v>
      </c>
      <c r="D9" s="239">
        <v>0.0</v>
      </c>
      <c r="E9" s="239">
        <v>0.0</v>
      </c>
      <c r="F9" s="239">
        <v>0.0</v>
      </c>
      <c r="G9" s="87" t="str">
        <f t="shared" si="2"/>
        <v>#DIV/0!</v>
      </c>
    </row>
    <row r="10" ht="15.75" customHeight="1">
      <c r="A10" s="85" t="s">
        <v>148</v>
      </c>
      <c r="B10" s="239">
        <v>0.0</v>
      </c>
      <c r="C10" s="239">
        <v>0.0</v>
      </c>
      <c r="D10" s="239">
        <v>0.0</v>
      </c>
      <c r="E10" s="239">
        <v>0.0</v>
      </c>
      <c r="F10" s="239">
        <v>0.0</v>
      </c>
      <c r="G10" s="87" t="str">
        <f t="shared" si="2"/>
        <v>#DIV/0!</v>
      </c>
    </row>
    <row r="11" ht="15.75" customHeight="1">
      <c r="A11" s="85" t="s">
        <v>149</v>
      </c>
      <c r="B11" s="236">
        <v>3496.0</v>
      </c>
      <c r="C11" s="236">
        <v>8856.0</v>
      </c>
      <c r="D11" s="236">
        <v>1841.0</v>
      </c>
      <c r="E11" s="236">
        <v>10815.0</v>
      </c>
      <c r="F11" s="236">
        <v>16801.0</v>
      </c>
      <c r="G11" s="87">
        <f t="shared" si="2"/>
        <v>0.3688401701</v>
      </c>
    </row>
    <row r="12" ht="15.75" customHeight="1">
      <c r="A12" s="85"/>
      <c r="B12" s="240"/>
      <c r="C12" s="240"/>
      <c r="D12" s="240"/>
      <c r="E12" s="240"/>
      <c r="F12" s="240"/>
      <c r="G12" s="84"/>
    </row>
    <row r="13" ht="15.75" customHeight="1">
      <c r="A13" s="85" t="s">
        <v>150</v>
      </c>
      <c r="B13" s="236">
        <v>49413.0</v>
      </c>
      <c r="C13" s="236">
        <v>52501.0</v>
      </c>
      <c r="D13" s="236">
        <f>151+55182        </f>
        <v>55333</v>
      </c>
      <c r="E13" s="236">
        <v>74600.0</v>
      </c>
      <c r="F13" s="236">
        <v>85636.0</v>
      </c>
      <c r="G13" s="87">
        <f t="shared" ref="G13:G15" si="3">(F13/B13)^(1/5)-1</f>
        <v>0.1162540056</v>
      </c>
    </row>
    <row r="14" ht="15.75" customHeight="1">
      <c r="A14" s="85" t="s">
        <v>151</v>
      </c>
      <c r="B14" s="236">
        <v>2890.0</v>
      </c>
      <c r="C14" s="236">
        <v>2662.0</v>
      </c>
      <c r="D14" s="236">
        <v>2157.0</v>
      </c>
      <c r="E14" s="236">
        <v>2739.0</v>
      </c>
      <c r="F14" s="236">
        <v>3716.0</v>
      </c>
      <c r="G14" s="87">
        <f t="shared" si="3"/>
        <v>0.05156366773</v>
      </c>
    </row>
    <row r="15" ht="15.75" customHeight="1">
      <c r="A15" s="85" t="s">
        <v>152</v>
      </c>
      <c r="B15" s="236">
        <v>15744.0</v>
      </c>
      <c r="C15" s="236">
        <v>14989.0</v>
      </c>
      <c r="D15" s="236">
        <v>13747.0</v>
      </c>
      <c r="E15" s="236">
        <v>27941.0</v>
      </c>
      <c r="F15" s="236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5"/>
      <c r="D17" s="95"/>
      <c r="E17" s="95"/>
      <c r="F17" s="95"/>
      <c r="G17" s="95"/>
    </row>
    <row r="18" ht="15.75" customHeight="1">
      <c r="A18" s="77" t="s">
        <v>153</v>
      </c>
      <c r="B18" s="241">
        <f t="shared" ref="B18:F18" si="4">B6/B5</f>
        <v>0.09721120804</v>
      </c>
      <c r="C18" s="241">
        <f t="shared" si="4"/>
        <v>0.07689137725</v>
      </c>
      <c r="D18" s="241">
        <f t="shared" si="4"/>
        <v>0.06511943847</v>
      </c>
      <c r="E18" s="241">
        <f t="shared" si="4"/>
        <v>0.110818343</v>
      </c>
      <c r="F18" s="241">
        <f t="shared" si="4"/>
        <v>0.1313003144</v>
      </c>
      <c r="G18" s="95"/>
    </row>
    <row r="19" ht="15.75" customHeight="1">
      <c r="A19" s="85" t="s">
        <v>154</v>
      </c>
      <c r="B19" s="241">
        <f t="shared" ref="B19:F19" si="5">B8/B5</f>
        <v>0.07504625958</v>
      </c>
      <c r="C19" s="241">
        <f t="shared" si="5"/>
        <v>0.06236855568</v>
      </c>
      <c r="D19" s="241">
        <f t="shared" si="5"/>
        <v>0.04392618589</v>
      </c>
      <c r="E19" s="241">
        <f t="shared" si="5"/>
        <v>0.06979140275</v>
      </c>
      <c r="F19" s="241">
        <f t="shared" si="5"/>
        <v>0.09508099649</v>
      </c>
      <c r="G19" s="95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14.49606299</v>
      </c>
      <c r="E20" s="98">
        <f t="shared" si="6"/>
        <v>42.91666667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52.07142857</v>
      </c>
      <c r="F21" s="98">
        <f t="shared" si="7"/>
        <v>96.01030928</v>
      </c>
      <c r="G21" s="95"/>
    </row>
    <row r="22" ht="15.75" customHeight="1">
      <c r="A22" s="85" t="s">
        <v>157</v>
      </c>
      <c r="B22" s="241">
        <f t="shared" ref="B22:F22" si="8">B14/B13</f>
        <v>0.05848663307</v>
      </c>
      <c r="C22" s="241">
        <f t="shared" si="8"/>
        <v>0.05070379612</v>
      </c>
      <c r="D22" s="241">
        <f t="shared" si="8"/>
        <v>0.03898216254</v>
      </c>
      <c r="E22" s="241">
        <f t="shared" si="8"/>
        <v>0.03671581769</v>
      </c>
      <c r="F22" s="241">
        <f t="shared" si="8"/>
        <v>0.04339296558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  <c r="I23" s="242"/>
      <c r="J23" s="242"/>
      <c r="K23" s="242"/>
      <c r="L23" s="242"/>
    </row>
    <row r="24" ht="15.75" customHeight="1">
      <c r="A24" s="85" t="s">
        <v>158</v>
      </c>
      <c r="B24" s="98">
        <f t="shared" ref="B24:F24" si="9">B8/B13</f>
        <v>0.114909032</v>
      </c>
      <c r="C24" s="98">
        <f t="shared" si="9"/>
        <v>0.08359840765</v>
      </c>
      <c r="D24" s="98">
        <f t="shared" si="9"/>
        <v>0.07012090434</v>
      </c>
      <c r="E24" s="98">
        <f t="shared" si="9"/>
        <v>0.1107774799</v>
      </c>
      <c r="F24" s="98">
        <f t="shared" si="9"/>
        <v>0.1575038535</v>
      </c>
      <c r="G24" s="95"/>
      <c r="I24" s="242"/>
      <c r="J24" s="242"/>
      <c r="K24" s="242"/>
      <c r="L24" s="242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0.100052183</v>
      </c>
      <c r="E25" s="98">
        <f t="shared" si="10"/>
        <v>0.1696686019</v>
      </c>
      <c r="F25" s="98">
        <f t="shared" si="10"/>
        <v>0.2084564419</v>
      </c>
      <c r="G25" s="95"/>
      <c r="I25" s="242" t="s">
        <v>144</v>
      </c>
      <c r="J25" s="242">
        <v>1000.0</v>
      </c>
      <c r="K25" s="243">
        <v>1.0</v>
      </c>
      <c r="L25" s="242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  <c r="I26" s="242" t="s">
        <v>222</v>
      </c>
      <c r="J26" s="242">
        <v>600.0</v>
      </c>
      <c r="K26" s="242"/>
      <c r="L26" s="242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  <c r="I27" s="242" t="s">
        <v>223</v>
      </c>
      <c r="J27" s="242">
        <f>J25-J26</f>
        <v>400</v>
      </c>
      <c r="K27" s="242">
        <f>J27/$J$25</f>
        <v>0.4</v>
      </c>
      <c r="L27" s="242"/>
    </row>
    <row r="28" ht="15.75" customHeight="1">
      <c r="A28" s="85"/>
      <c r="B28" s="99"/>
      <c r="C28" s="99"/>
      <c r="D28" s="99"/>
      <c r="E28" s="99"/>
      <c r="F28" s="99"/>
      <c r="G28" s="95"/>
      <c r="I28" s="242" t="s">
        <v>224</v>
      </c>
      <c r="J28" s="242">
        <f>J25*30%</f>
        <v>300</v>
      </c>
      <c r="K28" s="242"/>
      <c r="L28" s="242"/>
    </row>
    <row r="29" ht="15.75" customHeight="1">
      <c r="A29" s="85"/>
      <c r="B29" s="99"/>
      <c r="C29" s="99"/>
      <c r="D29" s="99"/>
      <c r="E29" s="99"/>
      <c r="F29" s="99"/>
      <c r="G29" s="95"/>
      <c r="I29" s="242" t="s">
        <v>225</v>
      </c>
      <c r="J29" s="242">
        <f>J27-J28</f>
        <v>100</v>
      </c>
      <c r="K29" s="242">
        <f>J29/$J$25</f>
        <v>0.1</v>
      </c>
      <c r="L29" s="15" t="s">
        <v>226</v>
      </c>
    </row>
    <row r="30" ht="15.75" customHeight="1">
      <c r="A30" s="85" t="s">
        <v>154</v>
      </c>
      <c r="B30" s="98">
        <f t="shared" ref="B30:F30" si="11">B19</f>
        <v>0.07504625958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0.06979140275</v>
      </c>
      <c r="F30" s="98">
        <f t="shared" si="11"/>
        <v>0.09508099649</v>
      </c>
      <c r="G30" s="95"/>
      <c r="I30" s="242" t="s">
        <v>227</v>
      </c>
      <c r="J30" s="242">
        <f>J29*35%</f>
        <v>35</v>
      </c>
      <c r="K30" s="242"/>
      <c r="L30" s="242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4.237858344</v>
      </c>
      <c r="F31" s="98">
        <f t="shared" si="12"/>
        <v>5.090902566</v>
      </c>
      <c r="G31" s="95"/>
      <c r="I31" s="242" t="s">
        <v>228</v>
      </c>
      <c r="J31" s="242">
        <f>J29-J30</f>
        <v>65</v>
      </c>
      <c r="K31" s="242">
        <f>J31/$J$25</f>
        <v>0.065</v>
      </c>
      <c r="L31" s="242" t="s">
        <v>229</v>
      </c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0.2484412557</v>
      </c>
      <c r="E32" s="98">
        <f t="shared" si="13"/>
        <v>0.3745442359</v>
      </c>
      <c r="F32" s="98">
        <f t="shared" si="13"/>
        <v>0.3253888552</v>
      </c>
      <c r="G32" s="95"/>
      <c r="I32" s="242"/>
      <c r="J32" s="242"/>
      <c r="K32" s="242"/>
      <c r="L32" s="242"/>
    </row>
    <row r="33" ht="15.75" customHeight="1">
      <c r="A33" s="85" t="s">
        <v>164</v>
      </c>
      <c r="B33" s="98">
        <f t="shared" ref="B33:F33" si="14">B30*B31*B32</f>
        <v>0.114909032</v>
      </c>
      <c r="C33" s="98">
        <f t="shared" si="14"/>
        <v>0.08359840765</v>
      </c>
      <c r="D33" s="98">
        <f t="shared" si="14"/>
        <v>0.07012090434</v>
      </c>
      <c r="E33" s="98">
        <f t="shared" si="14"/>
        <v>0.1107774799</v>
      </c>
      <c r="F33" s="98">
        <f t="shared" si="14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88">
        <v>511659.0</v>
      </c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16036.07176</v>
      </c>
      <c r="C37" s="245" t="s">
        <v>230</v>
      </c>
      <c r="D37" s="95"/>
      <c r="E37" s="95"/>
      <c r="F37" s="95"/>
      <c r="G37" s="95"/>
    </row>
    <row r="38" ht="15.75" customHeight="1">
      <c r="A38" s="85" t="s">
        <v>168</v>
      </c>
      <c r="B38" s="88">
        <v>35.0</v>
      </c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246">
        <v>45.0</v>
      </c>
      <c r="C40" s="245" t="s">
        <v>231</v>
      </c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215748.2858</v>
      </c>
      <c r="C41" s="95"/>
      <c r="D41" s="77" t="s">
        <v>171</v>
      </c>
      <c r="E41" s="106"/>
      <c r="F41" s="106"/>
      <c r="G41" s="247">
        <v>0.15</v>
      </c>
    </row>
    <row r="42" ht="15.75" customHeight="1">
      <c r="A42" s="85" t="s">
        <v>172</v>
      </c>
      <c r="B42" s="248">
        <v>0.1</v>
      </c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21574.82858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970867.2859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>
        <f>(B44/B36)-1</f>
        <v>0.897488925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35" t="s">
        <v>142</v>
      </c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236">
        <v>75660.0</v>
      </c>
      <c r="C5" s="236">
        <v>70372.0</v>
      </c>
      <c r="D5" s="236">
        <v>88330.0</v>
      </c>
      <c r="E5" s="236">
        <v>117571.0</v>
      </c>
      <c r="F5" s="236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236">
        <v>7355.0</v>
      </c>
      <c r="C6" s="236">
        <v>5411.0</v>
      </c>
      <c r="D6" s="236">
        <v>5752.0</v>
      </c>
      <c r="E6" s="236">
        <v>11029.0</v>
      </c>
      <c r="F6" s="236">
        <v>18626.0</v>
      </c>
      <c r="G6" s="87">
        <f t="shared" si="2"/>
        <v>0.2042242937</v>
      </c>
    </row>
    <row r="7" ht="15.75" customHeight="1">
      <c r="A7" s="85" t="s">
        <v>19</v>
      </c>
      <c r="B7" s="237">
        <v>134.0</v>
      </c>
      <c r="C7" s="237">
        <v>102.0</v>
      </c>
      <c r="D7" s="237">
        <v>127.0</v>
      </c>
      <c r="E7" s="238">
        <v>187.0</v>
      </c>
      <c r="F7" s="237">
        <v>194.0</v>
      </c>
      <c r="G7" s="87">
        <f t="shared" si="2"/>
        <v>0.07681075935</v>
      </c>
    </row>
    <row r="8" ht="15.75" customHeight="1">
      <c r="A8" s="85" t="s">
        <v>146</v>
      </c>
      <c r="B8" s="236">
        <v>5678.0</v>
      </c>
      <c r="C8" s="236">
        <v>4389.0</v>
      </c>
      <c r="D8" s="236">
        <v>3880.0</v>
      </c>
      <c r="E8" s="236">
        <v>8211.0</v>
      </c>
      <c r="F8" s="236">
        <v>13488.0</v>
      </c>
      <c r="G8" s="87">
        <f t="shared" si="2"/>
        <v>0.1889139801</v>
      </c>
      <c r="J8" s="75"/>
      <c r="K8" s="259"/>
    </row>
    <row r="9" ht="15.75" customHeight="1">
      <c r="A9" s="85" t="s">
        <v>147</v>
      </c>
      <c r="B9" s="239"/>
      <c r="C9" s="239"/>
      <c r="D9" s="239"/>
      <c r="E9" s="239"/>
      <c r="F9" s="239"/>
      <c r="G9" s="87" t="str">
        <f t="shared" si="2"/>
        <v>#DIV/0!</v>
      </c>
    </row>
    <row r="10" ht="15.75" customHeight="1">
      <c r="A10" s="85" t="s">
        <v>148</v>
      </c>
      <c r="B10" s="239"/>
      <c r="C10" s="239"/>
      <c r="D10" s="239"/>
      <c r="E10" s="239"/>
      <c r="F10" s="239"/>
      <c r="G10" s="87" t="str">
        <f t="shared" si="2"/>
        <v>#DIV/0!</v>
      </c>
      <c r="J10" s="95"/>
      <c r="K10" s="260"/>
      <c r="L10" s="260"/>
      <c r="M10" s="260"/>
      <c r="N10" s="260"/>
      <c r="O10" s="260"/>
      <c r="P10" s="261"/>
    </row>
    <row r="11" ht="15.75" customHeight="1">
      <c r="A11" s="85" t="s">
        <v>149</v>
      </c>
      <c r="B11" s="236">
        <v>3496.0</v>
      </c>
      <c r="C11" s="236">
        <v>8856.0</v>
      </c>
      <c r="D11" s="236">
        <v>1840.0</v>
      </c>
      <c r="E11" s="236">
        <v>9251.0</v>
      </c>
      <c r="F11" s="236">
        <v>16801.0</v>
      </c>
      <c r="G11" s="87">
        <f t="shared" si="2"/>
        <v>0.3688401701</v>
      </c>
      <c r="J11" s="262"/>
      <c r="K11" s="263"/>
      <c r="P11" s="261"/>
    </row>
    <row r="12" ht="15.75" customHeight="1">
      <c r="A12" s="85"/>
      <c r="B12" s="240"/>
      <c r="C12" s="240"/>
      <c r="D12" s="240"/>
      <c r="E12" s="240"/>
      <c r="F12" s="240"/>
      <c r="G12" s="84"/>
      <c r="J12" s="95"/>
      <c r="K12" s="264"/>
      <c r="L12" s="264"/>
      <c r="M12" s="264"/>
      <c r="N12" s="264"/>
      <c r="O12" s="264"/>
      <c r="P12" s="265"/>
    </row>
    <row r="13" ht="15.75" customHeight="1">
      <c r="A13" s="85" t="s">
        <v>150</v>
      </c>
      <c r="B13" s="236">
        <f>151+49262</f>
        <v>49413</v>
      </c>
      <c r="C13" s="236">
        <f>151+52350</f>
        <v>52501</v>
      </c>
      <c r="D13" s="236">
        <f>151+55182        </f>
        <v>55333</v>
      </c>
      <c r="E13" s="236">
        <f>151+61640</f>
        <v>61791</v>
      </c>
      <c r="F13" s="236">
        <f>151+85479</f>
        <v>85630</v>
      </c>
      <c r="G13" s="87">
        <f t="shared" ref="G13:G15" si="3">(F13/B13)^(1/5)-1</f>
        <v>0.1162383633</v>
      </c>
      <c r="J13" s="95"/>
      <c r="K13" s="264"/>
      <c r="L13" s="264"/>
      <c r="M13" s="264"/>
      <c r="N13" s="264"/>
      <c r="O13" s="264"/>
      <c r="P13" s="265"/>
    </row>
    <row r="14" ht="15.75" customHeight="1">
      <c r="A14" s="85" t="s">
        <v>151</v>
      </c>
      <c r="B14" s="236">
        <v>2890.0</v>
      </c>
      <c r="C14" s="236">
        <v>2662.0</v>
      </c>
      <c r="D14" s="236">
        <v>2157.0</v>
      </c>
      <c r="E14" s="236">
        <v>2739.0</v>
      </c>
      <c r="F14" s="236">
        <v>3716.0</v>
      </c>
      <c r="G14" s="87">
        <f t="shared" si="3"/>
        <v>0.05156366773</v>
      </c>
      <c r="J14" s="95"/>
      <c r="K14" s="266"/>
      <c r="L14" s="266"/>
      <c r="M14" s="266"/>
      <c r="N14" s="267"/>
      <c r="O14" s="266"/>
      <c r="P14" s="265"/>
    </row>
    <row r="15" ht="15.75" customHeight="1">
      <c r="A15" s="85" t="s">
        <v>152</v>
      </c>
      <c r="B15" s="236">
        <v>15744.0</v>
      </c>
      <c r="C15" s="236">
        <v>14989.0</v>
      </c>
      <c r="D15" s="236">
        <v>13747.0</v>
      </c>
      <c r="E15" s="236">
        <v>17830.0</v>
      </c>
      <c r="F15" s="236">
        <v>27865.0</v>
      </c>
      <c r="G15" s="87">
        <f t="shared" si="3"/>
        <v>0.1209565868</v>
      </c>
      <c r="J15" s="95"/>
      <c r="K15" s="264"/>
      <c r="L15" s="264"/>
      <c r="M15" s="264"/>
      <c r="N15" s="264"/>
      <c r="O15" s="264"/>
      <c r="P15" s="265"/>
    </row>
    <row r="16" ht="15.75" customHeight="1">
      <c r="A16" s="95"/>
      <c r="B16" s="96"/>
      <c r="C16" s="97"/>
      <c r="D16" s="95"/>
      <c r="E16" s="95"/>
      <c r="F16" s="95"/>
      <c r="G16" s="95"/>
      <c r="J16" s="95"/>
      <c r="K16" s="268"/>
      <c r="L16" s="268"/>
      <c r="M16" s="268"/>
      <c r="N16" s="268"/>
      <c r="O16" s="268"/>
      <c r="P16" s="265"/>
    </row>
    <row r="17" ht="15.75" customHeight="1">
      <c r="A17" s="95"/>
      <c r="B17" s="95"/>
      <c r="C17" s="95"/>
      <c r="D17" s="95"/>
      <c r="E17" s="95"/>
      <c r="F17" s="95"/>
      <c r="G17" s="95"/>
      <c r="J17" s="95"/>
      <c r="K17" s="268"/>
      <c r="L17" s="268"/>
      <c r="M17" s="268"/>
      <c r="N17" s="268"/>
      <c r="O17" s="268"/>
      <c r="P17" s="265"/>
    </row>
    <row r="18" ht="15.75" customHeight="1">
      <c r="A18" s="77" t="s">
        <v>153</v>
      </c>
      <c r="B18" s="241">
        <f t="shared" ref="B18:F18" si="4">B6/B5</f>
        <v>0.09721120804</v>
      </c>
      <c r="C18" s="241">
        <f t="shared" si="4"/>
        <v>0.07689137725</v>
      </c>
      <c r="D18" s="241">
        <f t="shared" si="4"/>
        <v>0.06511943847</v>
      </c>
      <c r="E18" s="241">
        <f t="shared" si="4"/>
        <v>0.09380714632</v>
      </c>
      <c r="F18" s="241">
        <f t="shared" si="4"/>
        <v>0.1313003144</v>
      </c>
      <c r="G18" s="95"/>
      <c r="J18" s="95"/>
      <c r="K18" s="264"/>
      <c r="L18" s="264"/>
      <c r="M18" s="264"/>
      <c r="N18" s="264"/>
      <c r="O18" s="264"/>
      <c r="P18" s="265"/>
    </row>
    <row r="19" ht="15.75" customHeight="1">
      <c r="A19" s="85" t="s">
        <v>154</v>
      </c>
      <c r="B19" s="241">
        <f t="shared" ref="B19:F19" si="5">B8/B5</f>
        <v>0.07504625958</v>
      </c>
      <c r="C19" s="241">
        <f t="shared" si="5"/>
        <v>0.06236855568</v>
      </c>
      <c r="D19" s="241">
        <f t="shared" si="5"/>
        <v>0.04392618589</v>
      </c>
      <c r="E19" s="241">
        <f t="shared" si="5"/>
        <v>0.06983865069</v>
      </c>
      <c r="F19" s="241">
        <f t="shared" si="5"/>
        <v>0.09508099649</v>
      </c>
      <c r="G19" s="95"/>
      <c r="J19" s="95"/>
      <c r="K19" s="269"/>
      <c r="L19" s="269"/>
      <c r="M19" s="269"/>
      <c r="N19" s="269"/>
      <c r="O19" s="269"/>
      <c r="P19" s="261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14.48818898</v>
      </c>
      <c r="E20" s="98">
        <f t="shared" si="6"/>
        <v>49.47058824</v>
      </c>
      <c r="F20" s="98">
        <f t="shared" si="6"/>
        <v>86.60309278</v>
      </c>
      <c r="G20" s="95"/>
      <c r="J20" s="95"/>
      <c r="K20" s="264"/>
      <c r="L20" s="264"/>
      <c r="M20" s="264"/>
      <c r="N20" s="264"/>
      <c r="O20" s="264"/>
      <c r="P20" s="26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58.97860963</v>
      </c>
      <c r="F21" s="98">
        <f t="shared" si="7"/>
        <v>96.01030928</v>
      </c>
      <c r="G21" s="95"/>
      <c r="J21" s="95"/>
      <c r="K21" s="264"/>
      <c r="L21" s="264"/>
      <c r="M21" s="264"/>
      <c r="N21" s="264"/>
      <c r="O21" s="264"/>
      <c r="P21" s="265"/>
    </row>
    <row r="22" ht="15.75" customHeight="1">
      <c r="A22" s="85" t="s">
        <v>157</v>
      </c>
      <c r="B22" s="241">
        <f t="shared" ref="B22:F22" si="8">B14/B13</f>
        <v>0.05848663307</v>
      </c>
      <c r="C22" s="241">
        <f t="shared" si="8"/>
        <v>0.05070379612</v>
      </c>
      <c r="D22" s="241">
        <f t="shared" si="8"/>
        <v>0.03898216254</v>
      </c>
      <c r="E22" s="241">
        <f t="shared" si="8"/>
        <v>0.04432684372</v>
      </c>
      <c r="F22" s="241">
        <f t="shared" si="8"/>
        <v>0.04339600607</v>
      </c>
      <c r="G22" s="95"/>
      <c r="J22" s="95"/>
      <c r="K22" s="264"/>
      <c r="L22" s="264"/>
      <c r="M22" s="264"/>
      <c r="N22" s="264"/>
      <c r="O22" s="264"/>
      <c r="P22" s="265"/>
    </row>
    <row r="23" ht="15.75" customHeight="1">
      <c r="A23" s="85"/>
      <c r="B23" s="99"/>
      <c r="C23" s="99"/>
      <c r="D23" s="99"/>
      <c r="E23" s="99"/>
      <c r="F23" s="99"/>
      <c r="G23" s="95"/>
      <c r="I23" s="242"/>
      <c r="J23" s="95"/>
      <c r="K23" s="96"/>
      <c r="L23" s="97"/>
      <c r="M23" s="95"/>
      <c r="N23" s="95"/>
      <c r="O23" s="95"/>
      <c r="P23" s="95"/>
    </row>
    <row r="24" ht="15.75" customHeight="1">
      <c r="A24" s="85" t="s">
        <v>158</v>
      </c>
      <c r="B24" s="98">
        <f t="shared" ref="B24:F24" si="9">B8/B13</f>
        <v>0.114909032</v>
      </c>
      <c r="C24" s="98">
        <f t="shared" si="9"/>
        <v>0.08359840765</v>
      </c>
      <c r="D24" s="98">
        <f t="shared" si="9"/>
        <v>0.07012090434</v>
      </c>
      <c r="E24" s="98">
        <f t="shared" si="9"/>
        <v>0.1328834296</v>
      </c>
      <c r="F24" s="98">
        <f t="shared" si="9"/>
        <v>0.1575148896</v>
      </c>
      <c r="G24" s="95"/>
      <c r="I24" s="242"/>
      <c r="J24" s="95"/>
      <c r="K24" s="95"/>
      <c r="L24" s="95"/>
      <c r="M24" s="95"/>
      <c r="N24" s="95"/>
      <c r="O24" s="95"/>
      <c r="P24" s="95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0.100052183</v>
      </c>
      <c r="E25" s="98">
        <f t="shared" si="10"/>
        <v>0.1709127538</v>
      </c>
      <c r="F25" s="98">
        <f t="shared" si="10"/>
        <v>0.2084704408</v>
      </c>
      <c r="G25" s="95"/>
      <c r="I25" s="242"/>
      <c r="J25" s="95"/>
      <c r="K25" s="270"/>
      <c r="L25" s="270"/>
      <c r="M25" s="270"/>
      <c r="N25" s="270"/>
      <c r="O25" s="270"/>
      <c r="P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  <c r="I26" s="242"/>
      <c r="J26" s="95"/>
      <c r="K26" s="270"/>
      <c r="L26" s="270"/>
      <c r="M26" s="270"/>
      <c r="N26" s="270"/>
      <c r="O26" s="270"/>
      <c r="P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  <c r="I27" s="242"/>
      <c r="J27" s="95"/>
      <c r="K27" s="271"/>
      <c r="L27" s="271"/>
      <c r="M27" s="271"/>
      <c r="N27" s="271"/>
      <c r="O27" s="271"/>
      <c r="P27" s="95"/>
    </row>
    <row r="28" ht="15.75" customHeight="1">
      <c r="A28" s="85"/>
      <c r="B28" s="99"/>
      <c r="C28" s="99"/>
      <c r="D28" s="99"/>
      <c r="E28" s="99"/>
      <c r="F28" s="99"/>
      <c r="G28" s="95"/>
      <c r="I28" s="242"/>
      <c r="J28" s="95"/>
      <c r="K28" s="271"/>
      <c r="L28" s="271"/>
      <c r="M28" s="271"/>
      <c r="N28" s="271"/>
      <c r="O28" s="271"/>
      <c r="P28" s="95"/>
    </row>
    <row r="29" ht="15.75" customHeight="1">
      <c r="A29" s="85"/>
      <c r="B29" s="99"/>
      <c r="C29" s="99"/>
      <c r="D29" s="99"/>
      <c r="E29" s="99"/>
      <c r="F29" s="99"/>
      <c r="G29" s="95"/>
      <c r="I29" s="242"/>
      <c r="J29" s="95"/>
      <c r="K29" s="270"/>
      <c r="L29" s="270"/>
      <c r="M29" s="270"/>
      <c r="N29" s="270"/>
      <c r="O29" s="270"/>
      <c r="P29" s="95"/>
    </row>
    <row r="30" ht="15.75" customHeight="1">
      <c r="A30" s="85" t="s">
        <v>154</v>
      </c>
      <c r="B30" s="98">
        <f t="shared" ref="B30:F30" si="11">B19</f>
        <v>0.07504625958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0.06983865069</v>
      </c>
      <c r="F30" s="98">
        <f t="shared" si="11"/>
        <v>0.09508099649</v>
      </c>
      <c r="G30" s="95"/>
      <c r="I30" s="242"/>
      <c r="J30" s="95"/>
      <c r="K30" s="95"/>
      <c r="L30" s="95"/>
      <c r="M30" s="95"/>
      <c r="N30" s="95"/>
      <c r="O30" s="95"/>
      <c r="P30" s="95"/>
      <c r="R30" s="242"/>
      <c r="S30" s="242"/>
      <c r="T30" s="242"/>
      <c r="U30" s="242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6.593998878</v>
      </c>
      <c r="F31" s="98">
        <f t="shared" si="12"/>
        <v>5.090902566</v>
      </c>
      <c r="G31" s="95"/>
      <c r="I31" s="242"/>
      <c r="J31" s="95"/>
      <c r="K31" s="271"/>
      <c r="L31" s="271"/>
      <c r="M31" s="271"/>
      <c r="N31" s="271"/>
      <c r="O31" s="271"/>
      <c r="P31" s="95"/>
      <c r="R31" s="242"/>
      <c r="S31" s="242"/>
      <c r="T31" s="242"/>
      <c r="U31" s="242"/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0.2484412557</v>
      </c>
      <c r="E32" s="98">
        <f t="shared" si="13"/>
        <v>0.2885533492</v>
      </c>
      <c r="F32" s="98">
        <f t="shared" si="13"/>
        <v>0.3254116548</v>
      </c>
      <c r="G32" s="95"/>
      <c r="I32" s="242"/>
      <c r="J32" s="95"/>
      <c r="K32" s="271"/>
      <c r="L32" s="271"/>
      <c r="M32" s="271"/>
      <c r="N32" s="271"/>
      <c r="O32" s="271"/>
      <c r="P32" s="95"/>
      <c r="R32" s="242"/>
      <c r="S32" s="242"/>
      <c r="T32" s="243"/>
      <c r="U32" s="242"/>
    </row>
    <row r="33" ht="15.75" customHeight="1">
      <c r="A33" s="85" t="s">
        <v>164</v>
      </c>
      <c r="B33" s="98">
        <f t="shared" ref="B33:F33" si="14">B30*B31*B32</f>
        <v>0.114909032</v>
      </c>
      <c r="C33" s="98">
        <f t="shared" si="14"/>
        <v>0.08359840765</v>
      </c>
      <c r="D33" s="98">
        <f t="shared" si="14"/>
        <v>0.07012090434</v>
      </c>
      <c r="E33" s="98">
        <f t="shared" si="14"/>
        <v>0.1328834296</v>
      </c>
      <c r="F33" s="98">
        <f t="shared" si="14"/>
        <v>0.1575148896</v>
      </c>
      <c r="G33" s="95"/>
      <c r="J33" s="95"/>
      <c r="K33" s="272"/>
      <c r="L33" s="272"/>
      <c r="M33" s="272"/>
      <c r="N33" s="272"/>
      <c r="O33" s="272"/>
      <c r="P33" s="95"/>
      <c r="R33" s="242"/>
      <c r="S33" s="242"/>
      <c r="T33" s="242"/>
      <c r="U33" s="242"/>
    </row>
    <row r="34" ht="15.75" customHeight="1">
      <c r="A34" s="95"/>
      <c r="B34" s="95"/>
      <c r="C34" s="95"/>
      <c r="D34" s="95"/>
      <c r="E34" s="95"/>
      <c r="F34" s="95"/>
      <c r="G34" s="95"/>
      <c r="J34" s="95"/>
      <c r="K34" s="273"/>
      <c r="L34" s="273"/>
      <c r="M34" s="273"/>
      <c r="N34" s="273"/>
      <c r="O34" s="273"/>
      <c r="P34" s="95"/>
      <c r="R34" s="242"/>
      <c r="S34" s="242"/>
      <c r="T34" s="242"/>
      <c r="U34" s="242"/>
    </row>
    <row r="35" ht="15.75" customHeight="1">
      <c r="A35" s="77" t="s">
        <v>165</v>
      </c>
      <c r="B35" s="244">
        <v>5.0</v>
      </c>
      <c r="C35" s="245" t="s">
        <v>234</v>
      </c>
      <c r="D35" s="95"/>
      <c r="E35" s="95"/>
      <c r="F35" s="95"/>
      <c r="G35" s="95"/>
      <c r="J35" s="95"/>
      <c r="K35" s="95"/>
      <c r="L35" s="95"/>
      <c r="M35" s="95"/>
      <c r="N35" s="95"/>
      <c r="O35" s="95"/>
      <c r="P35" s="95"/>
      <c r="R35" s="242"/>
      <c r="S35" s="242"/>
      <c r="T35" s="242"/>
      <c r="U35" s="242"/>
    </row>
    <row r="36" ht="15.75" customHeight="1">
      <c r="A36" s="85" t="s">
        <v>166</v>
      </c>
      <c r="B36" s="88">
        <v>514551.0</v>
      </c>
      <c r="C36" s="95"/>
      <c r="D36" s="95"/>
      <c r="E36" s="95"/>
      <c r="F36" s="95"/>
      <c r="G36" s="95"/>
      <c r="J36" s="95"/>
      <c r="K36" s="95"/>
      <c r="L36" s="95"/>
      <c r="M36" s="95"/>
      <c r="N36" s="95"/>
      <c r="O36" s="95"/>
      <c r="P36" s="95"/>
      <c r="R36" s="242"/>
      <c r="S36" s="242"/>
      <c r="T36" s="242"/>
    </row>
    <row r="37" ht="15.75" customHeight="1">
      <c r="A37" s="85" t="s">
        <v>167</v>
      </c>
      <c r="B37" s="103">
        <f>F8*(1+G8)</f>
        <v>16036.07176</v>
      </c>
      <c r="C37" s="245" t="s">
        <v>230</v>
      </c>
      <c r="D37" s="95"/>
      <c r="E37" s="95"/>
      <c r="F37" s="95"/>
      <c r="G37" s="95"/>
      <c r="J37" s="95"/>
      <c r="K37" s="271"/>
      <c r="L37" s="271"/>
      <c r="M37" s="271"/>
      <c r="N37" s="271"/>
      <c r="O37" s="271"/>
      <c r="P37" s="95"/>
      <c r="R37" s="242"/>
      <c r="S37" s="242"/>
      <c r="T37" s="242"/>
      <c r="U37" s="242"/>
    </row>
    <row r="38" ht="15.75" customHeight="1">
      <c r="A38" s="85" t="s">
        <v>168</v>
      </c>
      <c r="B38" s="88">
        <v>35.0</v>
      </c>
      <c r="C38" s="95"/>
      <c r="D38" s="95"/>
      <c r="E38" s="95"/>
      <c r="F38" s="95"/>
      <c r="G38" s="95"/>
      <c r="J38" s="95"/>
      <c r="K38" s="271"/>
      <c r="L38" s="271"/>
      <c r="M38" s="271"/>
      <c r="N38" s="271"/>
      <c r="O38" s="271"/>
      <c r="P38" s="95"/>
      <c r="R38" s="242"/>
      <c r="S38" s="242"/>
      <c r="T38" s="242"/>
      <c r="U38" s="242"/>
    </row>
    <row r="39" ht="15.75" customHeight="1">
      <c r="A39" s="85"/>
      <c r="B39" s="99"/>
      <c r="C39" s="95"/>
      <c r="D39" s="95"/>
      <c r="E39" s="95"/>
      <c r="F39" s="95"/>
      <c r="G39" s="95"/>
      <c r="J39" s="95"/>
      <c r="K39" s="271"/>
      <c r="L39" s="271"/>
      <c r="M39" s="271"/>
      <c r="N39" s="271"/>
      <c r="O39" s="271"/>
      <c r="P39" s="95"/>
      <c r="R39" s="242"/>
      <c r="S39" s="242"/>
      <c r="T39" s="242"/>
      <c r="U39" s="242"/>
    </row>
    <row r="40" ht="15.75" customHeight="1">
      <c r="A40" s="85" t="s">
        <v>169</v>
      </c>
      <c r="B40" s="246">
        <v>40.0</v>
      </c>
      <c r="C40" s="245" t="s">
        <v>231</v>
      </c>
      <c r="D40" s="95"/>
      <c r="E40" s="95"/>
      <c r="F40" s="95"/>
      <c r="G40" s="95"/>
      <c r="J40" s="95"/>
      <c r="K40" s="271"/>
      <c r="L40" s="271"/>
      <c r="M40" s="271"/>
      <c r="N40" s="271"/>
      <c r="O40" s="271"/>
      <c r="P40" s="95"/>
    </row>
    <row r="41" ht="15.75" customHeight="1">
      <c r="A41" s="85" t="s">
        <v>170</v>
      </c>
      <c r="B41" s="105">
        <f>F5*(1+G41)^3</f>
        <v>215748.2858</v>
      </c>
      <c r="C41" s="95"/>
      <c r="D41" s="77" t="s">
        <v>171</v>
      </c>
      <c r="E41" s="106"/>
      <c r="F41" s="106"/>
      <c r="G41" s="247">
        <v>0.15</v>
      </c>
      <c r="J41" s="95"/>
      <c r="K41" s="95"/>
      <c r="L41" s="95"/>
      <c r="M41" s="95"/>
      <c r="N41" s="95"/>
      <c r="O41" s="95"/>
      <c r="P41" s="95"/>
    </row>
    <row r="42" ht="15.75" customHeight="1">
      <c r="A42" s="85" t="s">
        <v>172</v>
      </c>
      <c r="B42" s="248">
        <v>0.1</v>
      </c>
      <c r="C42" s="95"/>
      <c r="D42" s="95"/>
      <c r="E42" s="95"/>
      <c r="F42" s="95"/>
      <c r="G42" s="95"/>
      <c r="J42" s="95"/>
      <c r="K42" s="274"/>
      <c r="L42" s="245"/>
      <c r="M42" s="95"/>
      <c r="N42" s="95"/>
      <c r="O42" s="95"/>
      <c r="P42" s="95"/>
    </row>
    <row r="43" ht="15.75" customHeight="1">
      <c r="A43" s="85" t="s">
        <v>173</v>
      </c>
      <c r="B43" s="105">
        <f>B41*B42</f>
        <v>21574.82858</v>
      </c>
      <c r="C43" s="95"/>
      <c r="D43" s="95"/>
      <c r="E43" s="95"/>
      <c r="F43" s="95"/>
      <c r="G43" s="95"/>
      <c r="J43" s="95"/>
      <c r="K43" s="242"/>
      <c r="L43" s="95"/>
      <c r="M43" s="95"/>
      <c r="N43" s="95"/>
      <c r="O43" s="95"/>
      <c r="P43" s="95"/>
    </row>
    <row r="44" ht="15.75" customHeight="1">
      <c r="A44" s="85" t="s">
        <v>174</v>
      </c>
      <c r="B44" s="109">
        <f>B43*B40</f>
        <v>862993.143</v>
      </c>
      <c r="C44" s="95"/>
      <c r="D44" s="95"/>
      <c r="E44" s="95"/>
      <c r="F44" s="95"/>
      <c r="G44" s="95"/>
      <c r="J44" s="95"/>
      <c r="K44" s="275"/>
      <c r="L44" s="245"/>
      <c r="M44" s="95"/>
      <c r="N44" s="95"/>
      <c r="O44" s="95"/>
      <c r="P44" s="95"/>
    </row>
    <row r="45" ht="15.75" customHeight="1">
      <c r="A45" s="95"/>
      <c r="B45" s="95"/>
      <c r="C45" s="95"/>
      <c r="D45" s="95"/>
      <c r="E45" s="95"/>
      <c r="F45" s="95"/>
      <c r="G45" s="95"/>
      <c r="J45" s="95"/>
      <c r="K45" s="242"/>
      <c r="L45" s="95"/>
      <c r="M45" s="95"/>
      <c r="N45" s="95"/>
      <c r="O45" s="95"/>
      <c r="P45" s="95"/>
    </row>
    <row r="46" ht="15.75" customHeight="1">
      <c r="A46" s="77" t="s">
        <v>175</v>
      </c>
      <c r="B46" s="110">
        <f>(B44/B36)-1</f>
        <v>0.6771770787</v>
      </c>
      <c r="C46" s="106"/>
      <c r="D46" s="106"/>
      <c r="E46" s="106"/>
      <c r="F46" s="106"/>
      <c r="G46" s="106"/>
      <c r="J46" s="95"/>
      <c r="K46" s="95"/>
      <c r="L46" s="95"/>
      <c r="M46" s="95"/>
      <c r="N46" s="95"/>
      <c r="O46" s="95"/>
      <c r="P46" s="95"/>
    </row>
    <row r="47" ht="15.75" customHeight="1">
      <c r="J47" s="95"/>
      <c r="K47" s="245"/>
      <c r="L47" s="245"/>
      <c r="M47" s="95"/>
      <c r="N47" s="95"/>
      <c r="O47" s="95"/>
      <c r="P47" s="95"/>
    </row>
    <row r="48" ht="15.75" customHeight="1">
      <c r="J48" s="95"/>
      <c r="K48" s="96"/>
      <c r="L48" s="95"/>
      <c r="M48" s="95"/>
      <c r="N48" s="95"/>
      <c r="O48" s="95"/>
      <c r="P48" s="276"/>
    </row>
    <row r="49" ht="15.75" customHeight="1">
      <c r="J49" s="95"/>
      <c r="K49" s="277"/>
      <c r="L49" s="95"/>
      <c r="M49" s="95"/>
      <c r="N49" s="95"/>
      <c r="O49" s="95"/>
      <c r="P49" s="95"/>
    </row>
    <row r="50" ht="15.75" customHeight="1">
      <c r="J50" s="95"/>
      <c r="K50" s="96"/>
      <c r="L50" s="95"/>
      <c r="M50" s="95"/>
      <c r="N50" s="95"/>
      <c r="O50" s="95"/>
      <c r="P50" s="95"/>
    </row>
    <row r="51" ht="15.75" customHeight="1">
      <c r="J51" s="95"/>
      <c r="K51" s="278"/>
      <c r="L51" s="95"/>
      <c r="M51" s="95"/>
      <c r="N51" s="95"/>
      <c r="O51" s="95"/>
      <c r="P51" s="95"/>
    </row>
    <row r="52" ht="15.75" customHeight="1">
      <c r="J52" s="95"/>
      <c r="K52" s="95"/>
      <c r="L52" s="95"/>
      <c r="M52" s="95"/>
      <c r="N52" s="95"/>
      <c r="O52" s="95"/>
      <c r="P52" s="95"/>
    </row>
    <row r="53" ht="15.75" customHeight="1">
      <c r="J53" s="95"/>
      <c r="K53" s="273"/>
      <c r="L53" s="95"/>
      <c r="M53" s="95"/>
      <c r="N53" s="95"/>
      <c r="O53" s="95"/>
      <c r="P53" s="95"/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4:F4"/>
    <mergeCell ref="K11:O11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>
      <c r="C2" s="39"/>
      <c r="D2" s="39"/>
      <c r="E2" s="39"/>
      <c r="F2" s="39"/>
    </row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35" t="s">
        <v>142</v>
      </c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236">
        <v>75660.0</v>
      </c>
      <c r="C5" s="236">
        <v>70372.0</v>
      </c>
      <c r="D5" s="236">
        <v>88330.0</v>
      </c>
      <c r="E5" s="236">
        <v>117571.0</v>
      </c>
      <c r="F5" s="236">
        <v>141858.0</v>
      </c>
      <c r="G5" s="87">
        <f t="shared" ref="G5:G11" si="2">(F5/B5)^(1/5)-1</f>
        <v>0.1339593835</v>
      </c>
      <c r="H5" s="39"/>
    </row>
    <row r="6" ht="15.75" customHeight="1">
      <c r="A6" s="85" t="s">
        <v>145</v>
      </c>
      <c r="B6" s="236">
        <v>7355.0</v>
      </c>
      <c r="C6" s="236">
        <v>5411.0</v>
      </c>
      <c r="D6" s="236">
        <v>5752.0</v>
      </c>
      <c r="E6" s="236">
        <v>11029.0</v>
      </c>
      <c r="F6" s="236">
        <v>18626.0</v>
      </c>
      <c r="G6" s="87">
        <f t="shared" si="2"/>
        <v>0.2042242937</v>
      </c>
    </row>
    <row r="7" ht="15.75" customHeight="1">
      <c r="A7" s="85" t="s">
        <v>19</v>
      </c>
      <c r="B7" s="237">
        <v>134.0</v>
      </c>
      <c r="C7" s="237">
        <v>102.0</v>
      </c>
      <c r="D7" s="237">
        <v>127.0</v>
      </c>
      <c r="E7" s="238">
        <v>187.0</v>
      </c>
      <c r="F7" s="237">
        <v>194.0</v>
      </c>
      <c r="G7" s="87">
        <f t="shared" si="2"/>
        <v>0.07681075935</v>
      </c>
    </row>
    <row r="8" ht="15.75" customHeight="1">
      <c r="A8" s="85" t="s">
        <v>146</v>
      </c>
      <c r="B8" s="236">
        <v>5678.0</v>
      </c>
      <c r="C8" s="236">
        <v>4389.0</v>
      </c>
      <c r="D8" s="236">
        <v>3880.0</v>
      </c>
      <c r="E8" s="236">
        <v>8211.0</v>
      </c>
      <c r="F8" s="236">
        <v>13488.0</v>
      </c>
      <c r="G8" s="87">
        <f t="shared" si="2"/>
        <v>0.1889139801</v>
      </c>
    </row>
    <row r="9" ht="15.75" customHeight="1">
      <c r="A9" s="85" t="s">
        <v>147</v>
      </c>
      <c r="B9" s="239"/>
      <c r="C9" s="239"/>
      <c r="D9" s="239"/>
      <c r="E9" s="239"/>
      <c r="F9" s="239"/>
      <c r="G9" s="87" t="str">
        <f t="shared" si="2"/>
        <v>#DIV/0!</v>
      </c>
    </row>
    <row r="10" ht="15.75" customHeight="1">
      <c r="A10" s="85" t="s">
        <v>148</v>
      </c>
      <c r="B10" s="239"/>
      <c r="C10" s="239"/>
      <c r="D10" s="239"/>
      <c r="E10" s="239"/>
      <c r="F10" s="239"/>
      <c r="G10" s="87" t="str">
        <f t="shared" si="2"/>
        <v>#DIV/0!</v>
      </c>
    </row>
    <row r="11" ht="15.75" customHeight="1">
      <c r="A11" s="85" t="s">
        <v>149</v>
      </c>
      <c r="B11" s="236">
        <v>3496.0</v>
      </c>
      <c r="C11" s="236">
        <v>8856.0</v>
      </c>
      <c r="D11" s="236">
        <v>1840.0</v>
      </c>
      <c r="E11" s="236">
        <v>9251.0</v>
      </c>
      <c r="F11" s="236">
        <v>16801.0</v>
      </c>
      <c r="G11" s="87">
        <f t="shared" si="2"/>
        <v>0.3688401701</v>
      </c>
    </row>
    <row r="12" ht="15.75" customHeight="1">
      <c r="A12" s="85"/>
      <c r="B12" s="240"/>
      <c r="C12" s="240"/>
      <c r="D12" s="240"/>
      <c r="E12" s="240"/>
      <c r="F12" s="240"/>
      <c r="G12" s="84"/>
    </row>
    <row r="13" ht="15.75" customHeight="1">
      <c r="A13" s="85" t="s">
        <v>150</v>
      </c>
      <c r="B13" s="236">
        <f>151+49262</f>
        <v>49413</v>
      </c>
      <c r="C13" s="236">
        <f>151+52350</f>
        <v>52501</v>
      </c>
      <c r="D13" s="236">
        <f>151+55182        </f>
        <v>55333</v>
      </c>
      <c r="E13" s="236">
        <f>151+61640</f>
        <v>61791</v>
      </c>
      <c r="F13" s="236">
        <f>151+85479</f>
        <v>85630</v>
      </c>
      <c r="G13" s="87">
        <f t="shared" ref="G13:G15" si="3">(F13/B13)^(1/5)-1</f>
        <v>0.1162383633</v>
      </c>
    </row>
    <row r="14" ht="15.75" customHeight="1">
      <c r="A14" s="85" t="s">
        <v>151</v>
      </c>
      <c r="B14" s="236">
        <v>2890.0</v>
      </c>
      <c r="C14" s="236">
        <v>2662.0</v>
      </c>
      <c r="D14" s="236">
        <v>2157.0</v>
      </c>
      <c r="E14" s="236">
        <v>2739.0</v>
      </c>
      <c r="F14" s="236">
        <v>3716.0</v>
      </c>
      <c r="G14" s="87">
        <f t="shared" si="3"/>
        <v>0.05156366773</v>
      </c>
    </row>
    <row r="15" ht="15.75" customHeight="1">
      <c r="A15" s="85" t="s">
        <v>152</v>
      </c>
      <c r="B15" s="236">
        <v>15744.0</v>
      </c>
      <c r="C15" s="236">
        <v>14989.0</v>
      </c>
      <c r="D15" s="236">
        <v>13747.0</v>
      </c>
      <c r="E15" s="236">
        <v>17830.0</v>
      </c>
      <c r="F15" s="236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5"/>
      <c r="D17" s="95"/>
      <c r="E17" s="95"/>
      <c r="F17" s="95"/>
      <c r="G17" s="95"/>
    </row>
    <row r="18" ht="15.75" customHeight="1">
      <c r="A18" s="77" t="s">
        <v>153</v>
      </c>
      <c r="B18" s="241">
        <f t="shared" ref="B18:F18" si="4">B6/B5</f>
        <v>0.09721120804</v>
      </c>
      <c r="C18" s="241">
        <f t="shared" si="4"/>
        <v>0.07689137725</v>
      </c>
      <c r="D18" s="241">
        <f t="shared" si="4"/>
        <v>0.06511943847</v>
      </c>
      <c r="E18" s="241">
        <f t="shared" si="4"/>
        <v>0.09380714632</v>
      </c>
      <c r="F18" s="241">
        <f t="shared" si="4"/>
        <v>0.1313003144</v>
      </c>
      <c r="G18" s="95"/>
    </row>
    <row r="19" ht="15.75" customHeight="1">
      <c r="A19" s="85" t="s">
        <v>154</v>
      </c>
      <c r="B19" s="241">
        <f t="shared" ref="B19:F19" si="5">B8/B5</f>
        <v>0.07504625958</v>
      </c>
      <c r="C19" s="241">
        <f t="shared" si="5"/>
        <v>0.06236855568</v>
      </c>
      <c r="D19" s="241">
        <f t="shared" si="5"/>
        <v>0.04392618589</v>
      </c>
      <c r="E19" s="241">
        <f t="shared" si="5"/>
        <v>0.06983865069</v>
      </c>
      <c r="F19" s="241">
        <f t="shared" si="5"/>
        <v>0.09508099649</v>
      </c>
      <c r="G19" s="95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14.48818898</v>
      </c>
      <c r="E20" s="98">
        <f t="shared" si="6"/>
        <v>49.47058824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58.97860963</v>
      </c>
      <c r="F21" s="98">
        <f t="shared" si="7"/>
        <v>96.01030928</v>
      </c>
      <c r="G21" s="95"/>
    </row>
    <row r="22" ht="15.75" customHeight="1">
      <c r="A22" s="85" t="s">
        <v>157</v>
      </c>
      <c r="B22" s="241">
        <f t="shared" ref="B22:F22" si="8">B14/B13</f>
        <v>0.05848663307</v>
      </c>
      <c r="C22" s="241">
        <f t="shared" si="8"/>
        <v>0.05070379612</v>
      </c>
      <c r="D22" s="241">
        <f t="shared" si="8"/>
        <v>0.03898216254</v>
      </c>
      <c r="E22" s="241">
        <f t="shared" si="8"/>
        <v>0.04432684372</v>
      </c>
      <c r="F22" s="241">
        <f t="shared" si="8"/>
        <v>0.04339600607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  <c r="I23" s="242"/>
      <c r="J23" s="242"/>
      <c r="K23" s="242"/>
      <c r="L23" s="242"/>
    </row>
    <row r="24" ht="15.75" customHeight="1">
      <c r="A24" s="85" t="s">
        <v>158</v>
      </c>
      <c r="B24" s="98">
        <f t="shared" ref="B24:F24" si="9">B8/B13</f>
        <v>0.114909032</v>
      </c>
      <c r="C24" s="98">
        <f t="shared" si="9"/>
        <v>0.08359840765</v>
      </c>
      <c r="D24" s="98">
        <f t="shared" si="9"/>
        <v>0.07012090434</v>
      </c>
      <c r="E24" s="98">
        <f t="shared" si="9"/>
        <v>0.1328834296</v>
      </c>
      <c r="F24" s="98">
        <f t="shared" si="9"/>
        <v>0.1575148896</v>
      </c>
      <c r="G24" s="95"/>
      <c r="I24" s="242"/>
      <c r="J24" s="242"/>
      <c r="K24" s="242"/>
      <c r="L24" s="242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0.100052183</v>
      </c>
      <c r="E25" s="98">
        <f t="shared" si="10"/>
        <v>0.1709127538</v>
      </c>
      <c r="F25" s="98">
        <f t="shared" si="10"/>
        <v>0.2084704408</v>
      </c>
      <c r="G25" s="95"/>
      <c r="I25" s="242"/>
      <c r="J25" s="242"/>
      <c r="K25" s="243"/>
      <c r="L25" s="242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  <c r="I26" s="242"/>
      <c r="J26" s="242"/>
      <c r="K26" s="242"/>
      <c r="L26" s="242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  <c r="I27" s="242"/>
      <c r="J27" s="242"/>
      <c r="K27" s="242"/>
      <c r="L27" s="242"/>
    </row>
    <row r="28" ht="15.75" customHeight="1">
      <c r="A28" s="85"/>
      <c r="B28" s="99"/>
      <c r="C28" s="99"/>
      <c r="D28" s="99"/>
      <c r="E28" s="99"/>
      <c r="F28" s="99"/>
      <c r="G28" s="95"/>
      <c r="I28" s="242"/>
      <c r="J28" s="242"/>
      <c r="K28" s="242"/>
      <c r="L28" s="242"/>
    </row>
    <row r="29" ht="15.75" customHeight="1">
      <c r="A29" s="85"/>
      <c r="B29" s="99"/>
      <c r="C29" s="99"/>
      <c r="D29" s="99"/>
      <c r="E29" s="99"/>
      <c r="F29" s="99"/>
      <c r="G29" s="95"/>
      <c r="I29" s="242"/>
      <c r="J29" s="242"/>
      <c r="K29" s="242"/>
    </row>
    <row r="30" ht="15.75" customHeight="1">
      <c r="A30" s="85" t="s">
        <v>154</v>
      </c>
      <c r="B30" s="279">
        <f t="shared" ref="B30:F30" si="11">B19</f>
        <v>0.07504625958</v>
      </c>
      <c r="C30" s="279">
        <f t="shared" si="11"/>
        <v>0.06236855568</v>
      </c>
      <c r="D30" s="279">
        <f t="shared" si="11"/>
        <v>0.04392618589</v>
      </c>
      <c r="E30" s="279">
        <f t="shared" si="11"/>
        <v>0.06983865069</v>
      </c>
      <c r="F30" s="279">
        <f t="shared" si="11"/>
        <v>0.09508099649</v>
      </c>
      <c r="G30" s="95"/>
      <c r="I30" s="242"/>
      <c r="J30" s="242"/>
      <c r="K30" s="242"/>
      <c r="L30" s="242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6.593998878</v>
      </c>
      <c r="F31" s="98">
        <f t="shared" si="12"/>
        <v>5.090902566</v>
      </c>
      <c r="G31" s="95"/>
      <c r="I31" s="242"/>
      <c r="J31" s="242"/>
      <c r="K31" s="242"/>
      <c r="L31" s="242"/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0.2484412557</v>
      </c>
      <c r="E32" s="98">
        <f t="shared" si="13"/>
        <v>0.2885533492</v>
      </c>
      <c r="F32" s="98">
        <f t="shared" si="13"/>
        <v>0.3254116548</v>
      </c>
      <c r="G32" s="95"/>
      <c r="I32" s="242"/>
      <c r="J32" s="242"/>
      <c r="K32" s="242"/>
      <c r="L32" s="242"/>
    </row>
    <row r="33" ht="15.75" customHeight="1">
      <c r="A33" s="85" t="s">
        <v>164</v>
      </c>
      <c r="B33" s="98">
        <f t="shared" ref="B33:F33" si="14">B30*B31*B32</f>
        <v>0.114909032</v>
      </c>
      <c r="C33" s="98">
        <f t="shared" si="14"/>
        <v>0.08359840765</v>
      </c>
      <c r="D33" s="98">
        <f t="shared" si="14"/>
        <v>0.07012090434</v>
      </c>
      <c r="E33" s="98">
        <f t="shared" si="14"/>
        <v>0.1328834296</v>
      </c>
      <c r="F33" s="98">
        <f t="shared" si="14"/>
        <v>0.1575148896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245" t="s">
        <v>235</v>
      </c>
      <c r="D35" s="95"/>
      <c r="E35" s="95"/>
      <c r="F35" s="95"/>
      <c r="G35" s="95"/>
    </row>
    <row r="36" ht="15.75" customHeight="1">
      <c r="A36" s="85" t="s">
        <v>166</v>
      </c>
      <c r="B36" s="88">
        <v>513624.0</v>
      </c>
      <c r="C36" s="245" t="s">
        <v>235</v>
      </c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16036.07176</v>
      </c>
      <c r="C37" s="245" t="s">
        <v>236</v>
      </c>
      <c r="D37" s="95"/>
      <c r="E37" s="95"/>
      <c r="F37" s="95"/>
      <c r="G37" s="95"/>
    </row>
    <row r="38" ht="15.75" customHeight="1">
      <c r="A38" s="85" t="s">
        <v>168</v>
      </c>
      <c r="B38" s="88">
        <v>35.3</v>
      </c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246">
        <v>40.0</v>
      </c>
      <c r="C40" s="245" t="s">
        <v>231</v>
      </c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215748.2858</v>
      </c>
      <c r="C41" s="95"/>
      <c r="D41" s="77" t="s">
        <v>171</v>
      </c>
      <c r="E41" s="106"/>
      <c r="F41" s="106"/>
      <c r="G41" s="247">
        <v>0.15</v>
      </c>
    </row>
    <row r="42" ht="15.75" customHeight="1">
      <c r="A42" s="234" t="s">
        <v>237</v>
      </c>
      <c r="B42" s="248">
        <v>0.1</v>
      </c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21574.82858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862993.143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>
        <f>(B44/B36)-1</f>
        <v>0.6802040851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37.63"/>
    <col customWidth="1" min="2" max="6" width="12.63"/>
  </cols>
  <sheetData>
    <row r="1" ht="15.75" customHeight="1">
      <c r="A1" s="29" t="s">
        <v>238</v>
      </c>
      <c r="B1" s="2">
        <v>2016.0</v>
      </c>
      <c r="C1" s="2">
        <f t="shared" ref="C1:P1" si="1">B1+1</f>
        <v>2017</v>
      </c>
      <c r="D1" s="2">
        <f t="shared" si="1"/>
        <v>2018</v>
      </c>
      <c r="E1" s="2">
        <f t="shared" si="1"/>
        <v>2019</v>
      </c>
      <c r="F1" s="2">
        <f t="shared" si="1"/>
        <v>2020</v>
      </c>
      <c r="G1" s="2">
        <f t="shared" si="1"/>
        <v>2021</v>
      </c>
      <c r="H1" s="2">
        <f t="shared" si="1"/>
        <v>2022</v>
      </c>
      <c r="I1" s="2">
        <f t="shared" si="1"/>
        <v>2023</v>
      </c>
      <c r="J1" s="2">
        <f t="shared" si="1"/>
        <v>2024</v>
      </c>
      <c r="K1" s="3">
        <f t="shared" si="1"/>
        <v>2025</v>
      </c>
      <c r="L1" s="3">
        <f t="shared" si="1"/>
        <v>2026</v>
      </c>
      <c r="M1" s="3">
        <f t="shared" si="1"/>
        <v>2027</v>
      </c>
      <c r="N1" s="3">
        <f t="shared" si="1"/>
        <v>2028</v>
      </c>
      <c r="O1" s="3">
        <f t="shared" si="1"/>
        <v>2029</v>
      </c>
      <c r="P1" s="3">
        <f t="shared" si="1"/>
        <v>2030</v>
      </c>
    </row>
    <row r="2" ht="15.75" customHeight="1">
      <c r="A2" s="4" t="s">
        <v>0</v>
      </c>
      <c r="B2" s="5"/>
      <c r="C2" s="5"/>
      <c r="D2" s="5"/>
      <c r="E2" s="5"/>
      <c r="F2" s="5"/>
      <c r="G2" s="5"/>
      <c r="H2" s="5"/>
      <c r="I2" s="5"/>
    </row>
    <row r="3" ht="15.75" customHeight="1">
      <c r="A3" s="1" t="s">
        <v>1</v>
      </c>
      <c r="B3" s="6">
        <f>646759-76144</f>
        <v>570615</v>
      </c>
      <c r="C3" s="6">
        <f>773164-92314</f>
        <v>680850</v>
      </c>
      <c r="D3" s="6">
        <f>820411-22317</f>
        <v>798094</v>
      </c>
      <c r="E3" s="6">
        <v>860685.0</v>
      </c>
      <c r="F3" s="6">
        <v>756600.0</v>
      </c>
      <c r="G3" s="6">
        <v>703720.0</v>
      </c>
      <c r="H3" s="6">
        <v>883298.0</v>
      </c>
      <c r="I3" s="6">
        <v>1184099.0</v>
      </c>
      <c r="J3" s="6">
        <v>1418582.0</v>
      </c>
    </row>
    <row r="4" ht="15.75" customHeight="1">
      <c r="A4" s="1" t="s">
        <v>2</v>
      </c>
      <c r="B4" s="6">
        <v>15505.0</v>
      </c>
      <c r="C4" s="6">
        <v>22896.0</v>
      </c>
      <c r="D4" s="6">
        <v>20458.0</v>
      </c>
      <c r="E4" s="6">
        <v>25616.0</v>
      </c>
      <c r="F4" s="6">
        <v>33344.0</v>
      </c>
      <c r="G4" s="6">
        <v>29363.0</v>
      </c>
      <c r="H4" s="6">
        <v>17447.0</v>
      </c>
      <c r="I4" s="6">
        <v>22647.0</v>
      </c>
      <c r="J4" s="6">
        <v>40935.0</v>
      </c>
    </row>
    <row r="5" ht="15.75" customHeight="1">
      <c r="A5" s="7"/>
    </row>
    <row r="6" ht="15.75" customHeight="1">
      <c r="A6" s="8" t="s">
        <v>3</v>
      </c>
      <c r="B6" s="9">
        <f t="shared" ref="B6:J6" si="2">SUM(B3:B4)</f>
        <v>586120</v>
      </c>
      <c r="C6" s="9">
        <f t="shared" si="2"/>
        <v>703746</v>
      </c>
      <c r="D6" s="9">
        <f t="shared" si="2"/>
        <v>818552</v>
      </c>
      <c r="E6" s="9">
        <f t="shared" si="2"/>
        <v>886301</v>
      </c>
      <c r="F6" s="9">
        <f t="shared" si="2"/>
        <v>789944</v>
      </c>
      <c r="G6" s="9">
        <f t="shared" si="2"/>
        <v>733083</v>
      </c>
      <c r="H6" s="9">
        <f t="shared" si="2"/>
        <v>900745</v>
      </c>
      <c r="I6" s="9">
        <f t="shared" si="2"/>
        <v>1206746</v>
      </c>
      <c r="J6" s="9">
        <f t="shared" si="2"/>
        <v>1459517</v>
      </c>
      <c r="K6" s="10"/>
      <c r="L6" s="10"/>
      <c r="M6" s="10"/>
      <c r="N6" s="10"/>
      <c r="O6" s="10"/>
      <c r="P6" s="10"/>
    </row>
    <row r="7" ht="15.75" customHeight="1">
      <c r="A7" s="7"/>
    </row>
    <row r="8" ht="15.75" customHeight="1">
      <c r="A8" s="4" t="s">
        <v>4</v>
      </c>
    </row>
    <row r="9" ht="15.75" customHeight="1">
      <c r="A9" s="1" t="s">
        <v>5</v>
      </c>
      <c r="B9" s="6">
        <v>362007.0</v>
      </c>
      <c r="C9" s="6">
        <v>426279.0</v>
      </c>
      <c r="D9" s="6">
        <v>449432.0</v>
      </c>
      <c r="E9" s="6">
        <v>450257.0</v>
      </c>
      <c r="F9" s="6">
        <v>346348.0</v>
      </c>
      <c r="G9" s="6">
        <v>332964.0</v>
      </c>
      <c r="H9" s="6">
        <v>397396.0</v>
      </c>
      <c r="I9" s="6">
        <v>733522.0</v>
      </c>
      <c r="J9" s="6">
        <v>789153.0</v>
      </c>
    </row>
    <row r="10" ht="15.75" customHeight="1">
      <c r="A10" s="1" t="s">
        <v>6</v>
      </c>
      <c r="B10" s="6">
        <v>31715.0</v>
      </c>
      <c r="C10" s="6">
        <v>44936.0</v>
      </c>
      <c r="D10" s="6">
        <v>100021.0</v>
      </c>
      <c r="E10" s="6">
        <v>143209.0</v>
      </c>
      <c r="F10" s="6">
        <v>187672.0</v>
      </c>
      <c r="G10" s="6">
        <v>172541.0</v>
      </c>
      <c r="H10" s="6">
        <v>263975.0</v>
      </c>
      <c r="I10" s="6">
        <v>127147.0</v>
      </c>
      <c r="J10" s="6">
        <v>212042.0</v>
      </c>
    </row>
    <row r="11" ht="15.75" customHeight="1">
      <c r="A11" s="1" t="s">
        <v>8</v>
      </c>
      <c r="B11" s="6">
        <v>63.0</v>
      </c>
      <c r="C11" s="6">
        <v>-3793.0</v>
      </c>
      <c r="D11" s="6">
        <v>408.0</v>
      </c>
      <c r="E11" s="6">
        <v>2116.0</v>
      </c>
      <c r="F11" s="6">
        <v>-2387.0</v>
      </c>
      <c r="G11" s="6">
        <v>2736.0</v>
      </c>
      <c r="H11" s="6">
        <v>-931.0</v>
      </c>
      <c r="I11" s="6">
        <v>-5805.0</v>
      </c>
      <c r="J11" s="6">
        <v>-3786.0</v>
      </c>
    </row>
    <row r="12" ht="15.75" customHeight="1">
      <c r="A12" s="1" t="s">
        <v>10</v>
      </c>
      <c r="B12" s="6">
        <v>20602.0</v>
      </c>
      <c r="C12" s="6">
        <v>23603.0</v>
      </c>
      <c r="D12" s="6">
        <v>28634.0</v>
      </c>
      <c r="E12" s="6">
        <v>32850.0</v>
      </c>
      <c r="F12" s="6">
        <v>34162.0</v>
      </c>
      <c r="G12" s="6">
        <v>34316.0</v>
      </c>
      <c r="H12" s="6">
        <v>40514.0</v>
      </c>
      <c r="I12" s="6">
        <v>53085.0</v>
      </c>
      <c r="J12" s="6">
        <v>63016.0</v>
      </c>
    </row>
    <row r="13" ht="15.75" customHeight="1">
      <c r="A13" s="1" t="s">
        <v>12</v>
      </c>
      <c r="B13" s="6">
        <v>81147.0</v>
      </c>
      <c r="C13" s="6">
        <v>87280.0</v>
      </c>
      <c r="D13" s="6">
        <v>99956.0</v>
      </c>
      <c r="E13" s="6">
        <v>123442.0</v>
      </c>
      <c r="F13" s="6">
        <v>118896.0</v>
      </c>
      <c r="G13" s="6">
        <v>108375.0</v>
      </c>
      <c r="H13" s="6">
        <v>126727.0</v>
      </c>
      <c r="I13" s="6">
        <v>146771.0</v>
      </c>
      <c r="J13" s="6">
        <v>175501.0</v>
      </c>
    </row>
    <row r="14" ht="15.75" customHeight="1">
      <c r="A14" s="1" t="s">
        <v>13</v>
      </c>
      <c r="B14" s="6">
        <v>-602.0</v>
      </c>
      <c r="C14" s="6">
        <v>-1036.0</v>
      </c>
      <c r="D14" s="6">
        <v>-991.0</v>
      </c>
      <c r="E14" s="6">
        <v>-1221.0</v>
      </c>
      <c r="F14" s="6">
        <v>-1217.0</v>
      </c>
      <c r="G14" s="6">
        <v>-728.0</v>
      </c>
      <c r="H14" s="6">
        <v>-1445.0</v>
      </c>
      <c r="I14" s="6">
        <v>-1565.0</v>
      </c>
      <c r="J14" s="6">
        <v>-2607.0</v>
      </c>
    </row>
    <row r="15" ht="15.75" customHeight="1">
      <c r="A15" s="7"/>
    </row>
    <row r="16" ht="15.75" customHeight="1">
      <c r="A16" s="8" t="s">
        <v>14</v>
      </c>
      <c r="B16" s="13">
        <f t="shared" ref="B16:J16" si="3">SUM(B9:B14)</f>
        <v>494932</v>
      </c>
      <c r="C16" s="13">
        <f t="shared" si="3"/>
        <v>577269</v>
      </c>
      <c r="D16" s="13">
        <f t="shared" si="3"/>
        <v>677460</v>
      </c>
      <c r="E16" s="13">
        <f t="shared" si="3"/>
        <v>750653</v>
      </c>
      <c r="F16" s="13">
        <f t="shared" si="3"/>
        <v>683474</v>
      </c>
      <c r="G16" s="13">
        <f t="shared" si="3"/>
        <v>650204</v>
      </c>
      <c r="H16" s="13">
        <f t="shared" si="3"/>
        <v>826236</v>
      </c>
      <c r="I16" s="13">
        <f t="shared" si="3"/>
        <v>1053155</v>
      </c>
      <c r="J16" s="13">
        <f t="shared" si="3"/>
        <v>1233319</v>
      </c>
      <c r="K16" s="14"/>
      <c r="L16" s="14"/>
      <c r="M16" s="14"/>
      <c r="N16" s="14"/>
      <c r="O16" s="14"/>
      <c r="P16" s="14"/>
    </row>
    <row r="17" ht="15.75" customHeight="1">
      <c r="A17" s="7"/>
    </row>
    <row r="18" ht="15.75" customHeight="1">
      <c r="A18" s="4" t="s">
        <v>15</v>
      </c>
      <c r="B18" s="6">
        <f t="shared" ref="B18:J18" si="4">B6-B16</f>
        <v>91188</v>
      </c>
      <c r="C18" s="6">
        <f t="shared" si="4"/>
        <v>126477</v>
      </c>
      <c r="D18" s="6">
        <f t="shared" si="4"/>
        <v>141092</v>
      </c>
      <c r="E18" s="6">
        <f t="shared" si="4"/>
        <v>135648</v>
      </c>
      <c r="F18" s="6">
        <f t="shared" si="4"/>
        <v>106470</v>
      </c>
      <c r="G18" s="6">
        <f t="shared" si="4"/>
        <v>82879</v>
      </c>
      <c r="H18" s="6">
        <f t="shared" si="4"/>
        <v>74509</v>
      </c>
      <c r="I18" s="6">
        <f t="shared" si="4"/>
        <v>153591</v>
      </c>
      <c r="J18" s="6">
        <f t="shared" si="4"/>
        <v>226198</v>
      </c>
    </row>
    <row r="19" ht="15.75" customHeight="1">
      <c r="A19" s="7"/>
    </row>
    <row r="20" ht="15.75" customHeight="1">
      <c r="A20" s="1" t="s">
        <v>16</v>
      </c>
      <c r="B20" s="6">
        <v>28670.0</v>
      </c>
      <c r="C20" s="6">
        <v>26039.0</v>
      </c>
      <c r="D20" s="6">
        <v>27598.0</v>
      </c>
      <c r="E20" s="6">
        <v>30208.0</v>
      </c>
      <c r="F20" s="6">
        <v>35284.0</v>
      </c>
      <c r="G20" s="6">
        <v>30341.0</v>
      </c>
      <c r="H20" s="6">
        <v>27890.0</v>
      </c>
      <c r="I20" s="6">
        <v>48460.0</v>
      </c>
      <c r="J20" s="6">
        <v>52558.0</v>
      </c>
    </row>
    <row r="21" ht="15.75" customHeight="1">
      <c r="A21" s="7"/>
    </row>
    <row r="22" ht="15.75" customHeight="1">
      <c r="A22" s="7" t="s">
        <v>18</v>
      </c>
      <c r="B22" s="6">
        <f t="shared" ref="B22:J22" si="5">B18-B20</f>
        <v>62518</v>
      </c>
      <c r="C22" s="6">
        <f t="shared" si="5"/>
        <v>100438</v>
      </c>
      <c r="D22" s="6">
        <f t="shared" si="5"/>
        <v>113494</v>
      </c>
      <c r="E22" s="6">
        <f t="shared" si="5"/>
        <v>105440</v>
      </c>
      <c r="F22" s="6">
        <f t="shared" si="5"/>
        <v>71186</v>
      </c>
      <c r="G22" s="6">
        <f t="shared" si="5"/>
        <v>52538</v>
      </c>
      <c r="H22" s="6">
        <f t="shared" si="5"/>
        <v>46619</v>
      </c>
      <c r="I22" s="6">
        <f t="shared" si="5"/>
        <v>105131</v>
      </c>
      <c r="J22" s="6">
        <f t="shared" si="5"/>
        <v>173640</v>
      </c>
    </row>
    <row r="23" ht="15.75" customHeight="1">
      <c r="A23" s="7"/>
    </row>
    <row r="24" ht="15.75" customHeight="1">
      <c r="A24" s="1" t="s">
        <v>19</v>
      </c>
      <c r="B24" s="6">
        <v>937.0</v>
      </c>
      <c r="C24" s="6">
        <v>894.0</v>
      </c>
      <c r="D24" s="6">
        <v>3458.0</v>
      </c>
      <c r="E24" s="6">
        <v>759.0</v>
      </c>
      <c r="F24" s="6">
        <v>1342.0</v>
      </c>
      <c r="G24" s="6">
        <v>1018.0</v>
      </c>
      <c r="H24" s="6">
        <v>1266.0</v>
      </c>
      <c r="I24" s="6">
        <v>2523.0</v>
      </c>
      <c r="J24" s="6">
        <v>1936.0</v>
      </c>
    </row>
    <row r="25" ht="15.75" customHeight="1">
      <c r="A25" s="7"/>
    </row>
    <row r="26" ht="15.75" customHeight="1">
      <c r="A26" s="7" t="s">
        <v>23</v>
      </c>
      <c r="B26" s="6">
        <f t="shared" ref="B26:J26" si="6">B22-B24</f>
        <v>61581</v>
      </c>
      <c r="C26" s="6">
        <f t="shared" si="6"/>
        <v>99544</v>
      </c>
      <c r="D26" s="6">
        <f t="shared" si="6"/>
        <v>110036</v>
      </c>
      <c r="E26" s="6">
        <f t="shared" si="6"/>
        <v>104681</v>
      </c>
      <c r="F26" s="6">
        <f t="shared" si="6"/>
        <v>69844</v>
      </c>
      <c r="G26" s="6">
        <f t="shared" si="6"/>
        <v>51520</v>
      </c>
      <c r="H26" s="6">
        <f t="shared" si="6"/>
        <v>45353</v>
      </c>
      <c r="I26" s="6">
        <f t="shared" si="6"/>
        <v>102608</v>
      </c>
      <c r="J26" s="6">
        <f t="shared" si="6"/>
        <v>171704</v>
      </c>
    </row>
    <row r="27" ht="15.75" customHeight="1">
      <c r="A27" s="7" t="s">
        <v>24</v>
      </c>
      <c r="B27" s="6">
        <v>4715.0</v>
      </c>
      <c r="C27" s="6">
        <f>1493+235</f>
        <v>1728</v>
      </c>
      <c r="D27" s="6">
        <f>1366+267</f>
        <v>1633</v>
      </c>
      <c r="E27" s="6">
        <v>-2030.0</v>
      </c>
      <c r="F27" s="6">
        <v>-4417.0</v>
      </c>
      <c r="G27" s="6">
        <v>5136.0</v>
      </c>
      <c r="H27" s="6">
        <v>3129.0</v>
      </c>
      <c r="I27" s="6">
        <v>586.0</v>
      </c>
      <c r="J27" s="6">
        <v>2669.0</v>
      </c>
    </row>
    <row r="28" ht="15.75" customHeight="1">
      <c r="A28" s="7" t="s">
        <v>25</v>
      </c>
      <c r="B28" s="6">
        <f t="shared" ref="B28:J28" si="7">SUM(B26:B27)</f>
        <v>66296</v>
      </c>
      <c r="C28" s="6">
        <f t="shared" si="7"/>
        <v>101272</v>
      </c>
      <c r="D28" s="6">
        <f t="shared" si="7"/>
        <v>111669</v>
      </c>
      <c r="E28" s="6">
        <f t="shared" si="7"/>
        <v>102651</v>
      </c>
      <c r="F28" s="6">
        <f t="shared" si="7"/>
        <v>65427</v>
      </c>
      <c r="G28" s="6">
        <f t="shared" si="7"/>
        <v>56656</v>
      </c>
      <c r="H28" s="6">
        <f t="shared" si="7"/>
        <v>48482</v>
      </c>
      <c r="I28" s="6">
        <f t="shared" si="7"/>
        <v>103194</v>
      </c>
      <c r="J28" s="6">
        <f t="shared" si="7"/>
        <v>174373</v>
      </c>
    </row>
    <row r="29" ht="15.75" customHeight="1">
      <c r="A29" s="7"/>
    </row>
    <row r="30" ht="15.75" customHeight="1">
      <c r="A30" s="1" t="s">
        <v>26</v>
      </c>
      <c r="B30" s="6">
        <f>20788-801</f>
        <v>19987</v>
      </c>
      <c r="C30" s="6">
        <v>26162.0</v>
      </c>
      <c r="D30" s="6">
        <v>32862.0</v>
      </c>
      <c r="E30" s="6">
        <v>29732.0</v>
      </c>
      <c r="F30" s="6">
        <v>14252.0</v>
      </c>
      <c r="G30" s="6">
        <v>9319.0</v>
      </c>
      <c r="H30" s="6">
        <v>8177.0</v>
      </c>
      <c r="I30" s="6">
        <v>21745.0</v>
      </c>
      <c r="J30" s="6">
        <f>36633+2730</f>
        <v>39363</v>
      </c>
    </row>
    <row r="31" ht="15.75" customHeight="1">
      <c r="A31" s="7"/>
    </row>
    <row r="32" ht="15.75" customHeight="1">
      <c r="A32" s="7" t="s">
        <v>27</v>
      </c>
      <c r="B32" s="6">
        <f t="shared" ref="B32:J32" si="8">B28-B30</f>
        <v>46309</v>
      </c>
      <c r="C32" s="6">
        <f t="shared" si="8"/>
        <v>75110</v>
      </c>
      <c r="D32" s="6">
        <f t="shared" si="8"/>
        <v>78807</v>
      </c>
      <c r="E32" s="6">
        <f t="shared" si="8"/>
        <v>72919</v>
      </c>
      <c r="F32" s="6">
        <f t="shared" si="8"/>
        <v>51175</v>
      </c>
      <c r="G32" s="6">
        <f t="shared" si="8"/>
        <v>47337</v>
      </c>
      <c r="H32" s="6">
        <f t="shared" si="8"/>
        <v>40305</v>
      </c>
      <c r="I32" s="6">
        <f t="shared" si="8"/>
        <v>81449</v>
      </c>
      <c r="J32" s="6">
        <f t="shared" si="8"/>
        <v>135010</v>
      </c>
    </row>
    <row r="33" ht="15.75" customHeight="1">
      <c r="A33" s="1" t="s">
        <v>28</v>
      </c>
      <c r="B33" s="6">
        <f>689-10</f>
        <v>679</v>
      </c>
      <c r="C33" s="6">
        <v>2216.0</v>
      </c>
      <c r="D33" s="6">
        <v>3311.0</v>
      </c>
      <c r="E33" s="6">
        <f>1273+284</f>
        <v>1557</v>
      </c>
      <c r="F33" s="6">
        <f>1175+9</f>
        <v>1184</v>
      </c>
      <c r="G33" s="6">
        <f>1588+102</f>
        <v>1690</v>
      </c>
      <c r="H33" s="6">
        <f>1464+155</f>
        <v>1619</v>
      </c>
      <c r="I33" s="6">
        <f>1558+216</f>
        <v>1774</v>
      </c>
      <c r="J33" s="6">
        <f>2263+278</f>
        <v>2541</v>
      </c>
    </row>
    <row r="34" ht="15.75" customHeight="1">
      <c r="A34" s="1"/>
    </row>
    <row r="35" ht="15.75" customHeight="1">
      <c r="A35" s="1"/>
    </row>
    <row r="36" ht="15.75" customHeight="1">
      <c r="A36" s="8" t="s">
        <v>29</v>
      </c>
      <c r="B36" s="9">
        <f t="shared" ref="B36:D36" si="9">B32+B33</f>
        <v>46988</v>
      </c>
      <c r="C36" s="9">
        <f t="shared" si="9"/>
        <v>77326</v>
      </c>
      <c r="D36" s="9">
        <f t="shared" si="9"/>
        <v>82118</v>
      </c>
      <c r="E36" s="9">
        <f>E32+F33</f>
        <v>74103</v>
      </c>
      <c r="F36" s="9">
        <f t="shared" ref="F36:J36" si="10">F32+F33</f>
        <v>52359</v>
      </c>
      <c r="G36" s="9">
        <f t="shared" si="10"/>
        <v>49027</v>
      </c>
      <c r="H36" s="9">
        <f t="shared" si="10"/>
        <v>41924</v>
      </c>
      <c r="I36" s="9">
        <f t="shared" si="10"/>
        <v>83223</v>
      </c>
      <c r="J36" s="9">
        <f t="shared" si="10"/>
        <v>137551</v>
      </c>
      <c r="K36" s="10"/>
      <c r="L36" s="10"/>
      <c r="M36" s="10"/>
      <c r="N36" s="10"/>
      <c r="O36" s="10"/>
      <c r="P36" s="10"/>
    </row>
    <row r="37" ht="15.75" customHeight="1">
      <c r="A37" s="1"/>
    </row>
    <row r="38" ht="15.75" customHeight="1">
      <c r="A38" s="1"/>
    </row>
    <row r="39" ht="15.75" customHeight="1">
      <c r="A39" s="4" t="s">
        <v>30</v>
      </c>
    </row>
    <row r="40" ht="15.75" customHeight="1">
      <c r="A40" s="7"/>
    </row>
    <row r="41" ht="15.75" customHeight="1">
      <c r="A41" s="7" t="s">
        <v>31</v>
      </c>
    </row>
    <row r="42" ht="15.75" customHeight="1">
      <c r="A42" s="1" t="s">
        <v>32</v>
      </c>
    </row>
    <row r="43" ht="15.75" customHeight="1">
      <c r="A43" s="1" t="s">
        <v>33</v>
      </c>
    </row>
    <row r="44" ht="15.75" customHeight="1">
      <c r="A44" s="1" t="s">
        <v>34</v>
      </c>
    </row>
    <row r="45" ht="15.75" customHeight="1">
      <c r="A45" s="7"/>
    </row>
    <row r="46" ht="15.75" customHeight="1">
      <c r="A46" s="7" t="s">
        <v>35</v>
      </c>
    </row>
    <row r="47" ht="15.75" customHeight="1">
      <c r="A47" s="7" t="s">
        <v>36</v>
      </c>
    </row>
    <row r="48" ht="15.75" customHeight="1">
      <c r="A48" s="7"/>
    </row>
    <row r="49" ht="15.75" customHeight="1">
      <c r="A49" s="7" t="s">
        <v>37</v>
      </c>
    </row>
    <row r="50" ht="15.75" customHeight="1">
      <c r="A50" s="1" t="s">
        <v>38</v>
      </c>
    </row>
    <row r="51" ht="15.75" customHeight="1">
      <c r="A51" s="1" t="s">
        <v>39</v>
      </c>
    </row>
    <row r="52" ht="15.75" customHeight="1">
      <c r="A52" s="1" t="s">
        <v>40</v>
      </c>
    </row>
    <row r="53" ht="15.75" customHeight="1">
      <c r="A53" s="1" t="s">
        <v>41</v>
      </c>
    </row>
    <row r="54" ht="15.75" customHeight="1">
      <c r="A54" s="7"/>
    </row>
    <row r="55" ht="15.75" customHeight="1">
      <c r="A55" s="1" t="s">
        <v>42</v>
      </c>
    </row>
    <row r="56" ht="15.75" customHeight="1">
      <c r="A56" s="1" t="s">
        <v>43</v>
      </c>
    </row>
    <row r="57" ht="15.75" customHeight="1">
      <c r="A57" s="1" t="s">
        <v>44</v>
      </c>
    </row>
    <row r="58" ht="15.75" customHeight="1">
      <c r="A58" s="1" t="s">
        <v>45</v>
      </c>
    </row>
    <row r="59" ht="15.75" customHeight="1">
      <c r="A59" s="1" t="s">
        <v>46</v>
      </c>
    </row>
    <row r="60" ht="15.75" customHeight="1">
      <c r="A60" s="1" t="s">
        <v>47</v>
      </c>
    </row>
    <row r="61" ht="15.75" customHeight="1">
      <c r="A61" s="1" t="s">
        <v>48</v>
      </c>
    </row>
    <row r="62" ht="15.75" customHeight="1">
      <c r="A62" s="8" t="s">
        <v>49</v>
      </c>
    </row>
    <row r="63" ht="15.75" customHeight="1">
      <c r="A63" s="7"/>
    </row>
    <row r="64" ht="15.75" customHeight="1">
      <c r="A64" s="7"/>
    </row>
    <row r="65" ht="15.75" customHeight="1">
      <c r="A65" s="4" t="s">
        <v>50</v>
      </c>
    </row>
    <row r="66" ht="15.75" customHeight="1">
      <c r="A66" s="7"/>
    </row>
    <row r="67" ht="15.75" customHeight="1">
      <c r="A67" s="1" t="s">
        <v>51</v>
      </c>
    </row>
    <row r="68" ht="15.75" customHeight="1">
      <c r="A68" s="16" t="s">
        <v>52</v>
      </c>
    </row>
    <row r="69" ht="15.75" customHeight="1">
      <c r="A69" s="16" t="s">
        <v>53</v>
      </c>
    </row>
    <row r="70" ht="15.75" customHeight="1">
      <c r="A70" s="16" t="s">
        <v>54</v>
      </c>
    </row>
    <row r="71" ht="15.75" customHeight="1">
      <c r="A71" s="16" t="s">
        <v>55</v>
      </c>
    </row>
    <row r="72" ht="15.75" customHeight="1">
      <c r="A72" s="1"/>
    </row>
    <row r="73" ht="15.75" customHeight="1">
      <c r="A73" s="1" t="s">
        <v>56</v>
      </c>
    </row>
    <row r="74" ht="15.75" customHeight="1">
      <c r="A74" s="1" t="s">
        <v>57</v>
      </c>
    </row>
    <row r="75" ht="15.75" customHeight="1">
      <c r="A75" s="1" t="s">
        <v>58</v>
      </c>
    </row>
    <row r="76" ht="15.75" customHeight="1">
      <c r="A76" s="1" t="s">
        <v>59</v>
      </c>
    </row>
    <row r="77" ht="15.75" customHeight="1">
      <c r="A77" s="1"/>
    </row>
    <row r="78" ht="15.75" customHeight="1">
      <c r="A78" s="1" t="s">
        <v>60</v>
      </c>
    </row>
    <row r="79" ht="15.75" customHeight="1">
      <c r="A79" s="1"/>
    </row>
    <row r="80" ht="15.75" customHeight="1">
      <c r="A80" s="16" t="s">
        <v>61</v>
      </c>
    </row>
    <row r="81" ht="15.75" customHeight="1">
      <c r="A81" s="16" t="s">
        <v>62</v>
      </c>
    </row>
    <row r="82" ht="15.75" customHeight="1">
      <c r="A82" s="16" t="s">
        <v>63</v>
      </c>
    </row>
    <row r="83" ht="15.75" customHeight="1">
      <c r="A83" s="16" t="s">
        <v>64</v>
      </c>
    </row>
    <row r="84" ht="15.75" customHeight="1">
      <c r="A84" s="16" t="s">
        <v>65</v>
      </c>
    </row>
    <row r="85" ht="15.75" customHeight="1">
      <c r="A85" s="16" t="s">
        <v>66</v>
      </c>
    </row>
    <row r="86" ht="15.75" customHeight="1">
      <c r="A86" s="16" t="s">
        <v>67</v>
      </c>
    </row>
    <row r="87" ht="15.75" customHeight="1">
      <c r="A87" s="1" t="s">
        <v>57</v>
      </c>
    </row>
    <row r="88" ht="15.75" customHeight="1">
      <c r="A88" s="8" t="s">
        <v>49</v>
      </c>
    </row>
    <row r="89" ht="15.75" customHeight="1">
      <c r="A89" s="1"/>
    </row>
    <row r="90" ht="15.75" customHeight="1">
      <c r="A90" s="5" t="s">
        <v>68</v>
      </c>
      <c r="B90" s="15">
        <v>1500000.0</v>
      </c>
      <c r="C90" s="15">
        <v>1550000.0</v>
      </c>
      <c r="D90" s="15">
        <v>1560000.0</v>
      </c>
    </row>
    <row r="91" ht="15.75" customHeight="1">
      <c r="A91" s="5" t="s">
        <v>69</v>
      </c>
      <c r="C91" s="44">
        <f t="shared" ref="C91:H91" si="11">C90-B90</f>
        <v>50000</v>
      </c>
      <c r="D91" s="44">
        <f t="shared" si="11"/>
        <v>10000</v>
      </c>
      <c r="E91" s="44">
        <f t="shared" si="11"/>
        <v>-1560000</v>
      </c>
      <c r="F91" s="44">
        <f t="shared" si="11"/>
        <v>0</v>
      </c>
      <c r="G91" s="44">
        <f t="shared" si="11"/>
        <v>0</v>
      </c>
      <c r="H91" s="44">
        <f t="shared" si="11"/>
        <v>0</v>
      </c>
    </row>
    <row r="92" ht="15.75" customHeight="1">
      <c r="A92" s="5"/>
    </row>
    <row r="93" ht="15.75" customHeight="1">
      <c r="A93" s="5" t="s">
        <v>70</v>
      </c>
      <c r="B93" s="22">
        <v>1305351.0</v>
      </c>
      <c r="C93" s="22">
        <v>1444541.0</v>
      </c>
      <c r="D93" s="22">
        <v>1653500.0</v>
      </c>
      <c r="E93" s="22">
        <v>1753700.0</v>
      </c>
      <c r="F93" s="22">
        <v>1461126.0</v>
      </c>
      <c r="G93" s="22">
        <v>1361722.0</v>
      </c>
      <c r="H93" s="22">
        <v>1414277.0</v>
      </c>
    </row>
    <row r="94" ht="15.75" customHeight="1">
      <c r="A94" s="5" t="s">
        <v>71</v>
      </c>
      <c r="B94" s="22">
        <v>123897.0</v>
      </c>
      <c r="C94" s="22">
        <v>124062.0</v>
      </c>
      <c r="D94" s="22">
        <v>126074.0</v>
      </c>
      <c r="E94" s="22">
        <v>108749.0</v>
      </c>
      <c r="F94" s="22">
        <v>102171.0</v>
      </c>
      <c r="G94" s="22">
        <v>96139.0</v>
      </c>
      <c r="H94" s="22">
        <v>238376.0</v>
      </c>
    </row>
    <row r="95" ht="15.75" customHeight="1">
      <c r="A95" s="5" t="s">
        <v>49</v>
      </c>
      <c r="B95" s="19">
        <f t="shared" ref="B95:H95" si="12">SUM(B93:B94)</f>
        <v>1429248</v>
      </c>
      <c r="C95" s="19">
        <f t="shared" si="12"/>
        <v>1568603</v>
      </c>
      <c r="D95" s="19">
        <f t="shared" si="12"/>
        <v>1779574</v>
      </c>
      <c r="E95" s="19">
        <f t="shared" si="12"/>
        <v>1862449</v>
      </c>
      <c r="F95" s="19">
        <f t="shared" si="12"/>
        <v>1563297</v>
      </c>
      <c r="G95" s="19">
        <f t="shared" si="12"/>
        <v>1457861</v>
      </c>
      <c r="H95" s="19">
        <f t="shared" si="12"/>
        <v>1652653</v>
      </c>
    </row>
    <row r="96" ht="15.75" customHeight="1">
      <c r="A96" s="5"/>
    </row>
    <row r="97" ht="15.75" customHeight="1">
      <c r="A97" s="5" t="s">
        <v>72</v>
      </c>
      <c r="B97" s="35">
        <f t="shared" ref="B97:H97" si="13">B95/B90</f>
        <v>0.952832</v>
      </c>
      <c r="C97" s="35">
        <f t="shared" si="13"/>
        <v>1.012001935</v>
      </c>
      <c r="D97" s="35">
        <f t="shared" si="13"/>
        <v>1.140752564</v>
      </c>
      <c r="E97" s="35" t="str">
        <f t="shared" si="13"/>
        <v>#DIV/0!</v>
      </c>
      <c r="F97" s="35" t="str">
        <f t="shared" si="13"/>
        <v>#DIV/0!</v>
      </c>
      <c r="G97" s="35" t="str">
        <f t="shared" si="13"/>
        <v>#DIV/0!</v>
      </c>
      <c r="H97" s="35" t="str">
        <f t="shared" si="13"/>
        <v>#DIV/0!</v>
      </c>
    </row>
    <row r="98" ht="15.75" customHeight="1">
      <c r="A98" s="5"/>
    </row>
    <row r="99" ht="15.75" customHeight="1">
      <c r="A99" s="17" t="s">
        <v>73</v>
      </c>
      <c r="C99" s="35">
        <f t="shared" ref="C99:H99" si="14">C93/B93-1</f>
        <v>0.106630324</v>
      </c>
      <c r="D99" s="35">
        <f t="shared" si="14"/>
        <v>0.1446542535</v>
      </c>
      <c r="E99" s="35">
        <f t="shared" si="14"/>
        <v>0.06059872997</v>
      </c>
      <c r="F99" s="35">
        <f t="shared" si="14"/>
        <v>-0.1668324115</v>
      </c>
      <c r="G99" s="35">
        <f t="shared" si="14"/>
        <v>-0.06803246263</v>
      </c>
      <c r="H99" s="35">
        <f t="shared" si="14"/>
        <v>0.03859451489</v>
      </c>
    </row>
    <row r="100" ht="15.75" customHeight="1">
      <c r="A100" s="5" t="s">
        <v>74</v>
      </c>
      <c r="C100" s="35">
        <f t="shared" ref="C100:H100" si="15">C94/B94-1</f>
        <v>0.001331751374</v>
      </c>
      <c r="D100" s="35">
        <f t="shared" si="15"/>
        <v>0.0162176976</v>
      </c>
      <c r="E100" s="35">
        <f t="shared" si="15"/>
        <v>-0.1374192934</v>
      </c>
      <c r="F100" s="35">
        <f t="shared" si="15"/>
        <v>-0.06048791253</v>
      </c>
      <c r="G100" s="35">
        <f t="shared" si="15"/>
        <v>-0.05903827896</v>
      </c>
      <c r="H100" s="35">
        <f t="shared" si="15"/>
        <v>1.479493234</v>
      </c>
    </row>
    <row r="101" ht="15.75" customHeight="1">
      <c r="A101" s="5" t="s">
        <v>75</v>
      </c>
      <c r="C101" s="35">
        <f t="shared" ref="C101:H101" si="16">C95/B95-1</f>
        <v>0.0975023229</v>
      </c>
      <c r="D101" s="35">
        <f t="shared" si="16"/>
        <v>0.134496109</v>
      </c>
      <c r="E101" s="35">
        <f t="shared" si="16"/>
        <v>0.0465701342</v>
      </c>
      <c r="F101" s="35">
        <f t="shared" si="16"/>
        <v>-0.1606229218</v>
      </c>
      <c r="G101" s="35">
        <f t="shared" si="16"/>
        <v>-0.06744463784</v>
      </c>
      <c r="H101" s="35">
        <f t="shared" si="16"/>
        <v>0.1336149331</v>
      </c>
    </row>
    <row r="102" ht="15.75" customHeight="1">
      <c r="A102" s="5"/>
    </row>
    <row r="103" ht="15.75" customHeight="1">
      <c r="A103" s="17" t="s">
        <v>76</v>
      </c>
    </row>
    <row r="104" ht="15.75" customHeight="1">
      <c r="A104" s="5" t="s">
        <v>77</v>
      </c>
    </row>
    <row r="105" ht="15.75" customHeight="1">
      <c r="A105" s="5" t="s">
        <v>71</v>
      </c>
    </row>
    <row r="106" ht="15.75" customHeight="1">
      <c r="A106" s="5" t="s">
        <v>49</v>
      </c>
    </row>
    <row r="107" ht="15.75" customHeight="1">
      <c r="A107" s="5" t="s">
        <v>78</v>
      </c>
    </row>
    <row r="108" ht="15.75" customHeight="1">
      <c r="A108" s="5" t="s">
        <v>79</v>
      </c>
    </row>
    <row r="109" ht="15.75" customHeight="1">
      <c r="A109" s="5"/>
    </row>
    <row r="110" ht="15.75" customHeight="1">
      <c r="A110" s="17" t="s">
        <v>80</v>
      </c>
    </row>
    <row r="111" ht="15.75" customHeight="1">
      <c r="A111" s="5" t="s">
        <v>70</v>
      </c>
    </row>
    <row r="112" ht="15.75" customHeight="1">
      <c r="A112" s="5" t="s">
        <v>71</v>
      </c>
    </row>
    <row r="113" ht="15.75" customHeight="1">
      <c r="A113" s="5" t="s">
        <v>81</v>
      </c>
    </row>
    <row r="114" ht="15.75" customHeight="1">
      <c r="A114" s="5"/>
    </row>
    <row r="115" ht="15.75" customHeight="1">
      <c r="A115" s="5"/>
    </row>
    <row r="116" ht="15.75" customHeight="1">
      <c r="A116" s="5" t="s">
        <v>82</v>
      </c>
    </row>
    <row r="117" ht="15.75" customHeight="1">
      <c r="A117" s="5" t="s">
        <v>83</v>
      </c>
    </row>
    <row r="118" ht="15.75" customHeight="1">
      <c r="A118" s="5"/>
    </row>
    <row r="119" ht="15.75" customHeight="1">
      <c r="A119" s="17" t="s">
        <v>84</v>
      </c>
    </row>
    <row r="120" ht="15.75" customHeight="1">
      <c r="A120" s="5"/>
    </row>
    <row r="121" ht="15.75" customHeight="1">
      <c r="A121" s="1" t="s">
        <v>5</v>
      </c>
    </row>
    <row r="122" ht="15.75" customHeight="1">
      <c r="A122" s="1" t="s">
        <v>6</v>
      </c>
    </row>
    <row r="123" ht="15.75" customHeight="1">
      <c r="A123" s="1" t="s">
        <v>8</v>
      </c>
    </row>
    <row r="124" ht="15.75" customHeight="1">
      <c r="A124" s="1" t="s">
        <v>10</v>
      </c>
    </row>
    <row r="125" ht="15.75" customHeight="1">
      <c r="A125" s="1" t="s">
        <v>12</v>
      </c>
    </row>
    <row r="126" ht="15.75" customHeight="1">
      <c r="A126" s="1" t="s">
        <v>85</v>
      </c>
    </row>
    <row r="127" ht="15.75" customHeight="1">
      <c r="A127" s="5"/>
    </row>
    <row r="128" ht="15.75" customHeight="1">
      <c r="A128" s="5"/>
    </row>
    <row r="129" ht="15.75" customHeight="1">
      <c r="A129" s="18" t="s">
        <v>86</v>
      </c>
    </row>
    <row r="130" ht="15.75" customHeight="1">
      <c r="A130" s="5"/>
    </row>
    <row r="131" ht="15.75" customHeight="1">
      <c r="A131" s="1" t="s">
        <v>5</v>
      </c>
    </row>
    <row r="132" ht="15.75" customHeight="1">
      <c r="A132" s="1" t="s">
        <v>6</v>
      </c>
    </row>
    <row r="133" ht="15.75" customHeight="1">
      <c r="A133" s="1" t="s">
        <v>8</v>
      </c>
    </row>
    <row r="134" ht="15.75" customHeight="1">
      <c r="A134" s="1" t="s">
        <v>10</v>
      </c>
    </row>
    <row r="135" ht="15.75" customHeight="1">
      <c r="A135" s="1" t="s">
        <v>12</v>
      </c>
    </row>
    <row r="136" ht="15.75" customHeight="1">
      <c r="A136" s="1" t="s">
        <v>85</v>
      </c>
    </row>
    <row r="137" ht="15.75" customHeight="1">
      <c r="A137" s="5"/>
    </row>
    <row r="138" ht="15.75" customHeight="1">
      <c r="A138" s="1" t="s">
        <v>83</v>
      </c>
    </row>
    <row r="139" ht="15.75" customHeight="1">
      <c r="A139" s="1" t="s">
        <v>5</v>
      </c>
    </row>
    <row r="140" ht="15.75" customHeight="1">
      <c r="A140" s="1" t="s">
        <v>6</v>
      </c>
    </row>
    <row r="141" ht="15.75" customHeight="1">
      <c r="A141" s="1" t="s">
        <v>8</v>
      </c>
    </row>
    <row r="142" ht="15.75" customHeight="1">
      <c r="A142" s="1" t="s">
        <v>10</v>
      </c>
    </row>
    <row r="143" ht="15.75" customHeight="1">
      <c r="A143" s="1" t="s">
        <v>12</v>
      </c>
    </row>
    <row r="144" ht="15.75" customHeight="1">
      <c r="A144" s="1" t="s">
        <v>85</v>
      </c>
    </row>
    <row r="145" ht="15.75" customHeight="1">
      <c r="A145" s="5"/>
    </row>
    <row r="146" ht="15.75" customHeight="1">
      <c r="A146" s="5"/>
    </row>
    <row r="147" ht="15.75" customHeight="1">
      <c r="A147" s="5"/>
    </row>
    <row r="148" ht="15.75" customHeight="1">
      <c r="A148" s="18" t="s">
        <v>87</v>
      </c>
    </row>
    <row r="149" ht="15.75" customHeight="1">
      <c r="A149" s="5"/>
    </row>
    <row r="150" ht="15.75" customHeight="1">
      <c r="A150" s="5" t="s">
        <v>60</v>
      </c>
    </row>
    <row r="151" ht="15.75" customHeight="1">
      <c r="A151" s="16" t="s">
        <v>61</v>
      </c>
    </row>
    <row r="152" ht="15.75" customHeight="1">
      <c r="A152" s="16" t="s">
        <v>62</v>
      </c>
    </row>
    <row r="153" ht="15.75" customHeight="1">
      <c r="A153" s="16" t="s">
        <v>64</v>
      </c>
    </row>
    <row r="154" ht="15.75" customHeight="1">
      <c r="A154" s="16" t="s">
        <v>65</v>
      </c>
    </row>
    <row r="155" ht="15.75" customHeight="1">
      <c r="A155" s="16" t="s">
        <v>66</v>
      </c>
    </row>
    <row r="156" ht="15.75" customHeight="1">
      <c r="A156" s="1" t="s">
        <v>57</v>
      </c>
    </row>
    <row r="157" ht="15.75" customHeight="1">
      <c r="A157" s="5"/>
    </row>
    <row r="158" ht="15.75" customHeight="1">
      <c r="A158" s="5" t="s">
        <v>42</v>
      </c>
    </row>
    <row r="159" ht="15.75" customHeight="1">
      <c r="A159" s="1" t="s">
        <v>43</v>
      </c>
    </row>
    <row r="160" ht="15.75" customHeight="1">
      <c r="A160" s="1" t="s">
        <v>44</v>
      </c>
    </row>
    <row r="161" ht="15.75" customHeight="1">
      <c r="A161" s="1" t="s">
        <v>45</v>
      </c>
    </row>
    <row r="162" ht="15.75" customHeight="1">
      <c r="A162" s="1" t="s">
        <v>46</v>
      </c>
    </row>
    <row r="163" ht="15.75" customHeight="1">
      <c r="A163" s="1" t="s">
        <v>47</v>
      </c>
    </row>
    <row r="164" ht="15.75" customHeight="1">
      <c r="A164" s="1" t="s">
        <v>48</v>
      </c>
    </row>
    <row r="165" ht="15.75" customHeight="1">
      <c r="A165" s="5"/>
    </row>
    <row r="166" ht="15.75" customHeight="1">
      <c r="A166" s="1" t="s">
        <v>88</v>
      </c>
    </row>
    <row r="167" ht="15.75" customHeight="1">
      <c r="A167" s="5"/>
    </row>
    <row r="168" ht="15.75" customHeight="1">
      <c r="A168" s="18" t="s">
        <v>89</v>
      </c>
    </row>
    <row r="169" ht="15.75" customHeight="1">
      <c r="A169" s="5" t="s">
        <v>60</v>
      </c>
    </row>
    <row r="170" ht="15.75" customHeight="1">
      <c r="A170" s="16" t="s">
        <v>61</v>
      </c>
    </row>
    <row r="171" ht="15.75" customHeight="1">
      <c r="A171" s="16" t="s">
        <v>62</v>
      </c>
    </row>
    <row r="172" ht="15.75" customHeight="1">
      <c r="A172" s="16" t="s">
        <v>64</v>
      </c>
    </row>
    <row r="173" ht="15.75" customHeight="1">
      <c r="A173" s="16" t="s">
        <v>65</v>
      </c>
    </row>
    <row r="174" ht="15.75" customHeight="1">
      <c r="A174" s="16" t="s">
        <v>66</v>
      </c>
    </row>
    <row r="175" ht="15.75" customHeight="1">
      <c r="A175" s="1" t="s">
        <v>57</v>
      </c>
    </row>
    <row r="176" ht="15.75" customHeight="1">
      <c r="A176" s="5"/>
    </row>
    <row r="177" ht="15.75" customHeight="1">
      <c r="A177" s="5" t="s">
        <v>42</v>
      </c>
    </row>
    <row r="178" ht="15.75" customHeight="1">
      <c r="A178" s="1" t="s">
        <v>43</v>
      </c>
    </row>
    <row r="179" ht="15.75" customHeight="1">
      <c r="A179" s="1" t="s">
        <v>44</v>
      </c>
    </row>
    <row r="180" ht="15.75" customHeight="1">
      <c r="A180" s="1" t="s">
        <v>45</v>
      </c>
    </row>
    <row r="181" ht="15.75" customHeight="1">
      <c r="A181" s="1" t="s">
        <v>46</v>
      </c>
    </row>
    <row r="182" ht="15.75" customHeight="1">
      <c r="A182" s="1" t="s">
        <v>47</v>
      </c>
    </row>
    <row r="183" ht="15.75" customHeight="1">
      <c r="A183" s="1" t="s">
        <v>48</v>
      </c>
    </row>
    <row r="184" ht="15.75" customHeight="1">
      <c r="A184" s="5"/>
    </row>
    <row r="185" ht="15.75" customHeight="1">
      <c r="A185" s="1" t="s">
        <v>90</v>
      </c>
    </row>
    <row r="186" ht="15.75" customHeight="1">
      <c r="A186" s="1" t="s">
        <v>91</v>
      </c>
    </row>
    <row r="187" ht="15.75" customHeight="1">
      <c r="A187" s="5"/>
    </row>
    <row r="188" ht="15.75" customHeight="1">
      <c r="A188" s="5"/>
    </row>
    <row r="189" ht="15.75" customHeight="1">
      <c r="A189" s="5"/>
    </row>
    <row r="190" ht="15.75" customHeight="1">
      <c r="A190" s="18" t="s">
        <v>92</v>
      </c>
    </row>
    <row r="191" ht="15.75" customHeight="1">
      <c r="A191" s="5" t="s">
        <v>93</v>
      </c>
    </row>
    <row r="192" ht="15.75" customHeight="1">
      <c r="A192" s="5" t="s">
        <v>94</v>
      </c>
    </row>
    <row r="193" ht="15.75" customHeight="1">
      <c r="A193" s="5" t="s">
        <v>49</v>
      </c>
    </row>
    <row r="194" ht="15.75" customHeight="1">
      <c r="A194" s="5"/>
    </row>
    <row r="195" ht="15.75" customHeight="1">
      <c r="A195" s="5" t="s">
        <v>95</v>
      </c>
    </row>
    <row r="196" ht="15.75" customHeight="1">
      <c r="A196" s="5"/>
    </row>
    <row r="197" ht="15.75" customHeight="1">
      <c r="A197" s="5" t="s">
        <v>96</v>
      </c>
    </row>
    <row r="198" ht="15.75" customHeight="1">
      <c r="A198" s="5" t="s">
        <v>97</v>
      </c>
    </row>
    <row r="199" ht="15.75" customHeight="1">
      <c r="A199" s="5" t="s">
        <v>98</v>
      </c>
    </row>
    <row r="200" ht="15.75" customHeight="1">
      <c r="A200" s="5"/>
    </row>
    <row r="201" ht="15.75" customHeight="1">
      <c r="A201" s="5" t="s">
        <v>99</v>
      </c>
    </row>
    <row r="202" ht="15.75" customHeight="1">
      <c r="A202" s="5" t="s">
        <v>100</v>
      </c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85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280">
        <v>75660.0</v>
      </c>
      <c r="C5" s="280">
        <v>70372.0</v>
      </c>
      <c r="D5" s="280">
        <v>88330.0</v>
      </c>
      <c r="E5" s="280">
        <v>117571.0</v>
      </c>
      <c r="F5" s="280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88">
        <v>7355.0</v>
      </c>
      <c r="C6" s="88">
        <v>5411.0</v>
      </c>
      <c r="D6" s="88">
        <v>5752.0</v>
      </c>
      <c r="E6" s="88">
        <v>11029.0</v>
      </c>
      <c r="F6" s="88">
        <v>18626.0</v>
      </c>
      <c r="G6" s="87">
        <f t="shared" si="2"/>
        <v>0.2042242937</v>
      </c>
    </row>
    <row r="7" ht="15.75" customHeight="1">
      <c r="A7" s="85" t="s">
        <v>19</v>
      </c>
      <c r="B7" s="89">
        <v>134.0</v>
      </c>
      <c r="C7" s="89">
        <v>102.0</v>
      </c>
      <c r="D7" s="89">
        <v>127.0</v>
      </c>
      <c r="E7" s="90">
        <v>187.0</v>
      </c>
      <c r="F7" s="89">
        <v>194.0</v>
      </c>
      <c r="G7" s="87">
        <f t="shared" si="2"/>
        <v>0.07681075935</v>
      </c>
    </row>
    <row r="8" ht="15.75" customHeight="1">
      <c r="A8" s="85" t="s">
        <v>146</v>
      </c>
      <c r="B8" s="281">
        <v>5678.0</v>
      </c>
      <c r="C8" s="282">
        <v>4389.0</v>
      </c>
      <c r="D8" s="88">
        <v>3880.0</v>
      </c>
      <c r="E8" s="88">
        <v>8211.0</v>
      </c>
      <c r="F8" s="88">
        <v>13488.0</v>
      </c>
      <c r="G8" s="87">
        <f t="shared" si="2"/>
        <v>0.1889139801</v>
      </c>
    </row>
    <row r="9" ht="15.75" customHeight="1">
      <c r="A9" s="85" t="s">
        <v>147</v>
      </c>
      <c r="B9" s="283" t="s">
        <v>218</v>
      </c>
      <c r="C9" s="283" t="s">
        <v>218</v>
      </c>
      <c r="D9" s="283" t="s">
        <v>218</v>
      </c>
      <c r="E9" s="283" t="s">
        <v>218</v>
      </c>
      <c r="F9" s="283" t="s">
        <v>218</v>
      </c>
      <c r="G9" s="87" t="str">
        <f t="shared" si="2"/>
        <v>#VALUE!</v>
      </c>
      <c r="I9" s="11" t="s">
        <v>7</v>
      </c>
      <c r="J9" s="12"/>
      <c r="K9" s="12"/>
    </row>
    <row r="10" ht="15.75" customHeight="1">
      <c r="A10" s="85" t="s">
        <v>148</v>
      </c>
      <c r="B10" s="283" t="s">
        <v>218</v>
      </c>
      <c r="C10" s="283" t="s">
        <v>218</v>
      </c>
      <c r="D10" s="283" t="s">
        <v>218</v>
      </c>
      <c r="E10" s="283" t="s">
        <v>218</v>
      </c>
      <c r="F10" s="283" t="s">
        <v>218</v>
      </c>
      <c r="G10" s="87" t="str">
        <f t="shared" si="2"/>
        <v>#VALUE!</v>
      </c>
      <c r="I10" s="11" t="s">
        <v>9</v>
      </c>
      <c r="J10" s="12"/>
      <c r="K10" s="12"/>
    </row>
    <row r="11" ht="15.75" customHeight="1">
      <c r="A11" s="85" t="s">
        <v>149</v>
      </c>
      <c r="B11" s="88">
        <v>3496.0</v>
      </c>
      <c r="C11" s="88">
        <v>8856.0</v>
      </c>
      <c r="D11" s="88">
        <v>1840.0</v>
      </c>
      <c r="E11" s="88">
        <v>9251.0</v>
      </c>
      <c r="F11" s="88">
        <v>16801.0</v>
      </c>
      <c r="G11" s="87">
        <f t="shared" si="2"/>
        <v>0.3688401701</v>
      </c>
      <c r="I11" s="11" t="s">
        <v>221</v>
      </c>
      <c r="J11" s="12"/>
      <c r="K11" s="12"/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236">
        <v>49413.0</v>
      </c>
      <c r="C13" s="236">
        <v>52501.0</v>
      </c>
      <c r="D13" s="236">
        <v>55333.0</v>
      </c>
      <c r="E13" s="236">
        <v>74600.0</v>
      </c>
      <c r="F13" s="236">
        <v>85636.0</v>
      </c>
      <c r="G13" s="87">
        <f t="shared" ref="G13:G15" si="3">(F13/B13)^(1/5)-1</f>
        <v>0.1162540056</v>
      </c>
    </row>
    <row r="14" ht="15.75" customHeight="1">
      <c r="A14" s="85" t="s">
        <v>151</v>
      </c>
      <c r="B14" s="236">
        <v>2890.0</v>
      </c>
      <c r="C14" s="236">
        <v>2662.0</v>
      </c>
      <c r="D14" s="236">
        <v>2157.0</v>
      </c>
      <c r="E14" s="236">
        <v>2739.0</v>
      </c>
      <c r="F14" s="236">
        <v>3716.0</v>
      </c>
      <c r="G14" s="87">
        <f t="shared" si="3"/>
        <v>0.05156366773</v>
      </c>
    </row>
    <row r="15" ht="15.75" customHeight="1">
      <c r="A15" s="85" t="s">
        <v>152</v>
      </c>
      <c r="B15" s="236">
        <v>15744.0</v>
      </c>
      <c r="C15" s="236">
        <v>14989.0</v>
      </c>
      <c r="D15" s="236">
        <v>13747.0</v>
      </c>
      <c r="E15" s="236">
        <v>27941.0</v>
      </c>
      <c r="F15" s="236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98">
        <f t="shared" ref="B18:F18" si="4">B6/B5</f>
        <v>0.09721120804</v>
      </c>
      <c r="C18" s="98">
        <f t="shared" si="4"/>
        <v>0.07689137725</v>
      </c>
      <c r="D18" s="98">
        <f t="shared" si="4"/>
        <v>0.06511943847</v>
      </c>
      <c r="E18" s="98">
        <f t="shared" si="4"/>
        <v>0.09380714632</v>
      </c>
      <c r="F18" s="98">
        <f t="shared" si="4"/>
        <v>0.1313003144</v>
      </c>
      <c r="G18" s="95"/>
    </row>
    <row r="19" ht="15.75" customHeight="1">
      <c r="A19" s="85" t="s">
        <v>154</v>
      </c>
      <c r="B19" s="98">
        <f t="shared" ref="B19:F19" si="5">B8/B5</f>
        <v>0.07504625958</v>
      </c>
      <c r="C19" s="98">
        <f t="shared" si="5"/>
        <v>0.06236855568</v>
      </c>
      <c r="D19" s="98">
        <f t="shared" si="5"/>
        <v>0.04392618589</v>
      </c>
      <c r="E19" s="98">
        <f t="shared" si="5"/>
        <v>0.06983865069</v>
      </c>
      <c r="F19" s="98">
        <f t="shared" si="5"/>
        <v>0.09508099649</v>
      </c>
      <c r="G19" s="95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14.48818898</v>
      </c>
      <c r="E20" s="98">
        <f t="shared" si="6"/>
        <v>49.47058824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58.97860963</v>
      </c>
      <c r="F21" s="98">
        <f t="shared" si="7"/>
        <v>96.01030928</v>
      </c>
      <c r="G21" s="95"/>
    </row>
    <row r="22" ht="15.75" customHeight="1">
      <c r="A22" s="85" t="s">
        <v>157</v>
      </c>
      <c r="B22" s="98">
        <f t="shared" ref="B22:F22" si="8">B14/B13</f>
        <v>0.05848663307</v>
      </c>
      <c r="C22" s="98">
        <f t="shared" si="8"/>
        <v>0.05070379612</v>
      </c>
      <c r="D22" s="98">
        <f t="shared" si="8"/>
        <v>0.03898216254</v>
      </c>
      <c r="E22" s="98">
        <f t="shared" si="8"/>
        <v>0.03671581769</v>
      </c>
      <c r="F22" s="98">
        <f t="shared" si="8"/>
        <v>0.04339296558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>
        <f t="shared" ref="B24:F24" si="9">B8/B13</f>
        <v>0.114909032</v>
      </c>
      <c r="C24" s="98">
        <f t="shared" si="9"/>
        <v>0.08359840765</v>
      </c>
      <c r="D24" s="98">
        <f t="shared" si="9"/>
        <v>0.07012090434</v>
      </c>
      <c r="E24" s="98">
        <f t="shared" si="9"/>
        <v>0.1100670241</v>
      </c>
      <c r="F24" s="98">
        <f t="shared" si="9"/>
        <v>0.1575038535</v>
      </c>
      <c r="G24" s="95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0.100052183</v>
      </c>
      <c r="E25" s="98">
        <f t="shared" si="10"/>
        <v>0.1426059297</v>
      </c>
      <c r="F25" s="98">
        <f t="shared" si="10"/>
        <v>0.2084564419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>
        <f t="shared" ref="B30:F30" si="11">B19</f>
        <v>0.07504625958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0.06983865069</v>
      </c>
      <c r="F30" s="98">
        <f t="shared" si="11"/>
        <v>0.09508099649</v>
      </c>
      <c r="G30" s="95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4.207830786</v>
      </c>
      <c r="F31" s="98">
        <f t="shared" si="12"/>
        <v>5.090902566</v>
      </c>
      <c r="G31" s="95"/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0.2484412557</v>
      </c>
      <c r="E32" s="98">
        <f t="shared" si="13"/>
        <v>0.3745442359</v>
      </c>
      <c r="F32" s="98">
        <f t="shared" si="13"/>
        <v>0.3253888552</v>
      </c>
      <c r="G32" s="95"/>
    </row>
    <row r="33" ht="15.75" customHeight="1">
      <c r="A33" s="85" t="s">
        <v>164</v>
      </c>
      <c r="B33" s="98">
        <f t="shared" ref="B33:F33" si="14">B30*B31*B32</f>
        <v>0.114909032</v>
      </c>
      <c r="C33" s="98">
        <f t="shared" si="14"/>
        <v>0.08359840765</v>
      </c>
      <c r="D33" s="98">
        <f t="shared" si="14"/>
        <v>0.07012090434</v>
      </c>
      <c r="E33" s="98">
        <f t="shared" si="14"/>
        <v>0.1100670241</v>
      </c>
      <c r="F33" s="98">
        <f t="shared" si="14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88">
        <v>511659.0</v>
      </c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16036.07176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88">
        <v>35.0</v>
      </c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246">
        <v>40.0</v>
      </c>
      <c r="C40" s="245" t="s">
        <v>239</v>
      </c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204686.4826</v>
      </c>
      <c r="C41" s="95"/>
      <c r="D41" s="77" t="s">
        <v>171</v>
      </c>
      <c r="E41" s="106"/>
      <c r="F41" s="106"/>
      <c r="G41" s="247">
        <v>0.13</v>
      </c>
    </row>
    <row r="42" ht="15.75" customHeight="1">
      <c r="A42" s="85" t="s">
        <v>172</v>
      </c>
      <c r="B42" s="108"/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0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0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>
        <f>(B44/B36)-1</f>
        <v>-1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249" t="s">
        <v>240</v>
      </c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285">
        <v>75660.0</v>
      </c>
      <c r="C5" s="285">
        <v>70372.0</v>
      </c>
      <c r="D5" s="285">
        <v>88330.0</v>
      </c>
      <c r="E5" s="285">
        <v>117571.0</v>
      </c>
      <c r="F5" s="285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286">
        <v>7355.0</v>
      </c>
      <c r="C6" s="286">
        <v>5411.0</v>
      </c>
      <c r="D6" s="286">
        <v>5752.0</v>
      </c>
      <c r="E6" s="286">
        <v>11029.0</v>
      </c>
      <c r="F6" s="286">
        <v>18626.0</v>
      </c>
      <c r="G6" s="87">
        <f t="shared" si="2"/>
        <v>0.2042242937</v>
      </c>
    </row>
    <row r="7" ht="15.75" customHeight="1">
      <c r="A7" s="85" t="s">
        <v>19</v>
      </c>
      <c r="B7" s="287">
        <v>134.0</v>
      </c>
      <c r="C7" s="287">
        <v>102.0</v>
      </c>
      <c r="D7" s="287">
        <v>127.0</v>
      </c>
      <c r="E7" s="288">
        <v>187.0</v>
      </c>
      <c r="F7" s="287">
        <v>194.0</v>
      </c>
      <c r="G7" s="87">
        <f t="shared" si="2"/>
        <v>0.07681075935</v>
      </c>
    </row>
    <row r="8" ht="15.75" customHeight="1">
      <c r="A8" s="85" t="s">
        <v>146</v>
      </c>
      <c r="B8" s="289">
        <v>5678.0</v>
      </c>
      <c r="C8" s="289">
        <v>4389.0</v>
      </c>
      <c r="D8" s="289">
        <v>3880.0</v>
      </c>
      <c r="E8" s="289">
        <v>8211.0</v>
      </c>
      <c r="F8" s="289">
        <v>13488.0</v>
      </c>
      <c r="G8" s="87">
        <f t="shared" si="2"/>
        <v>0.1889139801</v>
      </c>
    </row>
    <row r="9" ht="15.75" customHeight="1">
      <c r="A9" s="85" t="s">
        <v>147</v>
      </c>
      <c r="B9" s="290"/>
      <c r="C9" s="283" t="s">
        <v>218</v>
      </c>
      <c r="D9" s="283" t="s">
        <v>218</v>
      </c>
      <c r="E9" s="283" t="s">
        <v>218</v>
      </c>
      <c r="F9" s="283" t="s">
        <v>218</v>
      </c>
      <c r="G9" s="87" t="str">
        <f t="shared" si="2"/>
        <v>#VALUE!</v>
      </c>
    </row>
    <row r="10" ht="15.75" customHeight="1">
      <c r="A10" s="85" t="s">
        <v>148</v>
      </c>
      <c r="B10" s="283" t="s">
        <v>218</v>
      </c>
      <c r="C10" s="283" t="s">
        <v>218</v>
      </c>
      <c r="D10" s="283" t="s">
        <v>218</v>
      </c>
      <c r="E10" s="283" t="s">
        <v>218</v>
      </c>
      <c r="F10" s="283" t="s">
        <v>218</v>
      </c>
      <c r="G10" s="87" t="str">
        <f t="shared" si="2"/>
        <v>#VALUE!</v>
      </c>
    </row>
    <row r="11" ht="15.75" customHeight="1">
      <c r="A11" s="85" t="s">
        <v>149</v>
      </c>
      <c r="B11" s="285">
        <v>3496.0</v>
      </c>
      <c r="C11" s="285">
        <v>8856.0</v>
      </c>
      <c r="D11" s="285">
        <v>1840.0</v>
      </c>
      <c r="E11" s="285">
        <v>9251.0</v>
      </c>
      <c r="F11" s="285">
        <v>16801.0</v>
      </c>
      <c r="G11" s="87">
        <f t="shared" si="2"/>
        <v>0.3688401701</v>
      </c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236">
        <v>49413.0</v>
      </c>
      <c r="C13" s="236">
        <v>52501.0</v>
      </c>
      <c r="D13" s="236">
        <v>55333.0</v>
      </c>
      <c r="E13" s="236">
        <v>74600.0</v>
      </c>
      <c r="F13" s="236">
        <v>85636.0</v>
      </c>
      <c r="G13" s="87">
        <f t="shared" ref="G13:G15" si="3">(F13/B13)^(1/5)-1</f>
        <v>0.1162540056</v>
      </c>
    </row>
    <row r="14" ht="15.75" customHeight="1">
      <c r="A14" s="85" t="s">
        <v>151</v>
      </c>
      <c r="B14" s="236">
        <v>2890.0</v>
      </c>
      <c r="C14" s="236">
        <v>2662.0</v>
      </c>
      <c r="D14" s="236">
        <v>2157.0</v>
      </c>
      <c r="E14" s="236">
        <v>2739.0</v>
      </c>
      <c r="F14" s="236">
        <v>3716.0</v>
      </c>
      <c r="G14" s="87">
        <f t="shared" si="3"/>
        <v>0.05156366773</v>
      </c>
    </row>
    <row r="15" ht="15.75" customHeight="1">
      <c r="A15" s="85" t="s">
        <v>152</v>
      </c>
      <c r="B15" s="236">
        <v>15744.0</v>
      </c>
      <c r="C15" s="236">
        <v>14989.0</v>
      </c>
      <c r="D15" s="236">
        <v>13747.0</v>
      </c>
      <c r="E15" s="236">
        <v>27941.0</v>
      </c>
      <c r="F15" s="236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98">
        <f t="shared" ref="B18:F18" si="4">B6/B5</f>
        <v>0.09721120804</v>
      </c>
      <c r="C18" s="98">
        <f t="shared" si="4"/>
        <v>0.07689137725</v>
      </c>
      <c r="D18" s="98">
        <f t="shared" si="4"/>
        <v>0.06511943847</v>
      </c>
      <c r="E18" s="98">
        <f t="shared" si="4"/>
        <v>0.09380714632</v>
      </c>
      <c r="F18" s="98">
        <f t="shared" si="4"/>
        <v>0.1313003144</v>
      </c>
      <c r="G18" s="95"/>
    </row>
    <row r="19" ht="15.75" customHeight="1">
      <c r="A19" s="85" t="s">
        <v>154</v>
      </c>
      <c r="B19" s="98">
        <f t="shared" ref="B19:F19" si="5">B8/B5</f>
        <v>0.07504625958</v>
      </c>
      <c r="C19" s="98">
        <f t="shared" si="5"/>
        <v>0.06236855568</v>
      </c>
      <c r="D19" s="98">
        <f t="shared" si="5"/>
        <v>0.04392618589</v>
      </c>
      <c r="E19" s="98">
        <f t="shared" si="5"/>
        <v>0.06983865069</v>
      </c>
      <c r="F19" s="98">
        <f t="shared" si="5"/>
        <v>0.09508099649</v>
      </c>
      <c r="G19" s="95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14.48818898</v>
      </c>
      <c r="E20" s="98">
        <f t="shared" si="6"/>
        <v>49.47058824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58.97860963</v>
      </c>
      <c r="F21" s="98">
        <f t="shared" si="7"/>
        <v>96.01030928</v>
      </c>
      <c r="G21" s="95"/>
    </row>
    <row r="22" ht="15.75" customHeight="1">
      <c r="A22" s="85" t="s">
        <v>157</v>
      </c>
      <c r="B22" s="98">
        <f t="shared" ref="B22:F22" si="8">B14/B13</f>
        <v>0.05848663307</v>
      </c>
      <c r="C22" s="98">
        <f t="shared" si="8"/>
        <v>0.05070379612</v>
      </c>
      <c r="D22" s="98">
        <f t="shared" si="8"/>
        <v>0.03898216254</v>
      </c>
      <c r="E22" s="98">
        <f t="shared" si="8"/>
        <v>0.03671581769</v>
      </c>
      <c r="F22" s="98">
        <f t="shared" si="8"/>
        <v>0.04339296558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>
        <f t="shared" ref="B24:F24" si="9">B8/B13</f>
        <v>0.114909032</v>
      </c>
      <c r="C24" s="98">
        <f t="shared" si="9"/>
        <v>0.08359840765</v>
      </c>
      <c r="D24" s="98">
        <f t="shared" si="9"/>
        <v>0.07012090434</v>
      </c>
      <c r="E24" s="98">
        <f t="shared" si="9"/>
        <v>0.1100670241</v>
      </c>
      <c r="F24" s="98">
        <f t="shared" si="9"/>
        <v>0.1575038535</v>
      </c>
      <c r="G24" s="95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0.100052183</v>
      </c>
      <c r="E25" s="98">
        <f t="shared" si="10"/>
        <v>0.1426059297</v>
      </c>
      <c r="F25" s="98">
        <f t="shared" si="10"/>
        <v>0.2084564419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>
        <f t="shared" ref="B30:F30" si="11">B19</f>
        <v>0.07504625958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0.06983865069</v>
      </c>
      <c r="F30" s="98">
        <f t="shared" si="11"/>
        <v>0.09508099649</v>
      </c>
      <c r="G30" s="95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4.207830786</v>
      </c>
      <c r="F31" s="98">
        <f t="shared" si="12"/>
        <v>5.090902566</v>
      </c>
      <c r="G31" s="95"/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0.2484412557</v>
      </c>
      <c r="E32" s="98">
        <f t="shared" si="13"/>
        <v>0.3745442359</v>
      </c>
      <c r="F32" s="98">
        <f t="shared" si="13"/>
        <v>0.3253888552</v>
      </c>
      <c r="G32" s="95"/>
    </row>
    <row r="33" ht="15.75" customHeight="1">
      <c r="A33" s="85" t="s">
        <v>164</v>
      </c>
      <c r="B33" s="98">
        <f t="shared" ref="B33:F33" si="14">B30*B31*B32</f>
        <v>0.114909032</v>
      </c>
      <c r="C33" s="98">
        <f t="shared" si="14"/>
        <v>0.08359840765</v>
      </c>
      <c r="D33" s="98">
        <f t="shared" si="14"/>
        <v>0.07012090434</v>
      </c>
      <c r="E33" s="98">
        <f t="shared" si="14"/>
        <v>0.1100670241</v>
      </c>
      <c r="F33" s="98">
        <f t="shared" si="14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291">
        <v>511659.0</v>
      </c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16036.07176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88">
        <v>35.0</v>
      </c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246">
        <v>40.0</v>
      </c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215748.2858</v>
      </c>
      <c r="C41" s="95"/>
      <c r="D41" s="77" t="s">
        <v>171</v>
      </c>
      <c r="E41" s="106"/>
      <c r="F41" s="106"/>
      <c r="G41" s="247">
        <v>0.15</v>
      </c>
    </row>
    <row r="42" ht="15.75" customHeight="1">
      <c r="A42" s="85" t="s">
        <v>172</v>
      </c>
      <c r="B42" s="292">
        <v>0.1</v>
      </c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21574.82858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862993.143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>
        <f>(B44/B36)-1</f>
        <v>0.6866568222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233" t="s">
        <v>140</v>
      </c>
    </row>
    <row r="2" ht="15.75" customHeight="1"/>
    <row r="3" ht="15.75" customHeight="1">
      <c r="A3" s="77"/>
      <c r="B3" s="293">
        <v>2020.0</v>
      </c>
      <c r="C3" s="293">
        <f t="shared" ref="C3:F3" si="1">B3+1</f>
        <v>2021</v>
      </c>
      <c r="D3" s="293">
        <f t="shared" si="1"/>
        <v>2022</v>
      </c>
      <c r="E3" s="293">
        <f t="shared" si="1"/>
        <v>2023</v>
      </c>
      <c r="F3" s="293">
        <f t="shared" si="1"/>
        <v>2024</v>
      </c>
      <c r="G3" s="294" t="s">
        <v>141</v>
      </c>
    </row>
    <row r="4" ht="15.75" customHeight="1">
      <c r="A4" s="284"/>
      <c r="B4" s="295" t="s">
        <v>143</v>
      </c>
      <c r="C4" s="82"/>
      <c r="D4" s="82"/>
      <c r="E4" s="82"/>
      <c r="F4" s="83"/>
      <c r="G4" s="294"/>
    </row>
    <row r="5" ht="15.75" customHeight="1">
      <c r="A5" s="85" t="s">
        <v>144</v>
      </c>
      <c r="B5" s="296">
        <v>75660.0</v>
      </c>
      <c r="C5" s="296">
        <v>70372.0</v>
      </c>
      <c r="D5" s="296">
        <v>88330.0</v>
      </c>
      <c r="E5" s="297">
        <v>117571.0</v>
      </c>
      <c r="F5" s="296">
        <v>141858.0</v>
      </c>
      <c r="G5" s="298">
        <f t="shared" ref="G5:G11" si="2">(F5/B5)^(1/5)-1</f>
        <v>0.1339593835</v>
      </c>
    </row>
    <row r="6" ht="15.75" customHeight="1">
      <c r="A6" s="85" t="s">
        <v>145</v>
      </c>
      <c r="B6" s="296">
        <v>7355.0</v>
      </c>
      <c r="C6" s="296">
        <v>5411.0</v>
      </c>
      <c r="D6" s="296">
        <v>5752.0</v>
      </c>
      <c r="E6" s="296">
        <v>11029.0</v>
      </c>
      <c r="F6" s="296">
        <v>18626.0</v>
      </c>
      <c r="G6" s="298">
        <f t="shared" si="2"/>
        <v>0.2042242937</v>
      </c>
    </row>
    <row r="7" ht="15.75" customHeight="1">
      <c r="A7" s="85" t="s">
        <v>19</v>
      </c>
      <c r="B7" s="299">
        <v>134.0</v>
      </c>
      <c r="C7" s="299">
        <v>102.0</v>
      </c>
      <c r="D7" s="299">
        <v>127.0</v>
      </c>
      <c r="E7" s="300">
        <v>187.0</v>
      </c>
      <c r="F7" s="299">
        <v>194.0</v>
      </c>
      <c r="G7" s="298">
        <f t="shared" si="2"/>
        <v>0.07681075935</v>
      </c>
    </row>
    <row r="8" ht="15.75" customHeight="1">
      <c r="A8" s="85" t="s">
        <v>146</v>
      </c>
      <c r="B8" s="301">
        <v>5678.0</v>
      </c>
      <c r="C8" s="301">
        <v>4389.0</v>
      </c>
      <c r="D8" s="301">
        <v>3880.0</v>
      </c>
      <c r="E8" s="301">
        <v>8211.0</v>
      </c>
      <c r="F8" s="301">
        <v>13488.0</v>
      </c>
      <c r="G8" s="298">
        <f t="shared" si="2"/>
        <v>0.1889139801</v>
      </c>
    </row>
    <row r="9" ht="15.75" customHeight="1">
      <c r="A9" s="85" t="s">
        <v>147</v>
      </c>
      <c r="B9" s="302" t="s">
        <v>218</v>
      </c>
      <c r="C9" s="302" t="s">
        <v>218</v>
      </c>
      <c r="D9" s="302" t="s">
        <v>218</v>
      </c>
      <c r="E9" s="302" t="s">
        <v>218</v>
      </c>
      <c r="F9" s="302" t="s">
        <v>218</v>
      </c>
      <c r="G9" s="298" t="str">
        <f t="shared" si="2"/>
        <v>#VALUE!</v>
      </c>
    </row>
    <row r="10" ht="15.75" customHeight="1">
      <c r="A10" s="85" t="s">
        <v>148</v>
      </c>
      <c r="B10" s="302" t="s">
        <v>218</v>
      </c>
      <c r="C10" s="302" t="s">
        <v>218</v>
      </c>
      <c r="D10" s="302" t="s">
        <v>218</v>
      </c>
      <c r="E10" s="302" t="s">
        <v>218</v>
      </c>
      <c r="F10" s="302" t="s">
        <v>218</v>
      </c>
      <c r="G10" s="298" t="str">
        <f t="shared" si="2"/>
        <v>#VALUE!</v>
      </c>
    </row>
    <row r="11" ht="15.75" customHeight="1">
      <c r="A11" s="85" t="s">
        <v>149</v>
      </c>
      <c r="B11" s="296">
        <v>3496.0</v>
      </c>
      <c r="C11" s="297">
        <v>8856.0</v>
      </c>
      <c r="D11" s="296">
        <v>1840.0</v>
      </c>
      <c r="E11" s="296">
        <v>9251.0</v>
      </c>
      <c r="F11" s="296">
        <v>16801.0</v>
      </c>
      <c r="G11" s="298">
        <f t="shared" si="2"/>
        <v>0.3688401701</v>
      </c>
    </row>
    <row r="12" ht="15.75" customHeight="1">
      <c r="A12" s="85"/>
      <c r="B12" s="303"/>
      <c r="C12" s="304"/>
      <c r="D12" s="303"/>
      <c r="E12" s="303"/>
      <c r="F12" s="303"/>
      <c r="G12" s="294"/>
    </row>
    <row r="13" ht="15.75" customHeight="1">
      <c r="A13" s="85" t="s">
        <v>150</v>
      </c>
      <c r="B13" s="305">
        <v>49413.0</v>
      </c>
      <c r="C13" s="305">
        <v>52501.0</v>
      </c>
      <c r="D13" s="305">
        <v>55334.0</v>
      </c>
      <c r="E13" s="305">
        <v>74600.0</v>
      </c>
      <c r="F13" s="305">
        <v>85636.0</v>
      </c>
      <c r="G13" s="298">
        <f t="shared" ref="G13:G15" si="3">(F13/B13)^(1/5)-1</f>
        <v>0.1162540056</v>
      </c>
    </row>
    <row r="14" ht="15.75" customHeight="1">
      <c r="A14" s="85" t="s">
        <v>151</v>
      </c>
      <c r="B14" s="305">
        <v>2890.0</v>
      </c>
      <c r="C14" s="305">
        <v>2662.0</v>
      </c>
      <c r="D14" s="305">
        <v>2157.0</v>
      </c>
      <c r="E14" s="305">
        <v>2739.0</v>
      </c>
      <c r="F14" s="305">
        <v>3716.0</v>
      </c>
      <c r="G14" s="298">
        <f t="shared" si="3"/>
        <v>0.05156366773</v>
      </c>
    </row>
    <row r="15" ht="15.75" customHeight="1">
      <c r="A15" s="85" t="s">
        <v>152</v>
      </c>
      <c r="B15" s="305">
        <v>15744.0</v>
      </c>
      <c r="C15" s="305">
        <v>14989.0</v>
      </c>
      <c r="D15" s="305">
        <v>13747.0</v>
      </c>
      <c r="E15" s="305">
        <v>27941.0</v>
      </c>
      <c r="F15" s="305">
        <v>27865.0</v>
      </c>
      <c r="G15" s="298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279">
        <f t="shared" ref="B18:F18" si="4">B6/B5</f>
        <v>0.09721120804</v>
      </c>
      <c r="C18" s="241">
        <f t="shared" si="4"/>
        <v>0.07689137725</v>
      </c>
      <c r="D18" s="279">
        <f t="shared" si="4"/>
        <v>0.06511943847</v>
      </c>
      <c r="E18" s="279">
        <f t="shared" si="4"/>
        <v>0.09380714632</v>
      </c>
      <c r="F18" s="279">
        <f t="shared" si="4"/>
        <v>0.1313003144</v>
      </c>
      <c r="G18" s="95"/>
    </row>
    <row r="19" ht="15.75" customHeight="1">
      <c r="A19" s="85" t="s">
        <v>154</v>
      </c>
      <c r="B19" s="279">
        <f t="shared" ref="B19:F19" si="5">B8/B5</f>
        <v>0.07504625958</v>
      </c>
      <c r="C19" s="279">
        <f t="shared" si="5"/>
        <v>0.06236855568</v>
      </c>
      <c r="D19" s="279">
        <f t="shared" si="5"/>
        <v>0.04392618589</v>
      </c>
      <c r="E19" s="279">
        <f t="shared" si="5"/>
        <v>0.06983865069</v>
      </c>
      <c r="F19" s="279">
        <f t="shared" si="5"/>
        <v>0.09508099649</v>
      </c>
      <c r="G19" s="95"/>
    </row>
    <row r="20" ht="15.75" customHeight="1">
      <c r="A20" s="85" t="s">
        <v>155</v>
      </c>
      <c r="B20" s="279">
        <f t="shared" ref="B20:F20" si="6">B11/B7</f>
        <v>26.08955224</v>
      </c>
      <c r="C20" s="279">
        <f t="shared" si="6"/>
        <v>86.82352941</v>
      </c>
      <c r="D20" s="279">
        <f t="shared" si="6"/>
        <v>14.48818898</v>
      </c>
      <c r="E20" s="279">
        <f t="shared" si="6"/>
        <v>49.47058824</v>
      </c>
      <c r="F20" s="279">
        <f t="shared" si="6"/>
        <v>86.60309278</v>
      </c>
      <c r="G20" s="95"/>
    </row>
    <row r="21" ht="15.75" customHeight="1">
      <c r="A21" s="85" t="s">
        <v>156</v>
      </c>
      <c r="B21" s="279">
        <f t="shared" ref="B21:F21" si="7">B6/B7</f>
        <v>54.8880597</v>
      </c>
      <c r="C21" s="279">
        <f t="shared" si="7"/>
        <v>53.04901961</v>
      </c>
      <c r="D21" s="279">
        <f t="shared" si="7"/>
        <v>45.29133858</v>
      </c>
      <c r="E21" s="279">
        <f t="shared" si="7"/>
        <v>58.97860963</v>
      </c>
      <c r="F21" s="279">
        <f t="shared" si="7"/>
        <v>96.01030928</v>
      </c>
      <c r="G21" s="95"/>
    </row>
    <row r="22" ht="15.75" customHeight="1">
      <c r="A22" s="85" t="s">
        <v>157</v>
      </c>
      <c r="B22" s="279">
        <f t="shared" ref="B22:F22" si="8">B14/B13</f>
        <v>0.05848663307</v>
      </c>
      <c r="C22" s="279">
        <f t="shared" si="8"/>
        <v>0.05070379612</v>
      </c>
      <c r="D22" s="279">
        <f t="shared" si="8"/>
        <v>0.03898145805</v>
      </c>
      <c r="E22" s="279">
        <f t="shared" si="8"/>
        <v>0.03671581769</v>
      </c>
      <c r="F22" s="279">
        <f t="shared" si="8"/>
        <v>0.04339296558</v>
      </c>
      <c r="G22" s="95"/>
    </row>
    <row r="23" ht="15.75" customHeight="1">
      <c r="A23" s="85"/>
      <c r="B23" s="279"/>
      <c r="C23" s="279"/>
      <c r="D23" s="279"/>
      <c r="E23" s="279"/>
      <c r="F23" s="279"/>
      <c r="G23" s="95"/>
    </row>
    <row r="24" ht="15.75" customHeight="1">
      <c r="A24" s="85" t="s">
        <v>158</v>
      </c>
      <c r="B24" s="279">
        <f t="shared" ref="B24:F24" si="9">B8/B13</f>
        <v>0.114909032</v>
      </c>
      <c r="C24" s="279">
        <f t="shared" si="9"/>
        <v>0.08359840765</v>
      </c>
      <c r="D24" s="279">
        <f t="shared" si="9"/>
        <v>0.07011963711</v>
      </c>
      <c r="E24" s="279">
        <f t="shared" si="9"/>
        <v>0.1100670241</v>
      </c>
      <c r="F24" s="279">
        <f t="shared" si="9"/>
        <v>0.1575038535</v>
      </c>
      <c r="G24" s="95"/>
    </row>
    <row r="25" ht="15.75" customHeight="1">
      <c r="A25" s="85" t="s">
        <v>159</v>
      </c>
      <c r="B25" s="279">
        <f t="shared" ref="B25:F25" si="10">B6/SUM(B13:B14)</f>
        <v>0.1406229088</v>
      </c>
      <c r="C25" s="279">
        <f t="shared" si="10"/>
        <v>0.0980911118</v>
      </c>
      <c r="D25" s="279">
        <f t="shared" si="10"/>
        <v>0.1000504427</v>
      </c>
      <c r="E25" s="279">
        <f t="shared" si="10"/>
        <v>0.1426059297</v>
      </c>
      <c r="F25" s="279">
        <f t="shared" si="10"/>
        <v>0.2084564419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>
        <f t="shared" ref="B30:F30" si="11">B19</f>
        <v>0.07504625958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0.06983865069</v>
      </c>
      <c r="F30" s="98">
        <f t="shared" si="11"/>
        <v>0.09508099649</v>
      </c>
      <c r="G30" s="95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4.207830786</v>
      </c>
      <c r="F31" s="98">
        <f t="shared" si="12"/>
        <v>5.090902566</v>
      </c>
      <c r="G31" s="95"/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0.2484367658</v>
      </c>
      <c r="E32" s="98">
        <f t="shared" si="13"/>
        <v>0.3745442359</v>
      </c>
      <c r="F32" s="98">
        <f t="shared" si="13"/>
        <v>0.3253888552</v>
      </c>
      <c r="G32" s="95"/>
    </row>
    <row r="33" ht="15.75" customHeight="1">
      <c r="A33" s="85" t="s">
        <v>164</v>
      </c>
      <c r="B33" s="98">
        <f t="shared" ref="B33:F33" si="14">B30*B31*B32</f>
        <v>0.114909032</v>
      </c>
      <c r="C33" s="98">
        <f t="shared" si="14"/>
        <v>0.08359840765</v>
      </c>
      <c r="D33" s="98">
        <f t="shared" si="14"/>
        <v>0.07011963711</v>
      </c>
      <c r="E33" s="98">
        <f t="shared" si="14"/>
        <v>0.1100670241</v>
      </c>
      <c r="F33" s="98">
        <f t="shared" si="14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102"/>
      <c r="C35" s="95"/>
      <c r="D35" s="95"/>
      <c r="E35" s="95"/>
      <c r="F35" s="95"/>
      <c r="G35" s="95"/>
    </row>
    <row r="36" ht="15.75" customHeight="1">
      <c r="A36" s="85" t="s">
        <v>166</v>
      </c>
      <c r="B36" s="94"/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16036.07176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94"/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104"/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141858</v>
      </c>
      <c r="C41" s="95"/>
      <c r="D41" s="77" t="s">
        <v>171</v>
      </c>
      <c r="E41" s="106"/>
      <c r="F41" s="106"/>
      <c r="G41" s="107"/>
    </row>
    <row r="42" ht="15.75" customHeight="1">
      <c r="A42" s="85" t="s">
        <v>172</v>
      </c>
      <c r="B42" s="108"/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0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0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 t="str">
        <f>(B44/B36)-1</f>
        <v>#DIV/0!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236">
        <v>75660.0</v>
      </c>
      <c r="C5" s="236">
        <v>70372.0</v>
      </c>
      <c r="D5" s="236">
        <v>88330.0</v>
      </c>
      <c r="E5" s="236">
        <v>118410.0</v>
      </c>
      <c r="F5" s="236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236">
        <v>7355.0</v>
      </c>
      <c r="C6" s="236">
        <v>5411.0</v>
      </c>
      <c r="D6" s="236">
        <v>5752.0</v>
      </c>
      <c r="E6" s="236">
        <v>13122.0</v>
      </c>
      <c r="F6" s="236">
        <v>18626.0</v>
      </c>
      <c r="G6" s="87">
        <f t="shared" si="2"/>
        <v>0.2042242937</v>
      </c>
    </row>
    <row r="7" ht="15.75" customHeight="1">
      <c r="A7" s="85" t="s">
        <v>19</v>
      </c>
      <c r="B7" s="237">
        <v>134.0</v>
      </c>
      <c r="C7" s="237">
        <v>102.0</v>
      </c>
      <c r="D7" s="237">
        <v>127.0</v>
      </c>
      <c r="E7" s="238">
        <v>252.0</v>
      </c>
      <c r="F7" s="237">
        <v>194.0</v>
      </c>
      <c r="G7" s="87">
        <f t="shared" si="2"/>
        <v>0.07681075935</v>
      </c>
    </row>
    <row r="8" ht="15.75" customHeight="1">
      <c r="A8" s="85" t="s">
        <v>146</v>
      </c>
      <c r="B8" s="236">
        <v>5676.0</v>
      </c>
      <c r="C8" s="236">
        <v>4389.0</v>
      </c>
      <c r="D8" s="236">
        <v>3880.0</v>
      </c>
      <c r="E8" s="236">
        <v>8264.0</v>
      </c>
      <c r="F8" s="236">
        <v>13488.0</v>
      </c>
      <c r="G8" s="87">
        <f t="shared" si="2"/>
        <v>0.1889977536</v>
      </c>
    </row>
    <row r="9" ht="15.75" customHeight="1">
      <c r="A9" s="85" t="s">
        <v>147</v>
      </c>
      <c r="B9" s="239">
        <v>0.0</v>
      </c>
      <c r="C9" s="239">
        <v>0.0</v>
      </c>
      <c r="D9" s="239">
        <v>0.0</v>
      </c>
      <c r="E9" s="239">
        <v>0.0</v>
      </c>
      <c r="F9" s="239">
        <v>0.0</v>
      </c>
      <c r="G9" s="87" t="str">
        <f t="shared" si="2"/>
        <v>#DIV/0!</v>
      </c>
    </row>
    <row r="10" ht="15.75" customHeight="1">
      <c r="A10" s="85" t="s">
        <v>148</v>
      </c>
      <c r="B10" s="239">
        <v>0.0</v>
      </c>
      <c r="C10" s="239">
        <v>0.0</v>
      </c>
      <c r="D10" s="239">
        <v>0.0</v>
      </c>
      <c r="E10" s="239">
        <v>0.0</v>
      </c>
      <c r="F10" s="239">
        <v>0.0</v>
      </c>
      <c r="G10" s="87" t="str">
        <f t="shared" si="2"/>
        <v>#DIV/0!</v>
      </c>
    </row>
    <row r="11" ht="15.75" customHeight="1">
      <c r="A11" s="85" t="s">
        <v>149</v>
      </c>
      <c r="B11" s="236">
        <v>3496.0</v>
      </c>
      <c r="C11" s="236">
        <v>8856.0</v>
      </c>
      <c r="D11" s="236">
        <v>1841.0</v>
      </c>
      <c r="E11" s="236">
        <v>10815.0</v>
      </c>
      <c r="F11" s="236">
        <v>16801.0</v>
      </c>
      <c r="G11" s="87">
        <f t="shared" si="2"/>
        <v>0.3688401701</v>
      </c>
    </row>
    <row r="12" ht="15.75" customHeight="1">
      <c r="A12" s="85"/>
      <c r="B12" s="240"/>
      <c r="C12" s="240"/>
      <c r="D12" s="240"/>
      <c r="E12" s="240"/>
      <c r="F12" s="240"/>
      <c r="G12" s="84"/>
    </row>
    <row r="13" ht="15.75" customHeight="1">
      <c r="A13" s="85" t="s">
        <v>150</v>
      </c>
      <c r="B13" s="236">
        <v>49413.0</v>
      </c>
      <c r="C13" s="236">
        <v>52501.0</v>
      </c>
      <c r="D13" s="236">
        <v>55334.0</v>
      </c>
      <c r="E13" s="236">
        <v>74600.0</v>
      </c>
      <c r="F13" s="236">
        <v>85636.0</v>
      </c>
      <c r="G13" s="87">
        <f t="shared" ref="G13:G15" si="3">(F13/B13)^(1/5)-1</f>
        <v>0.1162540056</v>
      </c>
    </row>
    <row r="14" ht="15.75" customHeight="1">
      <c r="A14" s="85" t="s">
        <v>151</v>
      </c>
      <c r="B14" s="236">
        <v>2890.0</v>
      </c>
      <c r="C14" s="236">
        <v>2662.0</v>
      </c>
      <c r="D14" s="236">
        <v>2157.0</v>
      </c>
      <c r="E14" s="236">
        <v>2739.0</v>
      </c>
      <c r="F14" s="236">
        <v>3716.0</v>
      </c>
      <c r="G14" s="87">
        <f t="shared" si="3"/>
        <v>0.05156366773</v>
      </c>
    </row>
    <row r="15" ht="15.75" customHeight="1">
      <c r="A15" s="85" t="s">
        <v>152</v>
      </c>
      <c r="B15" s="236">
        <v>15744.0</v>
      </c>
      <c r="C15" s="236">
        <v>14989.0</v>
      </c>
      <c r="D15" s="236">
        <v>13747.0</v>
      </c>
      <c r="E15" s="236">
        <v>27941.0</v>
      </c>
      <c r="F15" s="236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98">
        <f t="shared" ref="B18:F18" si="4">B6/B5</f>
        <v>0.09721120804</v>
      </c>
      <c r="C18" s="98">
        <f t="shared" si="4"/>
        <v>0.07689137725</v>
      </c>
      <c r="D18" s="98">
        <f t="shared" si="4"/>
        <v>0.06511943847</v>
      </c>
      <c r="E18" s="98">
        <f t="shared" si="4"/>
        <v>0.110818343</v>
      </c>
      <c r="F18" s="98">
        <f t="shared" si="4"/>
        <v>0.1313003144</v>
      </c>
      <c r="G18" s="95"/>
    </row>
    <row r="19" ht="15.75" customHeight="1">
      <c r="A19" s="85" t="s">
        <v>154</v>
      </c>
      <c r="B19" s="98">
        <f t="shared" ref="B19:F19" si="5">B8/B5</f>
        <v>0.07501982554</v>
      </c>
      <c r="C19" s="98">
        <f t="shared" si="5"/>
        <v>0.06236855568</v>
      </c>
      <c r="D19" s="98">
        <f t="shared" si="5"/>
        <v>0.04392618589</v>
      </c>
      <c r="E19" s="98">
        <f t="shared" si="5"/>
        <v>0.06979140275</v>
      </c>
      <c r="F19" s="98">
        <f t="shared" si="5"/>
        <v>0.09508099649</v>
      </c>
      <c r="G19" s="95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14.49606299</v>
      </c>
      <c r="E20" s="98">
        <f t="shared" si="6"/>
        <v>42.91666667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52.07142857</v>
      </c>
      <c r="F21" s="98">
        <f t="shared" si="7"/>
        <v>96.01030928</v>
      </c>
      <c r="G21" s="95"/>
    </row>
    <row r="22" ht="15.75" customHeight="1">
      <c r="A22" s="85" t="s">
        <v>157</v>
      </c>
      <c r="B22" s="98">
        <f t="shared" ref="B22:F22" si="8">B14/B13</f>
        <v>0.05848663307</v>
      </c>
      <c r="C22" s="98">
        <f t="shared" si="8"/>
        <v>0.05070379612</v>
      </c>
      <c r="D22" s="98">
        <f t="shared" si="8"/>
        <v>0.03898145805</v>
      </c>
      <c r="E22" s="98">
        <f t="shared" si="8"/>
        <v>0.03671581769</v>
      </c>
      <c r="F22" s="98">
        <f t="shared" si="8"/>
        <v>0.04339296558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>
        <f t="shared" ref="B24:F24" si="9">B8/B13</f>
        <v>0.1148685569</v>
      </c>
      <c r="C24" s="98">
        <f t="shared" si="9"/>
        <v>0.08359840765</v>
      </c>
      <c r="D24" s="98">
        <f t="shared" si="9"/>
        <v>0.07011963711</v>
      </c>
      <c r="E24" s="98">
        <f t="shared" si="9"/>
        <v>0.1107774799</v>
      </c>
      <c r="F24" s="98">
        <f t="shared" si="9"/>
        <v>0.1575038535</v>
      </c>
      <c r="G24" s="95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0.1000504427</v>
      </c>
      <c r="E25" s="98">
        <f t="shared" si="10"/>
        <v>0.1696686019</v>
      </c>
      <c r="F25" s="98">
        <f t="shared" si="10"/>
        <v>0.2084564419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>
        <f t="shared" ref="B30:F30" si="11">B19</f>
        <v>0.07501982554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0.06979140275</v>
      </c>
      <c r="F30" s="98">
        <f t="shared" si="11"/>
        <v>0.09508099649</v>
      </c>
      <c r="G30" s="95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4.237858344</v>
      </c>
      <c r="F31" s="98">
        <f t="shared" si="12"/>
        <v>5.090902566</v>
      </c>
      <c r="G31" s="95"/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0.2484367658</v>
      </c>
      <c r="E32" s="98">
        <f t="shared" si="13"/>
        <v>0.3745442359</v>
      </c>
      <c r="F32" s="98">
        <f t="shared" si="13"/>
        <v>0.3253888552</v>
      </c>
      <c r="G32" s="95"/>
    </row>
    <row r="33" ht="15.75" customHeight="1">
      <c r="A33" s="85" t="s">
        <v>164</v>
      </c>
      <c r="B33" s="98">
        <f t="shared" ref="B33:F33" si="14">B30*B31*B32</f>
        <v>0.1148685569</v>
      </c>
      <c r="C33" s="98">
        <f t="shared" si="14"/>
        <v>0.08359840765</v>
      </c>
      <c r="D33" s="98">
        <f t="shared" si="14"/>
        <v>0.07011963711</v>
      </c>
      <c r="E33" s="98">
        <f t="shared" si="14"/>
        <v>0.1107774799</v>
      </c>
      <c r="F33" s="98">
        <f t="shared" si="14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102"/>
      <c r="C35" s="95"/>
      <c r="D35" s="95"/>
      <c r="E35" s="95"/>
      <c r="F35" s="95"/>
      <c r="G35" s="95"/>
    </row>
    <row r="36" ht="15.75" customHeight="1">
      <c r="A36" s="85" t="s">
        <v>166</v>
      </c>
      <c r="B36" s="94"/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16037.2017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94"/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104"/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141858</v>
      </c>
      <c r="C41" s="95"/>
      <c r="D41" s="77" t="s">
        <v>171</v>
      </c>
      <c r="E41" s="106"/>
      <c r="F41" s="106"/>
      <c r="G41" s="107"/>
    </row>
    <row r="42" ht="15.75" customHeight="1">
      <c r="A42" s="85" t="s">
        <v>172</v>
      </c>
      <c r="B42" s="108"/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0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0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 t="str">
        <f>(B44/B36)-1</f>
        <v>#DIV/0!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233" t="s">
        <v>241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86">
        <v>75660.0</v>
      </c>
      <c r="C5" s="86">
        <v>70372.0</v>
      </c>
      <c r="D5" s="86">
        <v>88330.0</v>
      </c>
      <c r="E5" s="86">
        <v>118410.0</v>
      </c>
      <c r="F5" s="86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88">
        <v>7355.0</v>
      </c>
      <c r="C6" s="88">
        <v>5411.0</v>
      </c>
      <c r="D6" s="88">
        <v>5752.0</v>
      </c>
      <c r="E6" s="88">
        <v>13122.0</v>
      </c>
      <c r="F6" s="88">
        <v>18626.0</v>
      </c>
      <c r="G6" s="87">
        <f t="shared" si="2"/>
        <v>0.2042242937</v>
      </c>
    </row>
    <row r="7" ht="15.75" customHeight="1">
      <c r="A7" s="85" t="s">
        <v>19</v>
      </c>
      <c r="B7" s="89">
        <v>134.0</v>
      </c>
      <c r="C7" s="89">
        <v>102.0</v>
      </c>
      <c r="D7" s="89">
        <v>127.0</v>
      </c>
      <c r="E7" s="90">
        <v>252.0</v>
      </c>
      <c r="F7" s="89">
        <v>194.0</v>
      </c>
      <c r="G7" s="87">
        <f t="shared" si="2"/>
        <v>0.07681075935</v>
      </c>
    </row>
    <row r="8" ht="15.75" customHeight="1">
      <c r="A8" s="85" t="s">
        <v>146</v>
      </c>
      <c r="B8" s="88">
        <v>5676.0</v>
      </c>
      <c r="C8" s="88">
        <v>4389.0</v>
      </c>
      <c r="D8" s="88">
        <v>3880.0</v>
      </c>
      <c r="E8" s="88">
        <v>8264.0</v>
      </c>
      <c r="F8" s="88">
        <v>13488.0</v>
      </c>
      <c r="G8" s="87">
        <f t="shared" si="2"/>
        <v>0.1889977536</v>
      </c>
    </row>
    <row r="9" ht="15.75" customHeight="1">
      <c r="A9" s="85" t="s">
        <v>147</v>
      </c>
      <c r="B9" s="91">
        <v>0.0</v>
      </c>
      <c r="C9" s="91">
        <v>0.0</v>
      </c>
      <c r="D9" s="91">
        <v>0.0</v>
      </c>
      <c r="E9" s="91">
        <v>0.0</v>
      </c>
      <c r="F9" s="91">
        <v>0.0</v>
      </c>
      <c r="G9" s="87" t="str">
        <f t="shared" si="2"/>
        <v>#DIV/0!</v>
      </c>
    </row>
    <row r="10" ht="15.75" customHeight="1">
      <c r="A10" s="85" t="s">
        <v>148</v>
      </c>
      <c r="B10" s="91">
        <v>0.0</v>
      </c>
      <c r="C10" s="91">
        <v>0.0</v>
      </c>
      <c r="D10" s="91">
        <v>0.0</v>
      </c>
      <c r="E10" s="91">
        <v>0.0</v>
      </c>
      <c r="F10" s="91">
        <v>0.0</v>
      </c>
      <c r="G10" s="87" t="str">
        <f t="shared" si="2"/>
        <v>#DIV/0!</v>
      </c>
    </row>
    <row r="11" ht="15.75" customHeight="1">
      <c r="A11" s="85" t="s">
        <v>149</v>
      </c>
      <c r="B11" s="88">
        <v>3496.0</v>
      </c>
      <c r="C11" s="88">
        <v>8856.0</v>
      </c>
      <c r="D11" s="88">
        <v>1841.0</v>
      </c>
      <c r="E11" s="88">
        <v>10815.0</v>
      </c>
      <c r="F11" s="88">
        <v>16801.0</v>
      </c>
      <c r="G11" s="87">
        <f t="shared" si="2"/>
        <v>0.3688401701</v>
      </c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88">
        <v>49413.0</v>
      </c>
      <c r="C13" s="88">
        <v>52501.0</v>
      </c>
      <c r="D13" s="88">
        <v>55334.0</v>
      </c>
      <c r="E13" s="88">
        <v>74600.0</v>
      </c>
      <c r="F13" s="88">
        <v>85636.0</v>
      </c>
      <c r="G13" s="87">
        <f t="shared" ref="G13:G15" si="3">(F13/B13)^(1/5)-1</f>
        <v>0.1162540056</v>
      </c>
    </row>
    <row r="14" ht="15.75" customHeight="1">
      <c r="A14" s="85" t="s">
        <v>151</v>
      </c>
      <c r="B14" s="88">
        <v>2890.0</v>
      </c>
      <c r="C14" s="88">
        <v>2662.0</v>
      </c>
      <c r="D14" s="88">
        <v>2157.0</v>
      </c>
      <c r="E14" s="88">
        <v>2739.0</v>
      </c>
      <c r="F14" s="88">
        <v>3716.0</v>
      </c>
      <c r="G14" s="87">
        <f t="shared" si="3"/>
        <v>0.05156366773</v>
      </c>
    </row>
    <row r="15" ht="15.75" customHeight="1">
      <c r="A15" s="85" t="s">
        <v>152</v>
      </c>
      <c r="B15" s="88">
        <v>15744.0</v>
      </c>
      <c r="C15" s="88">
        <v>14989.0</v>
      </c>
      <c r="D15" s="88">
        <v>13747.0</v>
      </c>
      <c r="E15" s="88">
        <v>27941.0</v>
      </c>
      <c r="F15" s="88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306">
        <v>9.7</v>
      </c>
      <c r="C18" s="306">
        <v>7.7</v>
      </c>
      <c r="D18" s="306">
        <v>6.5</v>
      </c>
      <c r="E18" s="306">
        <v>11.1</v>
      </c>
      <c r="F18" s="306">
        <v>13.1</v>
      </c>
      <c r="G18" s="95"/>
    </row>
    <row r="19" ht="15.75" customHeight="1">
      <c r="A19" s="85" t="s">
        <v>154</v>
      </c>
      <c r="B19" s="306">
        <v>7.5</v>
      </c>
      <c r="C19" s="306">
        <v>6.2</v>
      </c>
      <c r="D19" s="306">
        <v>4.4</v>
      </c>
      <c r="E19" s="306">
        <v>7.0</v>
      </c>
      <c r="F19" s="306">
        <v>9.5</v>
      </c>
      <c r="G19" s="95"/>
    </row>
    <row r="20" ht="15.75" customHeight="1">
      <c r="A20" s="85" t="s">
        <v>155</v>
      </c>
      <c r="B20" s="98">
        <f t="shared" ref="B20:F20" si="4">B11/B7</f>
        <v>26.08955224</v>
      </c>
      <c r="C20" s="98">
        <f t="shared" si="4"/>
        <v>86.82352941</v>
      </c>
      <c r="D20" s="98">
        <f t="shared" si="4"/>
        <v>14.49606299</v>
      </c>
      <c r="E20" s="98">
        <f t="shared" si="4"/>
        <v>42.91666667</v>
      </c>
      <c r="F20" s="98">
        <f t="shared" si="4"/>
        <v>86.60309278</v>
      </c>
      <c r="G20" s="95"/>
    </row>
    <row r="21" ht="15.75" customHeight="1">
      <c r="A21" s="85" t="s">
        <v>156</v>
      </c>
      <c r="B21" s="98">
        <f t="shared" ref="B21:F21" si="5">B6/B7</f>
        <v>54.8880597</v>
      </c>
      <c r="C21" s="98">
        <f t="shared" si="5"/>
        <v>53.04901961</v>
      </c>
      <c r="D21" s="98">
        <f t="shared" si="5"/>
        <v>45.29133858</v>
      </c>
      <c r="E21" s="98">
        <f t="shared" si="5"/>
        <v>52.07142857</v>
      </c>
      <c r="F21" s="98">
        <f t="shared" si="5"/>
        <v>96.01030928</v>
      </c>
      <c r="G21" s="95"/>
    </row>
    <row r="22" ht="15.75" customHeight="1">
      <c r="A22" s="85" t="s">
        <v>157</v>
      </c>
      <c r="B22" s="306">
        <v>5.8</v>
      </c>
      <c r="C22" s="98">
        <f>5.1</f>
        <v>5.1</v>
      </c>
      <c r="D22" s="306">
        <v>3.9</v>
      </c>
      <c r="E22" s="306">
        <v>3.7</v>
      </c>
      <c r="F22" s="306">
        <v>4.3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>
        <f t="shared" ref="B24:F24" si="6">B8/B13</f>
        <v>0.1148685569</v>
      </c>
      <c r="C24" s="98">
        <f t="shared" si="6"/>
        <v>0.08359840765</v>
      </c>
      <c r="D24" s="98">
        <f t="shared" si="6"/>
        <v>0.07011963711</v>
      </c>
      <c r="E24" s="98">
        <f t="shared" si="6"/>
        <v>0.1107774799</v>
      </c>
      <c r="F24" s="98">
        <f t="shared" si="6"/>
        <v>0.1575038535</v>
      </c>
      <c r="G24" s="95"/>
    </row>
    <row r="25" ht="15.75" customHeight="1">
      <c r="A25" s="85" t="s">
        <v>159</v>
      </c>
      <c r="B25" s="98">
        <f t="shared" ref="B25:F25" si="7">B6/SUM(B13:B14)</f>
        <v>0.1406229088</v>
      </c>
      <c r="C25" s="98">
        <f t="shared" si="7"/>
        <v>0.0980911118</v>
      </c>
      <c r="D25" s="98">
        <f t="shared" si="7"/>
        <v>0.1000504427</v>
      </c>
      <c r="E25" s="98">
        <f t="shared" si="7"/>
        <v>0.1696686019</v>
      </c>
      <c r="F25" s="98">
        <f t="shared" si="7"/>
        <v>0.2084564419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306">
        <v>0.08</v>
      </c>
      <c r="C30" s="306">
        <v>0.06</v>
      </c>
      <c r="D30" s="306">
        <v>0.04</v>
      </c>
      <c r="E30" s="306">
        <v>0.07</v>
      </c>
      <c r="F30" s="306">
        <v>0.1</v>
      </c>
      <c r="G30" s="95"/>
    </row>
    <row r="31" ht="15.75" customHeight="1">
      <c r="A31" s="85" t="s">
        <v>162</v>
      </c>
      <c r="B31" s="98">
        <f t="shared" ref="B31:F31" si="8">B5/B15</f>
        <v>4.805640244</v>
      </c>
      <c r="C31" s="98">
        <f t="shared" si="8"/>
        <v>4.6949096</v>
      </c>
      <c r="D31" s="98">
        <f t="shared" si="8"/>
        <v>6.425401906</v>
      </c>
      <c r="E31" s="98">
        <f t="shared" si="8"/>
        <v>4.237858344</v>
      </c>
      <c r="F31" s="98">
        <f t="shared" si="8"/>
        <v>5.090902566</v>
      </c>
      <c r="G31" s="95"/>
    </row>
    <row r="32" ht="15.75" customHeight="1">
      <c r="A32" s="85" t="s">
        <v>163</v>
      </c>
      <c r="B32" s="98">
        <f>B15/B13</f>
        <v>0.3186206059</v>
      </c>
      <c r="C32" s="306">
        <v>0.29</v>
      </c>
      <c r="D32" s="306">
        <v>0.25</v>
      </c>
      <c r="E32" s="98">
        <f t="shared" ref="E32:F32" si="9">E15/E13</f>
        <v>0.3745442359</v>
      </c>
      <c r="F32" s="98">
        <f t="shared" si="9"/>
        <v>0.3253888552</v>
      </c>
      <c r="G32" s="95"/>
    </row>
    <row r="33" ht="15.75" customHeight="1">
      <c r="A33" s="85" t="s">
        <v>164</v>
      </c>
      <c r="B33" s="306">
        <v>0.11</v>
      </c>
      <c r="C33" s="98">
        <f>C30*C31*C32</f>
        <v>0.08169142705</v>
      </c>
      <c r="D33" s="306">
        <v>0.07</v>
      </c>
      <c r="E33" s="98">
        <f>E30*E31*E32</f>
        <v>0.1111085791</v>
      </c>
      <c r="F33" s="306">
        <v>0.16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94"/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16037.2017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94"/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104"/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141858</v>
      </c>
      <c r="C41" s="95"/>
      <c r="D41" s="77" t="s">
        <v>171</v>
      </c>
      <c r="E41" s="106"/>
      <c r="F41" s="106"/>
      <c r="G41" s="107"/>
    </row>
    <row r="42" ht="15.75" customHeight="1">
      <c r="A42" s="85" t="s">
        <v>172</v>
      </c>
      <c r="B42" s="108"/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0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0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 t="str">
        <f>(B44/B36)-1</f>
        <v>#DIV/0!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>
      <c r="C2" s="39"/>
      <c r="D2" s="39"/>
      <c r="E2" s="39"/>
      <c r="F2" s="39"/>
    </row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35" t="s">
        <v>142</v>
      </c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236">
        <v>75660.0</v>
      </c>
      <c r="C5" s="236">
        <v>70372.0</v>
      </c>
      <c r="D5" s="236">
        <v>88330.0</v>
      </c>
      <c r="E5" s="236">
        <v>118410.0</v>
      </c>
      <c r="F5" s="236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236">
        <v>7355.0</v>
      </c>
      <c r="C6" s="236">
        <v>5411.0</v>
      </c>
      <c r="D6" s="236">
        <v>5752.0</v>
      </c>
      <c r="E6" s="236">
        <v>13122.0</v>
      </c>
      <c r="F6" s="236">
        <v>18626.0</v>
      </c>
      <c r="G6" s="87">
        <f t="shared" si="2"/>
        <v>0.2042242937</v>
      </c>
    </row>
    <row r="7" ht="15.75" customHeight="1">
      <c r="A7" s="85" t="s">
        <v>19</v>
      </c>
      <c r="B7" s="237">
        <v>134.0</v>
      </c>
      <c r="C7" s="237">
        <v>102.0</v>
      </c>
      <c r="D7" s="237">
        <v>127.0</v>
      </c>
      <c r="E7" s="238">
        <v>252.0</v>
      </c>
      <c r="F7" s="237">
        <v>194.0</v>
      </c>
      <c r="G7" s="87">
        <f t="shared" si="2"/>
        <v>0.07681075935</v>
      </c>
    </row>
    <row r="8" ht="15.75" customHeight="1">
      <c r="A8" s="85" t="s">
        <v>146</v>
      </c>
      <c r="B8" s="236">
        <v>5678.0</v>
      </c>
      <c r="C8" s="236">
        <v>4389.0</v>
      </c>
      <c r="D8" s="236">
        <v>3880.0</v>
      </c>
      <c r="E8" s="236">
        <v>8264.0</v>
      </c>
      <c r="F8" s="236">
        <v>13488.0</v>
      </c>
      <c r="G8" s="87">
        <f t="shared" si="2"/>
        <v>0.1889139801</v>
      </c>
    </row>
    <row r="9" ht="15.75" customHeight="1">
      <c r="A9" s="85" t="s">
        <v>147</v>
      </c>
      <c r="B9" s="239"/>
      <c r="C9" s="239"/>
      <c r="D9" s="239"/>
      <c r="E9" s="239"/>
      <c r="F9" s="239"/>
      <c r="G9" s="87" t="str">
        <f t="shared" si="2"/>
        <v>#DIV/0!</v>
      </c>
    </row>
    <row r="10" ht="15.75" customHeight="1">
      <c r="A10" s="85" t="s">
        <v>148</v>
      </c>
      <c r="B10" s="239"/>
      <c r="C10" s="239"/>
      <c r="D10" s="239"/>
      <c r="E10" s="239"/>
      <c r="F10" s="239"/>
      <c r="G10" s="87" t="str">
        <f t="shared" si="2"/>
        <v>#DIV/0!</v>
      </c>
    </row>
    <row r="11" ht="15.75" customHeight="1">
      <c r="A11" s="85" t="s">
        <v>149</v>
      </c>
      <c r="B11" s="236">
        <v>3496.0</v>
      </c>
      <c r="C11" s="236">
        <v>8856.0</v>
      </c>
      <c r="D11" s="236">
        <v>1840.0</v>
      </c>
      <c r="E11" s="236">
        <v>10815.0</v>
      </c>
      <c r="F11" s="236">
        <v>16801.0</v>
      </c>
      <c r="G11" s="87">
        <f t="shared" si="2"/>
        <v>0.3688401701</v>
      </c>
    </row>
    <row r="12" ht="15.75" customHeight="1">
      <c r="A12" s="85"/>
      <c r="B12" s="240"/>
      <c r="C12" s="240"/>
      <c r="D12" s="240"/>
      <c r="E12" s="240"/>
      <c r="F12" s="240"/>
      <c r="G12" s="84"/>
    </row>
    <row r="13" ht="15.75" customHeight="1">
      <c r="A13" s="85" t="s">
        <v>150</v>
      </c>
      <c r="B13" s="236">
        <f>151+49262</f>
        <v>49413</v>
      </c>
      <c r="C13" s="236">
        <f>151+52350</f>
        <v>52501</v>
      </c>
      <c r="D13" s="236">
        <f>151+55182        </f>
        <v>55333</v>
      </c>
      <c r="E13" s="236">
        <v>74600.0</v>
      </c>
      <c r="F13" s="236">
        <f>157+85479</f>
        <v>85636</v>
      </c>
      <c r="G13" s="87">
        <f t="shared" ref="G13:G15" si="3">(F13/B13)^(1/5)-1</f>
        <v>0.1162540056</v>
      </c>
    </row>
    <row r="14" ht="15.75" customHeight="1">
      <c r="A14" s="85" t="s">
        <v>151</v>
      </c>
      <c r="B14" s="236">
        <v>2890.0</v>
      </c>
      <c r="C14" s="236">
        <v>2662.0</v>
      </c>
      <c r="D14" s="236">
        <v>2157.0</v>
      </c>
      <c r="E14" s="236">
        <v>2739.0</v>
      </c>
      <c r="F14" s="236">
        <v>3716.0</v>
      </c>
      <c r="G14" s="87">
        <f t="shared" si="3"/>
        <v>0.05156366773</v>
      </c>
    </row>
    <row r="15" ht="15.75" customHeight="1">
      <c r="A15" s="85" t="s">
        <v>152</v>
      </c>
      <c r="B15" s="236">
        <v>15744.0</v>
      </c>
      <c r="C15" s="236">
        <v>14989.0</v>
      </c>
      <c r="D15" s="236">
        <v>13747.0</v>
      </c>
      <c r="E15" s="236">
        <v>27941.0</v>
      </c>
      <c r="F15" s="236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5"/>
      <c r="D17" s="95"/>
      <c r="E17" s="95"/>
      <c r="F17" s="95"/>
      <c r="G17" s="95"/>
    </row>
    <row r="18" ht="15.75" customHeight="1">
      <c r="A18" s="77" t="s">
        <v>153</v>
      </c>
      <c r="B18" s="241">
        <f t="shared" ref="B18:F18" si="4">B6/B5</f>
        <v>0.09721120804</v>
      </c>
      <c r="C18" s="241">
        <f t="shared" si="4"/>
        <v>0.07689137725</v>
      </c>
      <c r="D18" s="241">
        <f t="shared" si="4"/>
        <v>0.06511943847</v>
      </c>
      <c r="E18" s="241">
        <f t="shared" si="4"/>
        <v>0.110818343</v>
      </c>
      <c r="F18" s="241">
        <f t="shared" si="4"/>
        <v>0.1313003144</v>
      </c>
      <c r="G18" s="95"/>
    </row>
    <row r="19" ht="15.75" customHeight="1">
      <c r="A19" s="85" t="s">
        <v>154</v>
      </c>
      <c r="B19" s="241">
        <f t="shared" ref="B19:F19" si="5">B8/B5</f>
        <v>0.07504625958</v>
      </c>
      <c r="C19" s="241">
        <f t="shared" si="5"/>
        <v>0.06236855568</v>
      </c>
      <c r="D19" s="241">
        <f t="shared" si="5"/>
        <v>0.04392618589</v>
      </c>
      <c r="E19" s="241">
        <f t="shared" si="5"/>
        <v>0.06979140275</v>
      </c>
      <c r="F19" s="241">
        <f t="shared" si="5"/>
        <v>0.09508099649</v>
      </c>
      <c r="G19" s="95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14.48818898</v>
      </c>
      <c r="E20" s="98">
        <f t="shared" si="6"/>
        <v>42.91666667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52.07142857</v>
      </c>
      <c r="F21" s="98">
        <f t="shared" si="7"/>
        <v>96.01030928</v>
      </c>
      <c r="G21" s="95"/>
    </row>
    <row r="22" ht="15.75" customHeight="1">
      <c r="A22" s="85" t="s">
        <v>157</v>
      </c>
      <c r="B22" s="241">
        <f t="shared" ref="B22:F22" si="8">B14/B13</f>
        <v>0.05848663307</v>
      </c>
      <c r="C22" s="241">
        <f t="shared" si="8"/>
        <v>0.05070379612</v>
      </c>
      <c r="D22" s="241">
        <f t="shared" si="8"/>
        <v>0.03898216254</v>
      </c>
      <c r="E22" s="241">
        <f t="shared" si="8"/>
        <v>0.03671581769</v>
      </c>
      <c r="F22" s="241">
        <f t="shared" si="8"/>
        <v>0.04339296558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  <c r="I23" s="242"/>
      <c r="J23" s="242"/>
      <c r="K23" s="242"/>
      <c r="L23" s="242"/>
    </row>
    <row r="24" ht="15.75" customHeight="1">
      <c r="A24" s="85" t="s">
        <v>158</v>
      </c>
      <c r="B24" s="98">
        <f t="shared" ref="B24:F24" si="9">B8/B13</f>
        <v>0.114909032</v>
      </c>
      <c r="C24" s="98">
        <f t="shared" si="9"/>
        <v>0.08359840765</v>
      </c>
      <c r="D24" s="98">
        <f t="shared" si="9"/>
        <v>0.07012090434</v>
      </c>
      <c r="E24" s="98">
        <f t="shared" si="9"/>
        <v>0.1107774799</v>
      </c>
      <c r="F24" s="98">
        <f t="shared" si="9"/>
        <v>0.1575038535</v>
      </c>
      <c r="G24" s="95"/>
      <c r="I24" s="242"/>
      <c r="J24" s="242"/>
      <c r="K24" s="242"/>
      <c r="L24" s="242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0.100052183</v>
      </c>
      <c r="E25" s="98">
        <f t="shared" si="10"/>
        <v>0.1696686019</v>
      </c>
      <c r="F25" s="98">
        <f t="shared" si="10"/>
        <v>0.2084564419</v>
      </c>
      <c r="G25" s="95"/>
      <c r="I25" s="242" t="s">
        <v>144</v>
      </c>
      <c r="J25" s="242">
        <v>1000.0</v>
      </c>
      <c r="K25" s="243">
        <v>1.0</v>
      </c>
      <c r="L25" s="242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  <c r="I26" s="242" t="s">
        <v>222</v>
      </c>
      <c r="J26" s="242">
        <v>600.0</v>
      </c>
      <c r="K26" s="243"/>
      <c r="L26" s="242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  <c r="I27" s="242" t="s">
        <v>223</v>
      </c>
      <c r="J27" s="242">
        <f>J25-J26</f>
        <v>400</v>
      </c>
      <c r="K27" s="243">
        <f>J27/J25</f>
        <v>0.4</v>
      </c>
      <c r="L27" s="242"/>
    </row>
    <row r="28" ht="15.75" customHeight="1">
      <c r="A28" s="85"/>
      <c r="B28" s="99"/>
      <c r="C28" s="99"/>
      <c r="D28" s="99"/>
      <c r="E28" s="99"/>
      <c r="F28" s="99"/>
      <c r="G28" s="95"/>
      <c r="I28" s="242" t="s">
        <v>224</v>
      </c>
      <c r="J28" s="242">
        <f>J25*30%</f>
        <v>300</v>
      </c>
      <c r="K28" s="243"/>
      <c r="L28" s="242"/>
    </row>
    <row r="29" ht="15.75" customHeight="1">
      <c r="A29" s="85"/>
      <c r="B29" s="99"/>
      <c r="C29" s="99"/>
      <c r="D29" s="99"/>
      <c r="E29" s="99"/>
      <c r="F29" s="99"/>
      <c r="G29" s="95"/>
      <c r="I29" s="242" t="s">
        <v>225</v>
      </c>
      <c r="J29" s="242">
        <f>J27-J28</f>
        <v>100</v>
      </c>
      <c r="K29" s="243">
        <f>J29/$J$25</f>
        <v>0.1</v>
      </c>
      <c r="L29" s="15" t="s">
        <v>226</v>
      </c>
    </row>
    <row r="30" ht="15.75" customHeight="1">
      <c r="A30" s="85" t="s">
        <v>154</v>
      </c>
      <c r="B30" s="98">
        <f t="shared" ref="B30:F30" si="11">B19</f>
        <v>0.07504625958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0.06979140275</v>
      </c>
      <c r="F30" s="98">
        <f t="shared" si="11"/>
        <v>0.09508099649</v>
      </c>
      <c r="G30" s="95"/>
      <c r="I30" s="242" t="s">
        <v>227</v>
      </c>
      <c r="J30" s="242">
        <f>J29*35%</f>
        <v>35</v>
      </c>
      <c r="K30" s="243"/>
      <c r="L30" s="242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4.237858344</v>
      </c>
      <c r="F31" s="98">
        <f t="shared" si="12"/>
        <v>5.090902566</v>
      </c>
      <c r="G31" s="95"/>
      <c r="I31" s="242" t="s">
        <v>228</v>
      </c>
      <c r="J31" s="242">
        <f>J29-J30</f>
        <v>65</v>
      </c>
      <c r="K31" s="307">
        <f>J31/$J$25</f>
        <v>0.065</v>
      </c>
      <c r="L31" s="242" t="s">
        <v>229</v>
      </c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0.2484412557</v>
      </c>
      <c r="E32" s="98">
        <f t="shared" si="13"/>
        <v>0.3745442359</v>
      </c>
      <c r="F32" s="98">
        <f t="shared" si="13"/>
        <v>0.3253888552</v>
      </c>
      <c r="G32" s="95"/>
      <c r="I32" s="242"/>
      <c r="J32" s="242"/>
      <c r="K32" s="242"/>
      <c r="L32" s="242"/>
    </row>
    <row r="33" ht="15.75" customHeight="1">
      <c r="A33" s="85" t="s">
        <v>164</v>
      </c>
      <c r="B33" s="98">
        <f t="shared" ref="B33:F33" si="14">B30*B31*B32</f>
        <v>0.114909032</v>
      </c>
      <c r="C33" s="98">
        <f t="shared" si="14"/>
        <v>0.08359840765</v>
      </c>
      <c r="D33" s="98">
        <f t="shared" si="14"/>
        <v>0.07012090434</v>
      </c>
      <c r="E33" s="98">
        <f t="shared" si="14"/>
        <v>0.1107774799</v>
      </c>
      <c r="F33" s="98">
        <f t="shared" si="14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308">
        <v>489745.0</v>
      </c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16036.07176</v>
      </c>
      <c r="C37" s="245" t="s">
        <v>230</v>
      </c>
      <c r="D37" s="95"/>
      <c r="E37" s="95"/>
      <c r="F37" s="95"/>
      <c r="G37" s="95"/>
    </row>
    <row r="38" ht="15.75" customHeight="1">
      <c r="A38" s="85" t="s">
        <v>168</v>
      </c>
      <c r="B38" s="88">
        <v>33.1</v>
      </c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246">
        <v>40.0</v>
      </c>
      <c r="C40" s="245" t="s">
        <v>231</v>
      </c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215748.2858</v>
      </c>
      <c r="C41" s="95"/>
      <c r="D41" s="77" t="s">
        <v>171</v>
      </c>
      <c r="E41" s="106"/>
      <c r="F41" s="106"/>
      <c r="G41" s="247">
        <v>0.15</v>
      </c>
      <c r="H41" s="309" t="s">
        <v>233</v>
      </c>
    </row>
    <row r="42" ht="15.75" customHeight="1">
      <c r="A42" s="85" t="s">
        <v>172</v>
      </c>
      <c r="B42" s="292">
        <v>0.1</v>
      </c>
      <c r="C42" s="245" t="s">
        <v>233</v>
      </c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21574.82858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862993.143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>
        <f>(B44/B36)-1</f>
        <v>0.7621275215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86">
        <v>75660.0</v>
      </c>
      <c r="C5" s="86">
        <v>70372.0</v>
      </c>
      <c r="D5" s="86">
        <v>88330.0</v>
      </c>
      <c r="E5" s="86">
        <v>117571.0</v>
      </c>
      <c r="F5" s="86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88">
        <v>7355.0</v>
      </c>
      <c r="C6" s="88">
        <v>5411.0</v>
      </c>
      <c r="D6" s="88">
        <v>5752.0</v>
      </c>
      <c r="E6" s="88">
        <v>11029.0</v>
      </c>
      <c r="F6" s="88">
        <v>18626.0</v>
      </c>
      <c r="G6" s="87">
        <f t="shared" si="2"/>
        <v>0.2042242937</v>
      </c>
    </row>
    <row r="7" ht="15.75" customHeight="1">
      <c r="A7" s="85" t="s">
        <v>19</v>
      </c>
      <c r="B7" s="89">
        <v>134.0</v>
      </c>
      <c r="C7" s="89">
        <v>102.0</v>
      </c>
      <c r="D7" s="89">
        <v>127.0</v>
      </c>
      <c r="E7" s="90">
        <v>252.0</v>
      </c>
      <c r="F7" s="89">
        <v>194.0</v>
      </c>
      <c r="G7" s="87">
        <f t="shared" si="2"/>
        <v>0.07681075935</v>
      </c>
    </row>
    <row r="8" ht="15.75" customHeight="1">
      <c r="A8" s="85" t="s">
        <v>146</v>
      </c>
      <c r="B8" s="291">
        <v>5678.0</v>
      </c>
      <c r="C8" s="88">
        <v>4389.0</v>
      </c>
      <c r="D8" s="88">
        <v>3880.0</v>
      </c>
      <c r="E8" s="88">
        <v>8211.0</v>
      </c>
      <c r="F8" s="88">
        <v>13488.0</v>
      </c>
      <c r="G8" s="87">
        <f t="shared" si="2"/>
        <v>0.1889139801</v>
      </c>
    </row>
    <row r="9" ht="15.75" customHeight="1">
      <c r="A9" s="85" t="s">
        <v>147</v>
      </c>
      <c r="B9" s="283" t="s">
        <v>218</v>
      </c>
      <c r="C9" s="283" t="s">
        <v>218</v>
      </c>
      <c r="D9" s="283" t="s">
        <v>218</v>
      </c>
      <c r="E9" s="283" t="s">
        <v>218</v>
      </c>
      <c r="F9" s="283" t="s">
        <v>218</v>
      </c>
      <c r="G9" s="87" t="str">
        <f t="shared" si="2"/>
        <v>#VALUE!</v>
      </c>
    </row>
    <row r="10" ht="15.75" customHeight="1">
      <c r="A10" s="85" t="s">
        <v>148</v>
      </c>
      <c r="B10" s="283" t="s">
        <v>218</v>
      </c>
      <c r="C10" s="283" t="s">
        <v>218</v>
      </c>
      <c r="D10" s="283" t="s">
        <v>218</v>
      </c>
      <c r="E10" s="283" t="s">
        <v>218</v>
      </c>
      <c r="F10" s="283" t="s">
        <v>218</v>
      </c>
      <c r="G10" s="87" t="str">
        <f t="shared" si="2"/>
        <v>#VALUE!</v>
      </c>
    </row>
    <row r="11" ht="15.75" customHeight="1">
      <c r="A11" s="85" t="s">
        <v>149</v>
      </c>
      <c r="B11" s="88">
        <v>3496.0</v>
      </c>
      <c r="C11" s="88">
        <v>8856.0</v>
      </c>
      <c r="D11" s="88">
        <v>1840.0</v>
      </c>
      <c r="E11" s="88">
        <v>9251.0</v>
      </c>
      <c r="F11" s="88">
        <v>16801.0</v>
      </c>
      <c r="G11" s="87">
        <f t="shared" si="2"/>
        <v>0.3688401701</v>
      </c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88">
        <v>49413.0</v>
      </c>
      <c r="C13" s="88">
        <v>52501.0</v>
      </c>
      <c r="D13" s="88">
        <v>55333.0</v>
      </c>
      <c r="E13" s="88">
        <v>61791.0</v>
      </c>
      <c r="F13" s="88">
        <v>85630.0</v>
      </c>
      <c r="G13" s="87">
        <f t="shared" ref="G13:G15" si="3">(F13/B13)^(1/5)-1</f>
        <v>0.1162383633</v>
      </c>
    </row>
    <row r="14" ht="15.75" customHeight="1">
      <c r="A14" s="85" t="s">
        <v>151</v>
      </c>
      <c r="B14" s="88">
        <v>2890.0</v>
      </c>
      <c r="C14" s="88">
        <v>2662.0</v>
      </c>
      <c r="D14" s="88">
        <v>2157.0</v>
      </c>
      <c r="E14" s="88">
        <v>2739.0</v>
      </c>
      <c r="F14" s="88">
        <v>3716.0</v>
      </c>
      <c r="G14" s="87">
        <f t="shared" si="3"/>
        <v>0.05156366773</v>
      </c>
    </row>
    <row r="15" ht="15.75" customHeight="1">
      <c r="A15" s="85" t="s">
        <v>152</v>
      </c>
      <c r="B15" s="88">
        <v>15744.0</v>
      </c>
      <c r="C15" s="88">
        <v>14989.0</v>
      </c>
      <c r="D15" s="88">
        <v>13747.0</v>
      </c>
      <c r="E15" s="88">
        <v>17830.0</v>
      </c>
      <c r="F15" s="88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279">
        <f t="shared" ref="B18:F18" si="4">B6/B5</f>
        <v>0.09721120804</v>
      </c>
      <c r="C18" s="279">
        <f t="shared" si="4"/>
        <v>0.07689137725</v>
      </c>
      <c r="D18" s="98">
        <f t="shared" si="4"/>
        <v>0.06511943847</v>
      </c>
      <c r="E18" s="98">
        <f t="shared" si="4"/>
        <v>0.09380714632</v>
      </c>
      <c r="F18" s="98">
        <f t="shared" si="4"/>
        <v>0.1313003144</v>
      </c>
      <c r="G18" s="95"/>
    </row>
    <row r="19" ht="15.75" customHeight="1">
      <c r="A19" s="85" t="s">
        <v>154</v>
      </c>
      <c r="B19" s="98">
        <f t="shared" ref="B19:F19" si="5">B8/B5</f>
        <v>0.07504625958</v>
      </c>
      <c r="C19" s="98">
        <f t="shared" si="5"/>
        <v>0.06236855568</v>
      </c>
      <c r="D19" s="98">
        <f t="shared" si="5"/>
        <v>0.04392618589</v>
      </c>
      <c r="E19" s="98">
        <f t="shared" si="5"/>
        <v>0.06983865069</v>
      </c>
      <c r="F19" s="98">
        <f t="shared" si="5"/>
        <v>0.09508099649</v>
      </c>
      <c r="G19" s="95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14.48818898</v>
      </c>
      <c r="E20" s="98">
        <f t="shared" si="6"/>
        <v>36.71031746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43.76587302</v>
      </c>
      <c r="F21" s="98">
        <f t="shared" si="7"/>
        <v>96.01030928</v>
      </c>
      <c r="G21" s="95"/>
    </row>
    <row r="22" ht="15.75" customHeight="1">
      <c r="A22" s="85" t="s">
        <v>157</v>
      </c>
      <c r="B22" s="98">
        <f t="shared" ref="B22:F22" si="8">B14/B13</f>
        <v>0.05848663307</v>
      </c>
      <c r="C22" s="98">
        <f t="shared" si="8"/>
        <v>0.05070379612</v>
      </c>
      <c r="D22" s="98">
        <f t="shared" si="8"/>
        <v>0.03898216254</v>
      </c>
      <c r="E22" s="98">
        <f t="shared" si="8"/>
        <v>0.04432684372</v>
      </c>
      <c r="F22" s="98">
        <f t="shared" si="8"/>
        <v>0.04339600607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>
        <f t="shared" ref="B24:F24" si="9">B8/B13</f>
        <v>0.114909032</v>
      </c>
      <c r="C24" s="98">
        <f t="shared" si="9"/>
        <v>0.08359840765</v>
      </c>
      <c r="D24" s="98">
        <f t="shared" si="9"/>
        <v>0.07012090434</v>
      </c>
      <c r="E24" s="98">
        <f t="shared" si="9"/>
        <v>0.1328834296</v>
      </c>
      <c r="F24" s="98">
        <f t="shared" si="9"/>
        <v>0.1575148896</v>
      </c>
      <c r="G24" s="95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0.100052183</v>
      </c>
      <c r="E25" s="98">
        <f t="shared" si="10"/>
        <v>0.1709127538</v>
      </c>
      <c r="F25" s="98">
        <f t="shared" si="10"/>
        <v>0.2084704408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>
        <f t="shared" ref="B30:F30" si="11">B19</f>
        <v>0.07504625958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0.06983865069</v>
      </c>
      <c r="F30" s="98">
        <f t="shared" si="11"/>
        <v>0.09508099649</v>
      </c>
      <c r="G30" s="95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6.593998878</v>
      </c>
      <c r="F31" s="98">
        <f t="shared" si="12"/>
        <v>5.090902566</v>
      </c>
      <c r="G31" s="95"/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0.2484412557</v>
      </c>
      <c r="E32" s="98">
        <f t="shared" si="13"/>
        <v>0.2885533492</v>
      </c>
      <c r="F32" s="98">
        <f t="shared" si="13"/>
        <v>0.3254116548</v>
      </c>
      <c r="G32" s="95"/>
    </row>
    <row r="33" ht="15.75" customHeight="1">
      <c r="A33" s="85" t="s">
        <v>164</v>
      </c>
      <c r="B33" s="98">
        <f t="shared" ref="B33:F33" si="14">B30*B31*B32</f>
        <v>0.114909032</v>
      </c>
      <c r="C33" s="98">
        <f t="shared" si="14"/>
        <v>0.08359840765</v>
      </c>
      <c r="D33" s="98">
        <f t="shared" si="14"/>
        <v>0.07012090434</v>
      </c>
      <c r="E33" s="98">
        <f t="shared" si="14"/>
        <v>0.1328834296</v>
      </c>
      <c r="F33" s="98">
        <f t="shared" si="14"/>
        <v>0.1575148896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94"/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16036.07176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94"/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104"/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141858</v>
      </c>
      <c r="C41" s="95"/>
      <c r="D41" s="77" t="s">
        <v>171</v>
      </c>
      <c r="E41" s="106"/>
      <c r="F41" s="106"/>
      <c r="G41" s="107"/>
    </row>
    <row r="42" ht="15.75" customHeight="1">
      <c r="A42" s="85" t="s">
        <v>172</v>
      </c>
      <c r="B42" s="108"/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0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0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 t="str">
        <f>(B44/B36)-1</f>
        <v>#DIV/0!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310"/>
      <c r="C5" s="310"/>
      <c r="D5" s="310"/>
      <c r="E5" s="310"/>
      <c r="F5" s="310"/>
      <c r="G5" s="87" t="str">
        <f t="shared" ref="G5:G11" si="2">(F5/B5)^(1/5)-1</f>
        <v>#DIV/0!</v>
      </c>
    </row>
    <row r="6" ht="15.75" customHeight="1">
      <c r="A6" s="85" t="s">
        <v>145</v>
      </c>
      <c r="B6" s="94"/>
      <c r="C6" s="94"/>
      <c r="D6" s="94"/>
      <c r="E6" s="94"/>
      <c r="F6" s="94"/>
      <c r="G6" s="87" t="str">
        <f t="shared" si="2"/>
        <v>#DIV/0!</v>
      </c>
    </row>
    <row r="7" ht="15.75" customHeight="1">
      <c r="A7" s="85" t="s">
        <v>19</v>
      </c>
      <c r="B7" s="311"/>
      <c r="C7" s="311"/>
      <c r="D7" s="311"/>
      <c r="E7" s="312"/>
      <c r="F7" s="311"/>
      <c r="G7" s="87" t="str">
        <f t="shared" si="2"/>
        <v>#DIV/0!</v>
      </c>
    </row>
    <row r="8" ht="15.75" customHeight="1">
      <c r="A8" s="85" t="s">
        <v>146</v>
      </c>
      <c r="B8" s="94"/>
      <c r="C8" s="94"/>
      <c r="D8" s="94"/>
      <c r="E8" s="94"/>
      <c r="F8" s="94"/>
      <c r="G8" s="87" t="str">
        <f t="shared" si="2"/>
        <v>#DIV/0!</v>
      </c>
    </row>
    <row r="9" ht="15.75" customHeight="1">
      <c r="A9" s="85" t="s">
        <v>147</v>
      </c>
      <c r="B9" s="283" t="s">
        <v>218</v>
      </c>
      <c r="C9" s="283" t="s">
        <v>218</v>
      </c>
      <c r="D9" s="283" t="s">
        <v>218</v>
      </c>
      <c r="E9" s="283" t="s">
        <v>218</v>
      </c>
      <c r="F9" s="283" t="s">
        <v>218</v>
      </c>
      <c r="G9" s="87" t="str">
        <f t="shared" si="2"/>
        <v>#VALUE!</v>
      </c>
    </row>
    <row r="10" ht="15.75" customHeight="1">
      <c r="A10" s="85" t="s">
        <v>148</v>
      </c>
      <c r="B10" s="283" t="s">
        <v>218</v>
      </c>
      <c r="C10" s="283" t="s">
        <v>218</v>
      </c>
      <c r="D10" s="283" t="s">
        <v>218</v>
      </c>
      <c r="E10" s="283" t="s">
        <v>218</v>
      </c>
      <c r="F10" s="283" t="s">
        <v>218</v>
      </c>
      <c r="G10" s="87" t="str">
        <f t="shared" si="2"/>
        <v>#VALUE!</v>
      </c>
    </row>
    <row r="11" ht="15.75" customHeight="1">
      <c r="A11" s="85" t="s">
        <v>149</v>
      </c>
      <c r="B11" s="94"/>
      <c r="C11" s="94"/>
      <c r="D11" s="94"/>
      <c r="E11" s="94"/>
      <c r="F11" s="94"/>
      <c r="G11" s="87" t="str">
        <f t="shared" si="2"/>
        <v>#DIV/0!</v>
      </c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94"/>
      <c r="C13" s="94"/>
      <c r="D13" s="94"/>
      <c r="E13" s="94"/>
      <c r="F13" s="94"/>
      <c r="G13" s="87" t="str">
        <f t="shared" ref="G13:G15" si="3">(F13/B13)^(1/5)-1</f>
        <v>#DIV/0!</v>
      </c>
    </row>
    <row r="14" ht="15.75" customHeight="1">
      <c r="A14" s="85" t="s">
        <v>151</v>
      </c>
      <c r="B14" s="94"/>
      <c r="C14" s="94"/>
      <c r="D14" s="94"/>
      <c r="E14" s="94"/>
      <c r="F14" s="94"/>
      <c r="G14" s="87" t="str">
        <f t="shared" si="3"/>
        <v>#DIV/0!</v>
      </c>
    </row>
    <row r="15" ht="15.75" customHeight="1">
      <c r="A15" s="85" t="s">
        <v>152</v>
      </c>
      <c r="B15" s="94"/>
      <c r="C15" s="94"/>
      <c r="D15" s="94"/>
      <c r="E15" s="94"/>
      <c r="F15" s="94"/>
      <c r="G15" s="87" t="str">
        <f t="shared" si="3"/>
        <v>#DIV/0!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98" t="str">
        <f t="shared" ref="B18:F18" si="4">B6/B5</f>
        <v>#DIV/0!</v>
      </c>
      <c r="C18" s="98" t="str">
        <f t="shared" si="4"/>
        <v>#DIV/0!</v>
      </c>
      <c r="D18" s="98" t="str">
        <f t="shared" si="4"/>
        <v>#DIV/0!</v>
      </c>
      <c r="E18" s="98" t="str">
        <f t="shared" si="4"/>
        <v>#DIV/0!</v>
      </c>
      <c r="F18" s="98" t="str">
        <f t="shared" si="4"/>
        <v>#DIV/0!</v>
      </c>
      <c r="G18" s="95"/>
    </row>
    <row r="19" ht="15.75" customHeight="1">
      <c r="A19" s="85" t="s">
        <v>154</v>
      </c>
      <c r="B19" s="98" t="str">
        <f t="shared" ref="B19:F19" si="5">B8/B5</f>
        <v>#DIV/0!</v>
      </c>
      <c r="C19" s="98" t="str">
        <f t="shared" si="5"/>
        <v>#DIV/0!</v>
      </c>
      <c r="D19" s="98" t="str">
        <f t="shared" si="5"/>
        <v>#DIV/0!</v>
      </c>
      <c r="E19" s="98" t="str">
        <f t="shared" si="5"/>
        <v>#DIV/0!</v>
      </c>
      <c r="F19" s="98" t="str">
        <f t="shared" si="5"/>
        <v>#DIV/0!</v>
      </c>
      <c r="G19" s="95"/>
    </row>
    <row r="20" ht="15.75" customHeight="1">
      <c r="A20" s="85" t="s">
        <v>155</v>
      </c>
      <c r="B20" s="98" t="str">
        <f t="shared" ref="B20:F20" si="6">B11/B7</f>
        <v>#DIV/0!</v>
      </c>
      <c r="C20" s="98" t="str">
        <f t="shared" si="6"/>
        <v>#DIV/0!</v>
      </c>
      <c r="D20" s="98" t="str">
        <f t="shared" si="6"/>
        <v>#DIV/0!</v>
      </c>
      <c r="E20" s="98" t="str">
        <f t="shared" si="6"/>
        <v>#DIV/0!</v>
      </c>
      <c r="F20" s="98" t="str">
        <f t="shared" si="6"/>
        <v>#DIV/0!</v>
      </c>
      <c r="G20" s="95"/>
    </row>
    <row r="21" ht="15.75" customHeight="1">
      <c r="A21" s="85" t="s">
        <v>156</v>
      </c>
      <c r="B21" s="98" t="str">
        <f t="shared" ref="B21:F21" si="7">B6/B7</f>
        <v>#DIV/0!</v>
      </c>
      <c r="C21" s="98" t="str">
        <f t="shared" si="7"/>
        <v>#DIV/0!</v>
      </c>
      <c r="D21" s="98" t="str">
        <f t="shared" si="7"/>
        <v>#DIV/0!</v>
      </c>
      <c r="E21" s="98" t="str">
        <f t="shared" si="7"/>
        <v>#DIV/0!</v>
      </c>
      <c r="F21" s="98" t="str">
        <f t="shared" si="7"/>
        <v>#DIV/0!</v>
      </c>
      <c r="G21" s="95"/>
    </row>
    <row r="22" ht="15.75" customHeight="1">
      <c r="A22" s="85" t="s">
        <v>157</v>
      </c>
      <c r="B22" s="98" t="str">
        <f t="shared" ref="B22:F22" si="8">B14/B13</f>
        <v>#DIV/0!</v>
      </c>
      <c r="C22" s="98" t="str">
        <f t="shared" si="8"/>
        <v>#DIV/0!</v>
      </c>
      <c r="D22" s="98" t="str">
        <f t="shared" si="8"/>
        <v>#DIV/0!</v>
      </c>
      <c r="E22" s="98" t="str">
        <f t="shared" si="8"/>
        <v>#DIV/0!</v>
      </c>
      <c r="F22" s="98" t="str">
        <f t="shared" si="8"/>
        <v>#DIV/0!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 t="str">
        <f t="shared" ref="B24:F24" si="9">B8/B13</f>
        <v>#DIV/0!</v>
      </c>
      <c r="C24" s="98" t="str">
        <f t="shared" si="9"/>
        <v>#DIV/0!</v>
      </c>
      <c r="D24" s="98" t="str">
        <f t="shared" si="9"/>
        <v>#DIV/0!</v>
      </c>
      <c r="E24" s="98" t="str">
        <f t="shared" si="9"/>
        <v>#DIV/0!</v>
      </c>
      <c r="F24" s="98" t="str">
        <f t="shared" si="9"/>
        <v>#DIV/0!</v>
      </c>
      <c r="G24" s="95"/>
    </row>
    <row r="25" ht="15.75" customHeight="1">
      <c r="A25" s="85" t="s">
        <v>159</v>
      </c>
      <c r="B25" s="98" t="str">
        <f t="shared" ref="B25:F25" si="10">B6/SUM(B13:B14)</f>
        <v>#DIV/0!</v>
      </c>
      <c r="C25" s="98" t="str">
        <f t="shared" si="10"/>
        <v>#DIV/0!</v>
      </c>
      <c r="D25" s="98" t="str">
        <f t="shared" si="10"/>
        <v>#DIV/0!</v>
      </c>
      <c r="E25" s="98" t="str">
        <f t="shared" si="10"/>
        <v>#DIV/0!</v>
      </c>
      <c r="F25" s="98" t="str">
        <f t="shared" si="10"/>
        <v>#DIV/0!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 t="str">
        <f t="shared" ref="B30:F30" si="11">B19</f>
        <v>#DIV/0!</v>
      </c>
      <c r="C30" s="98" t="str">
        <f t="shared" si="11"/>
        <v>#DIV/0!</v>
      </c>
      <c r="D30" s="98" t="str">
        <f t="shared" si="11"/>
        <v>#DIV/0!</v>
      </c>
      <c r="E30" s="98" t="str">
        <f t="shared" si="11"/>
        <v>#DIV/0!</v>
      </c>
      <c r="F30" s="98" t="str">
        <f t="shared" si="11"/>
        <v>#DIV/0!</v>
      </c>
      <c r="G30" s="95"/>
    </row>
    <row r="31" ht="15.75" customHeight="1">
      <c r="A31" s="85" t="s">
        <v>162</v>
      </c>
      <c r="B31" s="98" t="str">
        <f t="shared" ref="B31:F31" si="12">B5/B15</f>
        <v>#DIV/0!</v>
      </c>
      <c r="C31" s="98" t="str">
        <f t="shared" si="12"/>
        <v>#DIV/0!</v>
      </c>
      <c r="D31" s="98" t="str">
        <f t="shared" si="12"/>
        <v>#DIV/0!</v>
      </c>
      <c r="E31" s="98" t="str">
        <f t="shared" si="12"/>
        <v>#DIV/0!</v>
      </c>
      <c r="F31" s="98" t="str">
        <f t="shared" si="12"/>
        <v>#DIV/0!</v>
      </c>
      <c r="G31" s="95"/>
    </row>
    <row r="32" ht="15.75" customHeight="1">
      <c r="A32" s="85" t="s">
        <v>163</v>
      </c>
      <c r="B32" s="98" t="str">
        <f t="shared" ref="B32:F32" si="13">B15/B13</f>
        <v>#DIV/0!</v>
      </c>
      <c r="C32" s="98" t="str">
        <f t="shared" si="13"/>
        <v>#DIV/0!</v>
      </c>
      <c r="D32" s="98" t="str">
        <f t="shared" si="13"/>
        <v>#DIV/0!</v>
      </c>
      <c r="E32" s="98" t="str">
        <f t="shared" si="13"/>
        <v>#DIV/0!</v>
      </c>
      <c r="F32" s="98" t="str">
        <f t="shared" si="13"/>
        <v>#DIV/0!</v>
      </c>
      <c r="G32" s="95"/>
    </row>
    <row r="33" ht="15.75" customHeight="1">
      <c r="A33" s="85" t="s">
        <v>164</v>
      </c>
      <c r="B33" s="98" t="str">
        <f t="shared" ref="B33:F33" si="14">B30*B31*B32</f>
        <v>#DIV/0!</v>
      </c>
      <c r="C33" s="98" t="str">
        <f t="shared" si="14"/>
        <v>#DIV/0!</v>
      </c>
      <c r="D33" s="98" t="str">
        <f t="shared" si="14"/>
        <v>#DIV/0!</v>
      </c>
      <c r="E33" s="98" t="str">
        <f t="shared" si="14"/>
        <v>#DIV/0!</v>
      </c>
      <c r="F33" s="98" t="str">
        <f t="shared" si="14"/>
        <v>#DIV/0!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102"/>
      <c r="C35" s="95"/>
      <c r="D35" s="95"/>
      <c r="E35" s="95"/>
      <c r="F35" s="95"/>
      <c r="G35" s="95"/>
    </row>
    <row r="36" ht="15.75" customHeight="1">
      <c r="A36" s="85" t="s">
        <v>166</v>
      </c>
      <c r="B36" s="94"/>
      <c r="C36" s="95"/>
      <c r="D36" s="95"/>
      <c r="E36" s="95"/>
      <c r="F36" s="95"/>
      <c r="G36" s="95"/>
    </row>
    <row r="37" ht="15.75" customHeight="1">
      <c r="A37" s="85" t="s">
        <v>167</v>
      </c>
      <c r="B37" s="103" t="str">
        <f>F8*(1+G8)</f>
        <v>#DIV/0!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94"/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104"/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0</v>
      </c>
      <c r="C41" s="95"/>
      <c r="D41" s="77" t="s">
        <v>171</v>
      </c>
      <c r="E41" s="106"/>
      <c r="F41" s="106"/>
      <c r="G41" s="107"/>
    </row>
    <row r="42" ht="15.75" customHeight="1">
      <c r="A42" s="85" t="s">
        <v>172</v>
      </c>
      <c r="B42" s="108"/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0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0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 t="str">
        <f>(B44/B36)-1</f>
        <v>#DIV/0!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86">
        <v>75660.0</v>
      </c>
      <c r="C5" s="86">
        <v>70372.0</v>
      </c>
      <c r="D5" s="86">
        <v>88330.0</v>
      </c>
      <c r="E5" s="86">
        <v>117571.0</v>
      </c>
      <c r="F5" s="86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88">
        <v>7355.0</v>
      </c>
      <c r="C6" s="88">
        <v>5411.0</v>
      </c>
      <c r="D6" s="88">
        <v>5752.0</v>
      </c>
      <c r="E6" s="88">
        <v>11029.0</v>
      </c>
      <c r="F6" s="88">
        <v>18626.0</v>
      </c>
      <c r="G6" s="87">
        <f t="shared" si="2"/>
        <v>0.2042242937</v>
      </c>
    </row>
    <row r="7" ht="15.75" customHeight="1">
      <c r="A7" s="85" t="s">
        <v>19</v>
      </c>
      <c r="B7" s="89">
        <v>134.0</v>
      </c>
      <c r="C7" s="89">
        <v>102.0</v>
      </c>
      <c r="D7" s="89">
        <v>127.0</v>
      </c>
      <c r="E7" s="90">
        <v>187.0</v>
      </c>
      <c r="F7" s="89">
        <v>194.0</v>
      </c>
      <c r="G7" s="87">
        <f t="shared" si="2"/>
        <v>0.07681075935</v>
      </c>
    </row>
    <row r="8" ht="15.75" customHeight="1">
      <c r="A8" s="85" t="s">
        <v>146</v>
      </c>
      <c r="B8" s="88">
        <v>5678.0</v>
      </c>
      <c r="C8" s="88">
        <v>4389.0</v>
      </c>
      <c r="D8" s="88">
        <v>3880.0</v>
      </c>
      <c r="E8" s="88">
        <v>8211.0</v>
      </c>
      <c r="F8" s="88">
        <v>13488.0</v>
      </c>
      <c r="G8" s="87">
        <f t="shared" si="2"/>
        <v>0.1889139801</v>
      </c>
    </row>
    <row r="9" ht="15.75" customHeight="1">
      <c r="A9" s="85" t="s">
        <v>147</v>
      </c>
      <c r="B9" s="283" t="s">
        <v>218</v>
      </c>
      <c r="C9" s="283" t="s">
        <v>218</v>
      </c>
      <c r="D9" s="283" t="s">
        <v>218</v>
      </c>
      <c r="E9" s="283" t="s">
        <v>218</v>
      </c>
      <c r="F9" s="283" t="s">
        <v>218</v>
      </c>
      <c r="G9" s="87" t="str">
        <f t="shared" si="2"/>
        <v>#VALUE!</v>
      </c>
    </row>
    <row r="10" ht="15.75" customHeight="1">
      <c r="A10" s="85" t="s">
        <v>148</v>
      </c>
      <c r="B10" s="283" t="s">
        <v>218</v>
      </c>
      <c r="C10" s="283" t="s">
        <v>218</v>
      </c>
      <c r="D10" s="283" t="s">
        <v>218</v>
      </c>
      <c r="E10" s="283" t="s">
        <v>218</v>
      </c>
      <c r="F10" s="283" t="s">
        <v>218</v>
      </c>
      <c r="G10" s="87" t="str">
        <f t="shared" si="2"/>
        <v>#VALUE!</v>
      </c>
    </row>
    <row r="11" ht="15.75" customHeight="1">
      <c r="A11" s="85" t="s">
        <v>149</v>
      </c>
      <c r="B11" s="88">
        <v>3496.0</v>
      </c>
      <c r="C11" s="88">
        <v>8856.0</v>
      </c>
      <c r="D11" s="88">
        <v>1840.0</v>
      </c>
      <c r="E11" s="88">
        <v>9251.0</v>
      </c>
      <c r="F11" s="88">
        <v>16801.0</v>
      </c>
      <c r="G11" s="87">
        <f t="shared" si="2"/>
        <v>0.3688401701</v>
      </c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88">
        <v>49413.0</v>
      </c>
      <c r="C13" s="88">
        <v>52501.0</v>
      </c>
      <c r="D13" s="88">
        <v>55333.0</v>
      </c>
      <c r="E13" s="88">
        <v>74600.0</v>
      </c>
      <c r="F13" s="88">
        <v>85636.0</v>
      </c>
      <c r="G13" s="87">
        <f t="shared" ref="G13:G15" si="3">(F13/B13)^(1/5)-1</f>
        <v>0.1162540056</v>
      </c>
    </row>
    <row r="14" ht="15.75" customHeight="1">
      <c r="A14" s="85" t="s">
        <v>151</v>
      </c>
      <c r="B14" s="88">
        <v>2890.0</v>
      </c>
      <c r="C14" s="88">
        <v>2662.0</v>
      </c>
      <c r="D14" s="88">
        <v>2157.0</v>
      </c>
      <c r="E14" s="88">
        <v>2739.0</v>
      </c>
      <c r="F14" s="88">
        <v>3716.0</v>
      </c>
      <c r="G14" s="87">
        <f t="shared" si="3"/>
        <v>0.05156366773</v>
      </c>
    </row>
    <row r="15" ht="15.75" customHeight="1">
      <c r="A15" s="85" t="s">
        <v>152</v>
      </c>
      <c r="B15" s="88">
        <v>15744.0</v>
      </c>
      <c r="C15" s="88">
        <v>14989.0</v>
      </c>
      <c r="D15" s="88">
        <v>13747.0</v>
      </c>
      <c r="E15" s="88">
        <v>27941.0</v>
      </c>
      <c r="F15" s="88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279">
        <f t="shared" ref="B18:F18" si="4">B6/B5</f>
        <v>0.09721120804</v>
      </c>
      <c r="C18" s="279">
        <f t="shared" si="4"/>
        <v>0.07689137725</v>
      </c>
      <c r="D18" s="279">
        <f t="shared" si="4"/>
        <v>0.06511943847</v>
      </c>
      <c r="E18" s="279">
        <f t="shared" si="4"/>
        <v>0.09380714632</v>
      </c>
      <c r="F18" s="279">
        <f t="shared" si="4"/>
        <v>0.1313003144</v>
      </c>
      <c r="G18" s="95"/>
    </row>
    <row r="19" ht="15.75" customHeight="1">
      <c r="A19" s="85" t="s">
        <v>154</v>
      </c>
      <c r="B19" s="279">
        <f t="shared" ref="B19:F19" si="5">B8/B5</f>
        <v>0.07504625958</v>
      </c>
      <c r="C19" s="279">
        <f t="shared" si="5"/>
        <v>0.06236855568</v>
      </c>
      <c r="D19" s="279">
        <f t="shared" si="5"/>
        <v>0.04392618589</v>
      </c>
      <c r="E19" s="279">
        <f t="shared" si="5"/>
        <v>0.06983865069</v>
      </c>
      <c r="F19" s="279">
        <f t="shared" si="5"/>
        <v>0.09508099649</v>
      </c>
      <c r="G19" s="95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14.48818898</v>
      </c>
      <c r="E20" s="98">
        <f t="shared" si="6"/>
        <v>49.47058824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58.97860963</v>
      </c>
      <c r="F21" s="98">
        <f t="shared" si="7"/>
        <v>96.01030928</v>
      </c>
      <c r="G21" s="95"/>
    </row>
    <row r="22" ht="15.75" customHeight="1">
      <c r="A22" s="85" t="s">
        <v>157</v>
      </c>
      <c r="B22" s="279">
        <f t="shared" ref="B22:F22" si="8">B14/B13</f>
        <v>0.05848663307</v>
      </c>
      <c r="C22" s="279">
        <f t="shared" si="8"/>
        <v>0.05070379612</v>
      </c>
      <c r="D22" s="279">
        <f t="shared" si="8"/>
        <v>0.03898216254</v>
      </c>
      <c r="E22" s="279">
        <f t="shared" si="8"/>
        <v>0.03671581769</v>
      </c>
      <c r="F22" s="279">
        <f t="shared" si="8"/>
        <v>0.04339296558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>
        <f t="shared" ref="B24:F24" si="9">B8/B13</f>
        <v>0.114909032</v>
      </c>
      <c r="C24" s="98">
        <f t="shared" si="9"/>
        <v>0.08359840765</v>
      </c>
      <c r="D24" s="98">
        <f t="shared" si="9"/>
        <v>0.07012090434</v>
      </c>
      <c r="E24" s="98">
        <f t="shared" si="9"/>
        <v>0.1100670241</v>
      </c>
      <c r="F24" s="98">
        <f t="shared" si="9"/>
        <v>0.1575038535</v>
      </c>
      <c r="G24" s="95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0.100052183</v>
      </c>
      <c r="E25" s="98">
        <f t="shared" si="10"/>
        <v>0.1426059297</v>
      </c>
      <c r="F25" s="98">
        <f t="shared" si="10"/>
        <v>0.2084564419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>
        <f t="shared" ref="B30:F30" si="11">B19</f>
        <v>0.07504625958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0.06983865069</v>
      </c>
      <c r="F30" s="98">
        <f t="shared" si="11"/>
        <v>0.09508099649</v>
      </c>
      <c r="G30" s="95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4.207830786</v>
      </c>
      <c r="F31" s="98">
        <f t="shared" si="12"/>
        <v>5.090902566</v>
      </c>
      <c r="G31" s="95"/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0.2484412557</v>
      </c>
      <c r="E32" s="98">
        <f t="shared" si="13"/>
        <v>0.3745442359</v>
      </c>
      <c r="F32" s="98">
        <f t="shared" si="13"/>
        <v>0.3253888552</v>
      </c>
      <c r="G32" s="95"/>
    </row>
    <row r="33" ht="15.75" customHeight="1">
      <c r="A33" s="85" t="s">
        <v>164</v>
      </c>
      <c r="B33" s="98">
        <f t="shared" ref="B33:F33" si="14">B30*B31*B32</f>
        <v>0.114909032</v>
      </c>
      <c r="C33" s="98">
        <f t="shared" si="14"/>
        <v>0.08359840765</v>
      </c>
      <c r="D33" s="98">
        <f t="shared" si="14"/>
        <v>0.07012090434</v>
      </c>
      <c r="E33" s="98">
        <f t="shared" si="14"/>
        <v>0.1100670241</v>
      </c>
      <c r="F33" s="98">
        <f t="shared" si="14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88">
        <v>511659.0</v>
      </c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16036.07176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88">
        <v>35.0</v>
      </c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246">
        <v>45.0</v>
      </c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215748.2858</v>
      </c>
      <c r="C41" s="95"/>
      <c r="D41" s="77" t="s">
        <v>171</v>
      </c>
      <c r="E41" s="106"/>
      <c r="F41" s="106"/>
      <c r="G41" s="247">
        <v>0.15</v>
      </c>
    </row>
    <row r="42" ht="15.75" customHeight="1">
      <c r="A42" s="85" t="s">
        <v>172</v>
      </c>
      <c r="B42" s="248">
        <v>0.1</v>
      </c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21574.82858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970867.2859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>
        <f>(B44/B36)-1</f>
        <v>0.897488925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233" t="s">
        <v>140</v>
      </c>
    </row>
    <row r="2" ht="15.75" customHeight="1"/>
    <row r="3" ht="15.75" customHeight="1">
      <c r="A3" s="249" t="s">
        <v>242</v>
      </c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86">
        <v>75660.0</v>
      </c>
      <c r="C5" s="86">
        <v>70372.0</v>
      </c>
      <c r="D5" s="86">
        <v>88330.0</v>
      </c>
      <c r="E5" s="86">
        <v>117571.0</v>
      </c>
      <c r="F5" s="86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88">
        <v>7355.0</v>
      </c>
      <c r="C6" s="88">
        <v>5411.0</v>
      </c>
      <c r="D6" s="88">
        <v>5752.0</v>
      </c>
      <c r="E6" s="88">
        <v>11029.0</v>
      </c>
      <c r="F6" s="88">
        <v>18626.0</v>
      </c>
      <c r="G6" s="87">
        <f t="shared" si="2"/>
        <v>0.2042242937</v>
      </c>
    </row>
    <row r="7" ht="15.75" customHeight="1">
      <c r="A7" s="85" t="s">
        <v>19</v>
      </c>
      <c r="B7" s="89">
        <v>134.0</v>
      </c>
      <c r="C7" s="89">
        <v>102.0</v>
      </c>
      <c r="D7" s="89">
        <v>127.0</v>
      </c>
      <c r="E7" s="90">
        <v>187.0</v>
      </c>
      <c r="F7" s="89">
        <v>194.0</v>
      </c>
      <c r="G7" s="87">
        <f t="shared" si="2"/>
        <v>0.07681075935</v>
      </c>
    </row>
    <row r="8" ht="15.75" customHeight="1">
      <c r="A8" s="85" t="s">
        <v>146</v>
      </c>
      <c r="B8" s="88">
        <v>5678.0</v>
      </c>
      <c r="C8" s="88">
        <v>4389.0</v>
      </c>
      <c r="D8" s="88">
        <v>3880.0</v>
      </c>
      <c r="E8" s="88">
        <v>8211.0</v>
      </c>
      <c r="F8" s="88">
        <v>13488.0</v>
      </c>
      <c r="G8" s="87">
        <f t="shared" si="2"/>
        <v>0.1889139801</v>
      </c>
    </row>
    <row r="9" ht="15.75" customHeight="1">
      <c r="A9" s="85" t="s">
        <v>147</v>
      </c>
      <c r="B9" s="283" t="s">
        <v>218</v>
      </c>
      <c r="C9" s="283" t="s">
        <v>218</v>
      </c>
      <c r="D9" s="283" t="s">
        <v>218</v>
      </c>
      <c r="E9" s="283" t="s">
        <v>218</v>
      </c>
      <c r="F9" s="283" t="s">
        <v>218</v>
      </c>
      <c r="G9" s="87" t="str">
        <f t="shared" si="2"/>
        <v>#VALUE!</v>
      </c>
    </row>
    <row r="10" ht="15.75" customHeight="1">
      <c r="A10" s="85" t="s">
        <v>148</v>
      </c>
      <c r="B10" s="283" t="s">
        <v>218</v>
      </c>
      <c r="C10" s="283" t="s">
        <v>218</v>
      </c>
      <c r="D10" s="283" t="s">
        <v>218</v>
      </c>
      <c r="E10" s="283" t="s">
        <v>218</v>
      </c>
      <c r="F10" s="283" t="s">
        <v>218</v>
      </c>
      <c r="G10" s="87" t="str">
        <f t="shared" si="2"/>
        <v>#VALUE!</v>
      </c>
    </row>
    <row r="11" ht="15.75" customHeight="1">
      <c r="A11" s="85" t="s">
        <v>149</v>
      </c>
      <c r="B11" s="88">
        <v>3496.0</v>
      </c>
      <c r="C11" s="88">
        <v>8856.0</v>
      </c>
      <c r="D11" s="88">
        <v>1840.0</v>
      </c>
      <c r="E11" s="88">
        <v>9251.0</v>
      </c>
      <c r="F11" s="88">
        <v>16801.0</v>
      </c>
      <c r="G11" s="87">
        <f t="shared" si="2"/>
        <v>0.3688401701</v>
      </c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236">
        <v>49413.0</v>
      </c>
      <c r="C13" s="236">
        <v>52501.0</v>
      </c>
      <c r="D13" s="236">
        <v>55334.0</v>
      </c>
      <c r="E13" s="236">
        <v>74600.0</v>
      </c>
      <c r="F13" s="236">
        <v>85636.0</v>
      </c>
      <c r="G13" s="87">
        <f t="shared" ref="G13:G15" si="3">(F13/B13)^(1/5)-1</f>
        <v>0.1162540056</v>
      </c>
    </row>
    <row r="14" ht="15.75" customHeight="1">
      <c r="A14" s="85" t="s">
        <v>151</v>
      </c>
      <c r="B14" s="236">
        <v>2890.0</v>
      </c>
      <c r="C14" s="236">
        <v>2662.0</v>
      </c>
      <c r="D14" s="236">
        <v>2157.0</v>
      </c>
      <c r="E14" s="236">
        <v>2739.0</v>
      </c>
      <c r="F14" s="236">
        <v>3716.0</v>
      </c>
      <c r="G14" s="87">
        <f t="shared" si="3"/>
        <v>0.05156366773</v>
      </c>
    </row>
    <row r="15" ht="15.75" customHeight="1">
      <c r="A15" s="85" t="s">
        <v>152</v>
      </c>
      <c r="B15" s="236">
        <v>15744.0</v>
      </c>
      <c r="C15" s="236">
        <v>14989.0</v>
      </c>
      <c r="D15" s="236">
        <v>13747.0</v>
      </c>
      <c r="E15" s="236">
        <v>27941.0</v>
      </c>
      <c r="F15" s="236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279">
        <f t="shared" ref="B18:F18" si="4">B6/B5</f>
        <v>0.09721120804</v>
      </c>
      <c r="C18" s="279">
        <f t="shared" si="4"/>
        <v>0.07689137725</v>
      </c>
      <c r="D18" s="279">
        <f t="shared" si="4"/>
        <v>0.06511943847</v>
      </c>
      <c r="E18" s="279">
        <f t="shared" si="4"/>
        <v>0.09380714632</v>
      </c>
      <c r="F18" s="279">
        <f t="shared" si="4"/>
        <v>0.1313003144</v>
      </c>
      <c r="G18" s="95"/>
    </row>
    <row r="19" ht="15.75" customHeight="1">
      <c r="A19" s="85" t="s">
        <v>154</v>
      </c>
      <c r="B19" s="279">
        <f t="shared" ref="B19:F19" si="5">B8/B5</f>
        <v>0.07504625958</v>
      </c>
      <c r="C19" s="279">
        <f t="shared" si="5"/>
        <v>0.06236855568</v>
      </c>
      <c r="D19" s="279">
        <f t="shared" si="5"/>
        <v>0.04392618589</v>
      </c>
      <c r="E19" s="279">
        <f t="shared" si="5"/>
        <v>0.06983865069</v>
      </c>
      <c r="F19" s="279">
        <f t="shared" si="5"/>
        <v>0.09508099649</v>
      </c>
      <c r="G19" s="95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14.48818898</v>
      </c>
      <c r="E20" s="98">
        <f t="shared" si="6"/>
        <v>49.47058824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58.97860963</v>
      </c>
      <c r="F21" s="98">
        <f t="shared" si="7"/>
        <v>96.01030928</v>
      </c>
      <c r="G21" s="95"/>
    </row>
    <row r="22" ht="15.75" customHeight="1">
      <c r="A22" s="85" t="s">
        <v>157</v>
      </c>
      <c r="B22" s="279">
        <f t="shared" ref="B22:F22" si="8">B14/B13</f>
        <v>0.05848663307</v>
      </c>
      <c r="C22" s="279">
        <f t="shared" si="8"/>
        <v>0.05070379612</v>
      </c>
      <c r="D22" s="279">
        <f t="shared" si="8"/>
        <v>0.03898145805</v>
      </c>
      <c r="E22" s="279">
        <f t="shared" si="8"/>
        <v>0.03671581769</v>
      </c>
      <c r="F22" s="279">
        <f t="shared" si="8"/>
        <v>0.04339296558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>
        <f t="shared" ref="B24:F24" si="9">B8/B13</f>
        <v>0.114909032</v>
      </c>
      <c r="C24" s="98">
        <f t="shared" si="9"/>
        <v>0.08359840765</v>
      </c>
      <c r="D24" s="98">
        <f t="shared" si="9"/>
        <v>0.07011963711</v>
      </c>
      <c r="E24" s="98">
        <f t="shared" si="9"/>
        <v>0.1100670241</v>
      </c>
      <c r="F24" s="98">
        <f t="shared" si="9"/>
        <v>0.1575038535</v>
      </c>
      <c r="G24" s="95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0.1000504427</v>
      </c>
      <c r="E25" s="98">
        <f t="shared" si="10"/>
        <v>0.1426059297</v>
      </c>
      <c r="F25" s="98">
        <f t="shared" si="10"/>
        <v>0.2084564419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279">
        <f t="shared" ref="B30:F30" si="11">B19</f>
        <v>0.07504625958</v>
      </c>
      <c r="C30" s="279">
        <f t="shared" si="11"/>
        <v>0.06236855568</v>
      </c>
      <c r="D30" s="279">
        <f t="shared" si="11"/>
        <v>0.04392618589</v>
      </c>
      <c r="E30" s="279">
        <f t="shared" si="11"/>
        <v>0.06983865069</v>
      </c>
      <c r="F30" s="98">
        <f t="shared" si="11"/>
        <v>0.09508099649</v>
      </c>
      <c r="G30" s="95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4.207830786</v>
      </c>
      <c r="F31" s="98">
        <f t="shared" si="12"/>
        <v>5.090902566</v>
      </c>
      <c r="G31" s="95"/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0.2484367658</v>
      </c>
      <c r="E32" s="98">
        <f t="shared" si="13"/>
        <v>0.3745442359</v>
      </c>
      <c r="F32" s="98">
        <f t="shared" si="13"/>
        <v>0.3253888552</v>
      </c>
      <c r="G32" s="95"/>
    </row>
    <row r="33" ht="15.75" customHeight="1">
      <c r="A33" s="85" t="s">
        <v>164</v>
      </c>
      <c r="B33" s="98">
        <f t="shared" ref="B33:F33" si="14">B30*B31*B32</f>
        <v>0.114909032</v>
      </c>
      <c r="C33" s="98">
        <f t="shared" si="14"/>
        <v>0.08359840765</v>
      </c>
      <c r="D33" s="98">
        <f t="shared" si="14"/>
        <v>0.07011963711</v>
      </c>
      <c r="E33" s="98">
        <f t="shared" si="14"/>
        <v>0.1100670241</v>
      </c>
      <c r="F33" s="98">
        <f t="shared" si="14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88">
        <v>511659.0</v>
      </c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16036.07176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88">
        <v>35.0</v>
      </c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246">
        <v>45.0</v>
      </c>
      <c r="C40" s="245" t="s">
        <v>239</v>
      </c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215748.2858</v>
      </c>
      <c r="C41" s="95"/>
      <c r="D41" s="77" t="s">
        <v>171</v>
      </c>
      <c r="E41" s="106"/>
      <c r="F41" s="106"/>
      <c r="G41" s="247">
        <v>0.15</v>
      </c>
    </row>
    <row r="42" ht="15.75" customHeight="1">
      <c r="A42" s="85" t="s">
        <v>172</v>
      </c>
      <c r="B42" s="248">
        <v>0.1</v>
      </c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21574.82858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970867.2859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>
        <f>(B44/B36)-1</f>
        <v>0.897488925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310"/>
      <c r="C5" s="310"/>
      <c r="D5" s="310"/>
      <c r="E5" s="310"/>
      <c r="F5" s="310"/>
      <c r="G5" s="87" t="str">
        <f t="shared" ref="G5:G11" si="2">(F5/B5)^(1/5)-1</f>
        <v>#DIV/0!</v>
      </c>
    </row>
    <row r="6" ht="15.75" customHeight="1">
      <c r="A6" s="85" t="s">
        <v>145</v>
      </c>
      <c r="B6" s="94"/>
      <c r="C6" s="94"/>
      <c r="D6" s="94"/>
      <c r="E6" s="94"/>
      <c r="F6" s="94"/>
      <c r="G6" s="87" t="str">
        <f t="shared" si="2"/>
        <v>#DIV/0!</v>
      </c>
    </row>
    <row r="7" ht="15.75" customHeight="1">
      <c r="A7" s="85" t="s">
        <v>19</v>
      </c>
      <c r="B7" s="311"/>
      <c r="C7" s="311"/>
      <c r="D7" s="311"/>
      <c r="E7" s="312"/>
      <c r="F7" s="311"/>
      <c r="G7" s="87" t="str">
        <f t="shared" si="2"/>
        <v>#DIV/0!</v>
      </c>
    </row>
    <row r="8" ht="15.75" customHeight="1">
      <c r="A8" s="85" t="s">
        <v>146</v>
      </c>
      <c r="B8" s="94"/>
      <c r="C8" s="94"/>
      <c r="D8" s="94"/>
      <c r="E8" s="94"/>
      <c r="F8" s="94"/>
      <c r="G8" s="87" t="str">
        <f t="shared" si="2"/>
        <v>#DIV/0!</v>
      </c>
    </row>
    <row r="9" ht="15.75" customHeight="1">
      <c r="A9" s="85" t="s">
        <v>147</v>
      </c>
      <c r="B9" s="283" t="s">
        <v>218</v>
      </c>
      <c r="C9" s="283" t="s">
        <v>218</v>
      </c>
      <c r="D9" s="283" t="s">
        <v>218</v>
      </c>
      <c r="E9" s="283" t="s">
        <v>218</v>
      </c>
      <c r="F9" s="283" t="s">
        <v>218</v>
      </c>
      <c r="G9" s="87" t="str">
        <f t="shared" si="2"/>
        <v>#VALUE!</v>
      </c>
    </row>
    <row r="10" ht="15.75" customHeight="1">
      <c r="A10" s="85" t="s">
        <v>148</v>
      </c>
      <c r="B10" s="283" t="s">
        <v>218</v>
      </c>
      <c r="C10" s="283" t="s">
        <v>218</v>
      </c>
      <c r="D10" s="283" t="s">
        <v>218</v>
      </c>
      <c r="E10" s="283" t="s">
        <v>218</v>
      </c>
      <c r="F10" s="283" t="s">
        <v>218</v>
      </c>
      <c r="G10" s="87" t="str">
        <f t="shared" si="2"/>
        <v>#VALUE!</v>
      </c>
    </row>
    <row r="11" ht="15.75" customHeight="1">
      <c r="A11" s="85" t="s">
        <v>149</v>
      </c>
      <c r="B11" s="94"/>
      <c r="C11" s="94"/>
      <c r="D11" s="94"/>
      <c r="E11" s="94"/>
      <c r="F11" s="94"/>
      <c r="G11" s="87" t="str">
        <f t="shared" si="2"/>
        <v>#DIV/0!</v>
      </c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94"/>
      <c r="C13" s="94"/>
      <c r="D13" s="94"/>
      <c r="E13" s="94"/>
      <c r="F13" s="94"/>
      <c r="G13" s="87" t="str">
        <f t="shared" ref="G13:G15" si="3">(F13/B13)^(1/5)-1</f>
        <v>#DIV/0!</v>
      </c>
    </row>
    <row r="14" ht="15.75" customHeight="1">
      <c r="A14" s="85" t="s">
        <v>151</v>
      </c>
      <c r="B14" s="94"/>
      <c r="C14" s="94"/>
      <c r="D14" s="94"/>
      <c r="E14" s="94"/>
      <c r="F14" s="94"/>
      <c r="G14" s="87" t="str">
        <f t="shared" si="3"/>
        <v>#DIV/0!</v>
      </c>
    </row>
    <row r="15" ht="15.75" customHeight="1">
      <c r="A15" s="85" t="s">
        <v>152</v>
      </c>
      <c r="B15" s="94"/>
      <c r="C15" s="94"/>
      <c r="D15" s="94"/>
      <c r="E15" s="94"/>
      <c r="F15" s="94"/>
      <c r="G15" s="87" t="str">
        <f t="shared" si="3"/>
        <v>#DIV/0!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98" t="str">
        <f t="shared" ref="B18:F18" si="4">B6/B5</f>
        <v>#DIV/0!</v>
      </c>
      <c r="C18" s="98" t="str">
        <f t="shared" si="4"/>
        <v>#DIV/0!</v>
      </c>
      <c r="D18" s="98" t="str">
        <f t="shared" si="4"/>
        <v>#DIV/0!</v>
      </c>
      <c r="E18" s="98" t="str">
        <f t="shared" si="4"/>
        <v>#DIV/0!</v>
      </c>
      <c r="F18" s="98" t="str">
        <f t="shared" si="4"/>
        <v>#DIV/0!</v>
      </c>
      <c r="G18" s="95"/>
    </row>
    <row r="19" ht="15.75" customHeight="1">
      <c r="A19" s="85" t="s">
        <v>154</v>
      </c>
      <c r="B19" s="98" t="str">
        <f t="shared" ref="B19:F19" si="5">B8/B5</f>
        <v>#DIV/0!</v>
      </c>
      <c r="C19" s="98" t="str">
        <f t="shared" si="5"/>
        <v>#DIV/0!</v>
      </c>
      <c r="D19" s="98" t="str">
        <f t="shared" si="5"/>
        <v>#DIV/0!</v>
      </c>
      <c r="E19" s="98" t="str">
        <f t="shared" si="5"/>
        <v>#DIV/0!</v>
      </c>
      <c r="F19" s="98" t="str">
        <f t="shared" si="5"/>
        <v>#DIV/0!</v>
      </c>
      <c r="G19" s="95"/>
    </row>
    <row r="20" ht="15.75" customHeight="1">
      <c r="A20" s="85" t="s">
        <v>155</v>
      </c>
      <c r="B20" s="98" t="str">
        <f t="shared" ref="B20:F20" si="6">B11/B7</f>
        <v>#DIV/0!</v>
      </c>
      <c r="C20" s="98" t="str">
        <f t="shared" si="6"/>
        <v>#DIV/0!</v>
      </c>
      <c r="D20" s="98" t="str">
        <f t="shared" si="6"/>
        <v>#DIV/0!</v>
      </c>
      <c r="E20" s="98" t="str">
        <f t="shared" si="6"/>
        <v>#DIV/0!</v>
      </c>
      <c r="F20" s="98" t="str">
        <f t="shared" si="6"/>
        <v>#DIV/0!</v>
      </c>
      <c r="G20" s="95"/>
    </row>
    <row r="21" ht="15.75" customHeight="1">
      <c r="A21" s="85" t="s">
        <v>156</v>
      </c>
      <c r="B21" s="98" t="str">
        <f t="shared" ref="B21:F21" si="7">B6/B7</f>
        <v>#DIV/0!</v>
      </c>
      <c r="C21" s="98" t="str">
        <f t="shared" si="7"/>
        <v>#DIV/0!</v>
      </c>
      <c r="D21" s="98" t="str">
        <f t="shared" si="7"/>
        <v>#DIV/0!</v>
      </c>
      <c r="E21" s="98" t="str">
        <f t="shared" si="7"/>
        <v>#DIV/0!</v>
      </c>
      <c r="F21" s="98" t="str">
        <f t="shared" si="7"/>
        <v>#DIV/0!</v>
      </c>
      <c r="G21" s="95"/>
    </row>
    <row r="22" ht="15.75" customHeight="1">
      <c r="A22" s="85" t="s">
        <v>157</v>
      </c>
      <c r="B22" s="98" t="str">
        <f t="shared" ref="B22:F22" si="8">B14/B13</f>
        <v>#DIV/0!</v>
      </c>
      <c r="C22" s="98" t="str">
        <f t="shared" si="8"/>
        <v>#DIV/0!</v>
      </c>
      <c r="D22" s="98" t="str">
        <f t="shared" si="8"/>
        <v>#DIV/0!</v>
      </c>
      <c r="E22" s="98" t="str">
        <f t="shared" si="8"/>
        <v>#DIV/0!</v>
      </c>
      <c r="F22" s="98" t="str">
        <f t="shared" si="8"/>
        <v>#DIV/0!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 t="str">
        <f t="shared" ref="B24:F24" si="9">B8/B13</f>
        <v>#DIV/0!</v>
      </c>
      <c r="C24" s="98" t="str">
        <f t="shared" si="9"/>
        <v>#DIV/0!</v>
      </c>
      <c r="D24" s="98" t="str">
        <f t="shared" si="9"/>
        <v>#DIV/0!</v>
      </c>
      <c r="E24" s="98" t="str">
        <f t="shared" si="9"/>
        <v>#DIV/0!</v>
      </c>
      <c r="F24" s="98" t="str">
        <f t="shared" si="9"/>
        <v>#DIV/0!</v>
      </c>
      <c r="G24" s="95"/>
    </row>
    <row r="25" ht="15.75" customHeight="1">
      <c r="A25" s="85" t="s">
        <v>159</v>
      </c>
      <c r="B25" s="98" t="str">
        <f t="shared" ref="B25:F25" si="10">B6/SUM(B13:B14)</f>
        <v>#DIV/0!</v>
      </c>
      <c r="C25" s="98" t="str">
        <f t="shared" si="10"/>
        <v>#DIV/0!</v>
      </c>
      <c r="D25" s="98" t="str">
        <f t="shared" si="10"/>
        <v>#DIV/0!</v>
      </c>
      <c r="E25" s="98" t="str">
        <f t="shared" si="10"/>
        <v>#DIV/0!</v>
      </c>
      <c r="F25" s="98" t="str">
        <f t="shared" si="10"/>
        <v>#DIV/0!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 t="str">
        <f t="shared" ref="B30:F30" si="11">B19</f>
        <v>#DIV/0!</v>
      </c>
      <c r="C30" s="98" t="str">
        <f t="shared" si="11"/>
        <v>#DIV/0!</v>
      </c>
      <c r="D30" s="98" t="str">
        <f t="shared" si="11"/>
        <v>#DIV/0!</v>
      </c>
      <c r="E30" s="98" t="str">
        <f t="shared" si="11"/>
        <v>#DIV/0!</v>
      </c>
      <c r="F30" s="98" t="str">
        <f t="shared" si="11"/>
        <v>#DIV/0!</v>
      </c>
      <c r="G30" s="95"/>
    </row>
    <row r="31" ht="15.75" customHeight="1">
      <c r="A31" s="85" t="s">
        <v>162</v>
      </c>
      <c r="B31" s="98" t="str">
        <f t="shared" ref="B31:F31" si="12">B5/B15</f>
        <v>#DIV/0!</v>
      </c>
      <c r="C31" s="98" t="str">
        <f t="shared" si="12"/>
        <v>#DIV/0!</v>
      </c>
      <c r="D31" s="98" t="str">
        <f t="shared" si="12"/>
        <v>#DIV/0!</v>
      </c>
      <c r="E31" s="98" t="str">
        <f t="shared" si="12"/>
        <v>#DIV/0!</v>
      </c>
      <c r="F31" s="98" t="str">
        <f t="shared" si="12"/>
        <v>#DIV/0!</v>
      </c>
      <c r="G31" s="95"/>
    </row>
    <row r="32" ht="15.75" customHeight="1">
      <c r="A32" s="85" t="s">
        <v>163</v>
      </c>
      <c r="B32" s="98" t="str">
        <f t="shared" ref="B32:F32" si="13">B15/B13</f>
        <v>#DIV/0!</v>
      </c>
      <c r="C32" s="98" t="str">
        <f t="shared" si="13"/>
        <v>#DIV/0!</v>
      </c>
      <c r="D32" s="98" t="str">
        <f t="shared" si="13"/>
        <v>#DIV/0!</v>
      </c>
      <c r="E32" s="98" t="str">
        <f t="shared" si="13"/>
        <v>#DIV/0!</v>
      </c>
      <c r="F32" s="98" t="str">
        <f t="shared" si="13"/>
        <v>#DIV/0!</v>
      </c>
      <c r="G32" s="95"/>
    </row>
    <row r="33" ht="15.75" customHeight="1">
      <c r="A33" s="85" t="s">
        <v>164</v>
      </c>
      <c r="B33" s="98" t="str">
        <f t="shared" ref="B33:F33" si="14">B30*B31*B32</f>
        <v>#DIV/0!</v>
      </c>
      <c r="C33" s="98" t="str">
        <f t="shared" si="14"/>
        <v>#DIV/0!</v>
      </c>
      <c r="D33" s="98" t="str">
        <f t="shared" si="14"/>
        <v>#DIV/0!</v>
      </c>
      <c r="E33" s="98" t="str">
        <f t="shared" si="14"/>
        <v>#DIV/0!</v>
      </c>
      <c r="F33" s="98" t="str">
        <f t="shared" si="14"/>
        <v>#DIV/0!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102"/>
      <c r="C35" s="95"/>
      <c r="D35" s="95"/>
      <c r="E35" s="95"/>
      <c r="F35" s="95"/>
      <c r="G35" s="95"/>
    </row>
    <row r="36" ht="15.75" customHeight="1">
      <c r="A36" s="85" t="s">
        <v>166</v>
      </c>
      <c r="B36" s="94"/>
      <c r="C36" s="95"/>
      <c r="D36" s="95"/>
      <c r="E36" s="95"/>
      <c r="F36" s="95"/>
      <c r="G36" s="95"/>
    </row>
    <row r="37" ht="15.75" customHeight="1">
      <c r="A37" s="85" t="s">
        <v>167</v>
      </c>
      <c r="B37" s="103" t="str">
        <f>F8*(1+G8)</f>
        <v>#DIV/0!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94"/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104"/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0</v>
      </c>
      <c r="C41" s="95"/>
      <c r="D41" s="77" t="s">
        <v>171</v>
      </c>
      <c r="E41" s="106"/>
      <c r="F41" s="106"/>
      <c r="G41" s="107"/>
    </row>
    <row r="42" ht="15.75" customHeight="1">
      <c r="A42" s="85" t="s">
        <v>172</v>
      </c>
      <c r="B42" s="108"/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0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0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 t="str">
        <f>(B44/B36)-1</f>
        <v>#DIV/0!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280">
        <v>75660.0</v>
      </c>
      <c r="C5" s="280">
        <v>70372.0</v>
      </c>
      <c r="D5" s="280">
        <v>88330.0</v>
      </c>
      <c r="E5" s="280">
        <v>117571.0</v>
      </c>
      <c r="F5" s="280">
        <v>141858.0</v>
      </c>
      <c r="G5" s="87">
        <f t="shared" ref="G5:G8" si="2">(F5/B5)^(1/5)-1</f>
        <v>0.1339593835</v>
      </c>
    </row>
    <row r="6" ht="15.75" customHeight="1">
      <c r="A6" s="85" t="s">
        <v>145</v>
      </c>
      <c r="B6" s="280">
        <v>7355.0</v>
      </c>
      <c r="C6" s="280">
        <v>5411.0</v>
      </c>
      <c r="D6" s="280">
        <v>5752.0</v>
      </c>
      <c r="E6" s="280">
        <v>11029.0</v>
      </c>
      <c r="F6" s="280">
        <v>18626.0</v>
      </c>
      <c r="G6" s="87">
        <f t="shared" si="2"/>
        <v>0.2042242937</v>
      </c>
    </row>
    <row r="7" ht="15.75" customHeight="1">
      <c r="A7" s="85" t="s">
        <v>19</v>
      </c>
      <c r="B7" s="237">
        <v>134.0</v>
      </c>
      <c r="C7" s="237">
        <v>102.0</v>
      </c>
      <c r="D7" s="237">
        <v>127.0</v>
      </c>
      <c r="E7" s="238">
        <v>252.0</v>
      </c>
      <c r="F7" s="237">
        <v>194.0</v>
      </c>
      <c r="G7" s="87">
        <f t="shared" si="2"/>
        <v>0.07681075935</v>
      </c>
    </row>
    <row r="8" ht="15.75" customHeight="1">
      <c r="A8" s="85" t="s">
        <v>146</v>
      </c>
      <c r="B8" s="281">
        <v>5678.0</v>
      </c>
      <c r="C8" s="281">
        <v>4389.0</v>
      </c>
      <c r="D8" s="281">
        <v>3880.0</v>
      </c>
      <c r="E8" s="281">
        <v>8211.0</v>
      </c>
      <c r="F8" s="281">
        <v>13488.0</v>
      </c>
      <c r="G8" s="87">
        <f t="shared" si="2"/>
        <v>0.1889139801</v>
      </c>
    </row>
    <row r="9" ht="15.75" customHeight="1">
      <c r="A9" s="85" t="s">
        <v>147</v>
      </c>
      <c r="B9" s="313"/>
      <c r="C9" s="313"/>
      <c r="D9" s="313"/>
      <c r="E9" s="313"/>
      <c r="F9" s="313"/>
      <c r="G9" s="314"/>
    </row>
    <row r="10" ht="15.75" customHeight="1">
      <c r="A10" s="85" t="s">
        <v>148</v>
      </c>
      <c r="B10" s="290"/>
      <c r="C10" s="283" t="s">
        <v>218</v>
      </c>
      <c r="D10" s="283" t="s">
        <v>218</v>
      </c>
      <c r="E10" s="283" t="s">
        <v>218</v>
      </c>
      <c r="F10" s="283" t="s">
        <v>218</v>
      </c>
      <c r="G10" s="87" t="str">
        <f t="shared" ref="G10:G11" si="3">(F10/B10)^(1/5)-1</f>
        <v>#VALUE!</v>
      </c>
    </row>
    <row r="11" ht="15.75" customHeight="1">
      <c r="A11" s="85" t="s">
        <v>149</v>
      </c>
      <c r="B11" s="236">
        <v>3496.0</v>
      </c>
      <c r="C11" s="236">
        <v>8856.0</v>
      </c>
      <c r="D11" s="236">
        <v>1841.0</v>
      </c>
      <c r="E11" s="236">
        <v>10815.0</v>
      </c>
      <c r="F11" s="236">
        <v>16801.0</v>
      </c>
      <c r="G11" s="87">
        <f t="shared" si="3"/>
        <v>0.3688401701</v>
      </c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236">
        <v>49413.0</v>
      </c>
      <c r="C13" s="236">
        <v>52501.0</v>
      </c>
      <c r="D13" s="236">
        <v>55334.0</v>
      </c>
      <c r="E13" s="236">
        <v>74600.0</v>
      </c>
      <c r="F13" s="236">
        <v>85636.0</v>
      </c>
      <c r="G13" s="87">
        <f t="shared" ref="G13:G15" si="4">(F13/B13)^(1/5)-1</f>
        <v>0.1162540056</v>
      </c>
    </row>
    <row r="14" ht="15.75" customHeight="1">
      <c r="A14" s="85" t="s">
        <v>151</v>
      </c>
      <c r="B14" s="236">
        <v>2890.0</v>
      </c>
      <c r="C14" s="236">
        <v>2662.0</v>
      </c>
      <c r="D14" s="236">
        <v>2157.0</v>
      </c>
      <c r="E14" s="236">
        <v>2739.0</v>
      </c>
      <c r="F14" s="236">
        <v>3716.0</v>
      </c>
      <c r="G14" s="87">
        <f t="shared" si="4"/>
        <v>0.05156366773</v>
      </c>
    </row>
    <row r="15" ht="15.75" customHeight="1">
      <c r="A15" s="85" t="s">
        <v>152</v>
      </c>
      <c r="B15" s="236">
        <v>15744.0</v>
      </c>
      <c r="C15" s="236">
        <v>14989.0</v>
      </c>
      <c r="D15" s="236">
        <v>13747.0</v>
      </c>
      <c r="E15" s="236">
        <v>27941.0</v>
      </c>
      <c r="F15" s="236">
        <v>27865.0</v>
      </c>
      <c r="G15" s="87">
        <f t="shared" si="4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98">
        <f t="shared" ref="B18:F18" si="5">B6/B5</f>
        <v>0.09721120804</v>
      </c>
      <c r="C18" s="98">
        <f t="shared" si="5"/>
        <v>0.07689137725</v>
      </c>
      <c r="D18" s="98">
        <f t="shared" si="5"/>
        <v>0.06511943847</v>
      </c>
      <c r="E18" s="98">
        <f t="shared" si="5"/>
        <v>0.09380714632</v>
      </c>
      <c r="F18" s="98">
        <f t="shared" si="5"/>
        <v>0.1313003144</v>
      </c>
      <c r="G18" s="95"/>
    </row>
    <row r="19" ht="15.75" customHeight="1">
      <c r="A19" s="85" t="s">
        <v>154</v>
      </c>
      <c r="B19" s="98">
        <f t="shared" ref="B19:F19" si="6">B8/B5</f>
        <v>0.07504625958</v>
      </c>
      <c r="C19" s="98">
        <f t="shared" si="6"/>
        <v>0.06236855568</v>
      </c>
      <c r="D19" s="98">
        <f t="shared" si="6"/>
        <v>0.04392618589</v>
      </c>
      <c r="E19" s="98">
        <f t="shared" si="6"/>
        <v>0.06983865069</v>
      </c>
      <c r="F19" s="98">
        <f t="shared" si="6"/>
        <v>0.09508099649</v>
      </c>
      <c r="G19" s="95"/>
    </row>
    <row r="20" ht="15.75" customHeight="1">
      <c r="A20" s="85" t="s">
        <v>155</v>
      </c>
      <c r="B20" s="98">
        <f t="shared" ref="B20:F20" si="7">B11/B7</f>
        <v>26.08955224</v>
      </c>
      <c r="C20" s="98">
        <f t="shared" si="7"/>
        <v>86.82352941</v>
      </c>
      <c r="D20" s="98">
        <f t="shared" si="7"/>
        <v>14.49606299</v>
      </c>
      <c r="E20" s="98">
        <f t="shared" si="7"/>
        <v>42.91666667</v>
      </c>
      <c r="F20" s="98">
        <f t="shared" si="7"/>
        <v>86.60309278</v>
      </c>
      <c r="G20" s="95"/>
    </row>
    <row r="21" ht="15.75" customHeight="1">
      <c r="A21" s="85" t="s">
        <v>156</v>
      </c>
      <c r="B21" s="98">
        <f t="shared" ref="B21:F21" si="8">B6/B7</f>
        <v>54.8880597</v>
      </c>
      <c r="C21" s="98">
        <f t="shared" si="8"/>
        <v>53.04901961</v>
      </c>
      <c r="D21" s="98">
        <f t="shared" si="8"/>
        <v>45.29133858</v>
      </c>
      <c r="E21" s="98">
        <f t="shared" si="8"/>
        <v>43.76587302</v>
      </c>
      <c r="F21" s="98">
        <f t="shared" si="8"/>
        <v>96.01030928</v>
      </c>
      <c r="G21" s="95"/>
    </row>
    <row r="22" ht="15.75" customHeight="1">
      <c r="A22" s="85" t="s">
        <v>157</v>
      </c>
      <c r="B22" s="98">
        <f t="shared" ref="B22:F22" si="9">B14/B13</f>
        <v>0.05848663307</v>
      </c>
      <c r="C22" s="98">
        <f t="shared" si="9"/>
        <v>0.05070379612</v>
      </c>
      <c r="D22" s="98">
        <f t="shared" si="9"/>
        <v>0.03898145805</v>
      </c>
      <c r="E22" s="98">
        <f t="shared" si="9"/>
        <v>0.03671581769</v>
      </c>
      <c r="F22" s="98">
        <f t="shared" si="9"/>
        <v>0.04339296558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>
        <f t="shared" ref="B24:F24" si="10">B8/B13</f>
        <v>0.114909032</v>
      </c>
      <c r="C24" s="98">
        <f t="shared" si="10"/>
        <v>0.08359840765</v>
      </c>
      <c r="D24" s="98">
        <f t="shared" si="10"/>
        <v>0.07011963711</v>
      </c>
      <c r="E24" s="98">
        <f t="shared" si="10"/>
        <v>0.1100670241</v>
      </c>
      <c r="F24" s="98">
        <f t="shared" si="10"/>
        <v>0.1575038535</v>
      </c>
      <c r="G24" s="95"/>
    </row>
    <row r="25" ht="15.75" customHeight="1">
      <c r="A25" s="85" t="s">
        <v>159</v>
      </c>
      <c r="B25" s="98">
        <f t="shared" ref="B25:F25" si="11">B6/SUM(B13:B14)</f>
        <v>0.1406229088</v>
      </c>
      <c r="C25" s="98">
        <f t="shared" si="11"/>
        <v>0.0980911118</v>
      </c>
      <c r="D25" s="98">
        <f t="shared" si="11"/>
        <v>0.1000504427</v>
      </c>
      <c r="E25" s="98">
        <f t="shared" si="11"/>
        <v>0.1426059297</v>
      </c>
      <c r="F25" s="98">
        <f t="shared" si="11"/>
        <v>0.2084564419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>
        <f t="shared" ref="B30:F30" si="12">B19</f>
        <v>0.07504625958</v>
      </c>
      <c r="C30" s="98">
        <f t="shared" si="12"/>
        <v>0.06236855568</v>
      </c>
      <c r="D30" s="98">
        <f t="shared" si="12"/>
        <v>0.04392618589</v>
      </c>
      <c r="E30" s="98">
        <f t="shared" si="12"/>
        <v>0.06983865069</v>
      </c>
      <c r="F30" s="98">
        <f t="shared" si="12"/>
        <v>0.09508099649</v>
      </c>
      <c r="G30" s="95"/>
    </row>
    <row r="31" ht="15.75" customHeight="1">
      <c r="A31" s="85" t="s">
        <v>162</v>
      </c>
      <c r="B31" s="98">
        <f t="shared" ref="B31:F31" si="13">B5/B15</f>
        <v>4.805640244</v>
      </c>
      <c r="C31" s="98">
        <f t="shared" si="13"/>
        <v>4.6949096</v>
      </c>
      <c r="D31" s="98">
        <f t="shared" si="13"/>
        <v>6.425401906</v>
      </c>
      <c r="E31" s="98">
        <f t="shared" si="13"/>
        <v>4.207830786</v>
      </c>
      <c r="F31" s="98">
        <f t="shared" si="13"/>
        <v>5.090902566</v>
      </c>
      <c r="G31" s="95"/>
    </row>
    <row r="32" ht="15.75" customHeight="1">
      <c r="A32" s="85" t="s">
        <v>163</v>
      </c>
      <c r="B32" s="98">
        <f t="shared" ref="B32:F32" si="14">B15/B13</f>
        <v>0.3186206059</v>
      </c>
      <c r="C32" s="98">
        <f t="shared" si="14"/>
        <v>0.2854993238</v>
      </c>
      <c r="D32" s="98">
        <f t="shared" si="14"/>
        <v>0.2484367658</v>
      </c>
      <c r="E32" s="98">
        <f t="shared" si="14"/>
        <v>0.3745442359</v>
      </c>
      <c r="F32" s="98">
        <f t="shared" si="14"/>
        <v>0.3253888552</v>
      </c>
      <c r="G32" s="95"/>
    </row>
    <row r="33" ht="15.75" customHeight="1">
      <c r="A33" s="85" t="s">
        <v>164</v>
      </c>
      <c r="B33" s="98">
        <f t="shared" ref="B33:F33" si="15">B30*B31*B32</f>
        <v>0.114909032</v>
      </c>
      <c r="C33" s="98">
        <f t="shared" si="15"/>
        <v>0.08359840765</v>
      </c>
      <c r="D33" s="98">
        <f t="shared" si="15"/>
        <v>0.07011963711</v>
      </c>
      <c r="E33" s="98">
        <f t="shared" si="15"/>
        <v>0.1100670241</v>
      </c>
      <c r="F33" s="98">
        <f t="shared" si="15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102"/>
      <c r="C35" s="95"/>
      <c r="D35" s="95"/>
      <c r="E35" s="95"/>
      <c r="F35" s="95"/>
      <c r="G35" s="95"/>
    </row>
    <row r="36" ht="15.75" customHeight="1">
      <c r="A36" s="85" t="s">
        <v>166</v>
      </c>
      <c r="B36" s="94"/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16036.07176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94"/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104"/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141858</v>
      </c>
      <c r="C41" s="95"/>
      <c r="D41" s="77" t="s">
        <v>171</v>
      </c>
      <c r="E41" s="106"/>
      <c r="F41" s="106"/>
      <c r="G41" s="107"/>
    </row>
    <row r="42" ht="15.75" customHeight="1">
      <c r="A42" s="85" t="s">
        <v>172</v>
      </c>
      <c r="B42" s="108"/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0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0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 t="str">
        <f>(B44/B36)-1</f>
        <v>#DIV/0!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86">
        <v>75660.0</v>
      </c>
      <c r="C5" s="86">
        <v>70372.0</v>
      </c>
      <c r="D5" s="86">
        <v>88330.0</v>
      </c>
      <c r="E5" s="86">
        <v>117571.0</v>
      </c>
      <c r="F5" s="86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88">
        <v>7355.0</v>
      </c>
      <c r="C6" s="88">
        <v>5411.0</v>
      </c>
      <c r="D6" s="88">
        <v>5752.0</v>
      </c>
      <c r="E6" s="88">
        <v>11029.0</v>
      </c>
      <c r="F6" s="88">
        <v>18626.0</v>
      </c>
      <c r="G6" s="87">
        <f t="shared" si="2"/>
        <v>0.2042242937</v>
      </c>
    </row>
    <row r="7" ht="15.75" customHeight="1">
      <c r="A7" s="85" t="s">
        <v>19</v>
      </c>
      <c r="B7" s="89">
        <v>134.0</v>
      </c>
      <c r="C7" s="89">
        <v>102.0</v>
      </c>
      <c r="D7" s="89">
        <v>127.0</v>
      </c>
      <c r="E7" s="90">
        <v>187.0</v>
      </c>
      <c r="F7" s="89">
        <v>194.0</v>
      </c>
      <c r="G7" s="87">
        <f t="shared" si="2"/>
        <v>0.07681075935</v>
      </c>
    </row>
    <row r="8" ht="15.75" customHeight="1">
      <c r="A8" s="85" t="s">
        <v>146</v>
      </c>
      <c r="B8" s="236">
        <v>5676.0</v>
      </c>
      <c r="C8" s="236">
        <v>4389.0</v>
      </c>
      <c r="D8" s="236">
        <v>3880.0</v>
      </c>
      <c r="E8" s="236">
        <v>8264.0</v>
      </c>
      <c r="F8" s="236">
        <v>13488.0</v>
      </c>
      <c r="G8" s="87">
        <f t="shared" si="2"/>
        <v>0.1889977536</v>
      </c>
    </row>
    <row r="9" ht="15.75" customHeight="1">
      <c r="A9" s="85" t="s">
        <v>147</v>
      </c>
      <c r="B9" s="239">
        <v>0.0</v>
      </c>
      <c r="C9" s="239">
        <v>0.0</v>
      </c>
      <c r="D9" s="239">
        <v>0.0</v>
      </c>
      <c r="E9" s="239">
        <v>0.0</v>
      </c>
      <c r="F9" s="239">
        <v>0.0</v>
      </c>
      <c r="G9" s="87" t="str">
        <f t="shared" si="2"/>
        <v>#DIV/0!</v>
      </c>
    </row>
    <row r="10" ht="15.75" customHeight="1">
      <c r="A10" s="85" t="s">
        <v>148</v>
      </c>
      <c r="B10" s="239">
        <v>0.0</v>
      </c>
      <c r="C10" s="239">
        <v>0.0</v>
      </c>
      <c r="D10" s="239">
        <v>0.0</v>
      </c>
      <c r="E10" s="239">
        <v>0.0</v>
      </c>
      <c r="F10" s="239">
        <v>0.0</v>
      </c>
      <c r="G10" s="87" t="str">
        <f t="shared" si="2"/>
        <v>#DIV/0!</v>
      </c>
    </row>
    <row r="11" ht="15.75" customHeight="1">
      <c r="A11" s="85" t="s">
        <v>149</v>
      </c>
      <c r="B11" s="236">
        <v>3496.0</v>
      </c>
      <c r="C11" s="236">
        <v>8856.0</v>
      </c>
      <c r="D11" s="236">
        <v>1841.0</v>
      </c>
      <c r="E11" s="236">
        <v>10815.0</v>
      </c>
      <c r="F11" s="236">
        <v>16801.0</v>
      </c>
      <c r="G11" s="87">
        <f t="shared" si="2"/>
        <v>0.3688401701</v>
      </c>
    </row>
    <row r="12" ht="15.75" customHeight="1">
      <c r="A12" s="85"/>
      <c r="B12" s="240"/>
      <c r="C12" s="240"/>
      <c r="D12" s="240"/>
      <c r="E12" s="240"/>
      <c r="F12" s="240"/>
      <c r="G12" s="84"/>
    </row>
    <row r="13" ht="15.75" customHeight="1">
      <c r="A13" s="85" t="s">
        <v>150</v>
      </c>
      <c r="B13" s="236">
        <v>49413.0</v>
      </c>
      <c r="C13" s="236">
        <v>52501.0</v>
      </c>
      <c r="D13" s="236">
        <f>151+55182        </f>
        <v>55333</v>
      </c>
      <c r="E13" s="236">
        <v>74600.0</v>
      </c>
      <c r="F13" s="236">
        <v>85636.0</v>
      </c>
      <c r="G13" s="87">
        <f t="shared" ref="G13:G15" si="3">(F13/B13)^(1/5)-1</f>
        <v>0.1162540056</v>
      </c>
    </row>
    <row r="14" ht="15.75" customHeight="1">
      <c r="A14" s="85" t="s">
        <v>151</v>
      </c>
      <c r="B14" s="236">
        <v>2890.0</v>
      </c>
      <c r="C14" s="236">
        <v>2662.0</v>
      </c>
      <c r="D14" s="236">
        <v>2157.0</v>
      </c>
      <c r="E14" s="236">
        <v>2739.0</v>
      </c>
      <c r="F14" s="236">
        <v>3716.0</v>
      </c>
      <c r="G14" s="87">
        <f t="shared" si="3"/>
        <v>0.05156366773</v>
      </c>
    </row>
    <row r="15" ht="15.75" customHeight="1">
      <c r="A15" s="85" t="s">
        <v>152</v>
      </c>
      <c r="B15" s="236">
        <v>15744.0</v>
      </c>
      <c r="C15" s="236">
        <v>14989.0</v>
      </c>
      <c r="D15" s="236">
        <v>13747.0</v>
      </c>
      <c r="E15" s="236">
        <v>27941.0</v>
      </c>
      <c r="F15" s="236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315">
        <f t="shared" ref="B18:F18" si="4">B6/B5</f>
        <v>0.09721120804</v>
      </c>
      <c r="C18" s="315">
        <f t="shared" si="4"/>
        <v>0.07689137725</v>
      </c>
      <c r="D18" s="315">
        <f t="shared" si="4"/>
        <v>0.06511943847</v>
      </c>
      <c r="E18" s="241">
        <f t="shared" si="4"/>
        <v>0.09380714632</v>
      </c>
      <c r="F18" s="315">
        <f t="shared" si="4"/>
        <v>0.1313003144</v>
      </c>
      <c r="G18" s="95"/>
    </row>
    <row r="19" ht="15.75" customHeight="1">
      <c r="A19" s="85" t="s">
        <v>154</v>
      </c>
      <c r="B19" s="98">
        <f t="shared" ref="B19:F19" si="5">B8/B5</f>
        <v>0.07501982554</v>
      </c>
      <c r="C19" s="98">
        <f t="shared" si="5"/>
        <v>0.06236855568</v>
      </c>
      <c r="D19" s="98">
        <f t="shared" si="5"/>
        <v>0.04392618589</v>
      </c>
      <c r="E19" s="98">
        <f t="shared" si="5"/>
        <v>0.07028944212</v>
      </c>
      <c r="F19" s="98">
        <f t="shared" si="5"/>
        <v>0.09508099649</v>
      </c>
      <c r="G19" s="95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14.49606299</v>
      </c>
      <c r="E20" s="98">
        <f t="shared" si="6"/>
        <v>57.8342246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58.97860963</v>
      </c>
      <c r="F21" s="98">
        <f t="shared" si="7"/>
        <v>96.01030928</v>
      </c>
      <c r="G21" s="95"/>
    </row>
    <row r="22" ht="15.75" customHeight="1">
      <c r="A22" s="85" t="s">
        <v>157</v>
      </c>
      <c r="B22" s="98">
        <f t="shared" ref="B22:F22" si="8">B14/B13</f>
        <v>0.05848663307</v>
      </c>
      <c r="C22" s="98">
        <f t="shared" si="8"/>
        <v>0.05070379612</v>
      </c>
      <c r="D22" s="98">
        <f t="shared" si="8"/>
        <v>0.03898216254</v>
      </c>
      <c r="E22" s="98">
        <f t="shared" si="8"/>
        <v>0.03671581769</v>
      </c>
      <c r="F22" s="98">
        <f t="shared" si="8"/>
        <v>0.04339296558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>
        <f t="shared" ref="B24:F24" si="9">B8/B13</f>
        <v>0.1148685569</v>
      </c>
      <c r="C24" s="98">
        <f t="shared" si="9"/>
        <v>0.08359840765</v>
      </c>
      <c r="D24" s="98">
        <f t="shared" si="9"/>
        <v>0.07012090434</v>
      </c>
      <c r="E24" s="98">
        <f t="shared" si="9"/>
        <v>0.1107774799</v>
      </c>
      <c r="F24" s="98">
        <f t="shared" si="9"/>
        <v>0.1575038535</v>
      </c>
      <c r="G24" s="95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0.100052183</v>
      </c>
      <c r="E25" s="98">
        <f t="shared" si="10"/>
        <v>0.1426059297</v>
      </c>
      <c r="F25" s="98">
        <f t="shared" si="10"/>
        <v>0.2084564419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>
        <f t="shared" ref="B30:F30" si="11">B19</f>
        <v>0.07501982554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0.07028944212</v>
      </c>
      <c r="F30" s="98">
        <f t="shared" si="11"/>
        <v>0.09508099649</v>
      </c>
      <c r="G30" s="95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4.207830786</v>
      </c>
      <c r="F31" s="98">
        <f t="shared" si="12"/>
        <v>5.090902566</v>
      </c>
      <c r="G31" s="95"/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0.2484412557</v>
      </c>
      <c r="E32" s="98">
        <f t="shared" si="13"/>
        <v>0.3745442359</v>
      </c>
      <c r="F32" s="98">
        <f t="shared" si="13"/>
        <v>0.3253888552</v>
      </c>
      <c r="G32" s="95"/>
    </row>
    <row r="33" ht="15.75" customHeight="1">
      <c r="A33" s="85" t="s">
        <v>164</v>
      </c>
      <c r="B33" s="98">
        <f t="shared" ref="B33:F33" si="14">B30*B31*B32</f>
        <v>0.1148685569</v>
      </c>
      <c r="C33" s="98">
        <f t="shared" si="14"/>
        <v>0.08359840765</v>
      </c>
      <c r="D33" s="98">
        <f t="shared" si="14"/>
        <v>0.07012090434</v>
      </c>
      <c r="E33" s="98">
        <f t="shared" si="14"/>
        <v>0.1107774799</v>
      </c>
      <c r="F33" s="98">
        <f t="shared" si="14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88">
        <v>511659.0</v>
      </c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16037.2017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88">
        <v>35.0</v>
      </c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246">
        <v>45.0</v>
      </c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215748.2858</v>
      </c>
      <c r="C41" s="95"/>
      <c r="D41" s="77" t="s">
        <v>171</v>
      </c>
      <c r="E41" s="106"/>
      <c r="F41" s="106"/>
      <c r="G41" s="247">
        <v>0.15</v>
      </c>
    </row>
    <row r="42" ht="15.75" customHeight="1">
      <c r="A42" s="85" t="s">
        <v>172</v>
      </c>
      <c r="B42" s="248">
        <v>0.1</v>
      </c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21574.82858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970867.2859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>
        <f>(B44/B36)-1</f>
        <v>0.897488925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86">
        <v>75660.0</v>
      </c>
      <c r="C5" s="86">
        <v>70372.0</v>
      </c>
      <c r="D5" s="86">
        <v>88330.0</v>
      </c>
      <c r="E5" s="86">
        <v>117571.0</v>
      </c>
      <c r="F5" s="86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88">
        <v>7355.0</v>
      </c>
      <c r="C6" s="88">
        <v>5411.0</v>
      </c>
      <c r="D6" s="88">
        <v>5752.0</v>
      </c>
      <c r="E6" s="88">
        <v>11029.0</v>
      </c>
      <c r="F6" s="88">
        <v>18626.0</v>
      </c>
      <c r="G6" s="87">
        <f t="shared" si="2"/>
        <v>0.2042242937</v>
      </c>
    </row>
    <row r="7" ht="15.75" customHeight="1">
      <c r="A7" s="85" t="s">
        <v>19</v>
      </c>
      <c r="B7" s="89">
        <v>134.0</v>
      </c>
      <c r="C7" s="89">
        <v>102.0</v>
      </c>
      <c r="D7" s="89">
        <v>127.0</v>
      </c>
      <c r="E7" s="90">
        <v>187.0</v>
      </c>
      <c r="F7" s="89">
        <v>194.0</v>
      </c>
      <c r="G7" s="87">
        <f t="shared" si="2"/>
        <v>0.07681075935</v>
      </c>
    </row>
    <row r="8" ht="15.75" customHeight="1">
      <c r="A8" s="85" t="s">
        <v>146</v>
      </c>
      <c r="B8" s="88">
        <v>5678.0</v>
      </c>
      <c r="C8" s="88">
        <v>4389.0</v>
      </c>
      <c r="D8" s="88">
        <v>3880.0</v>
      </c>
      <c r="E8" s="88">
        <v>8211.0</v>
      </c>
      <c r="F8" s="88">
        <v>13488.0</v>
      </c>
      <c r="G8" s="87">
        <f t="shared" si="2"/>
        <v>0.1889139801</v>
      </c>
    </row>
    <row r="9" ht="15.75" customHeight="1">
      <c r="A9" s="85" t="s">
        <v>147</v>
      </c>
      <c r="B9" s="283" t="s">
        <v>218</v>
      </c>
      <c r="C9" s="283" t="s">
        <v>218</v>
      </c>
      <c r="D9" s="283" t="s">
        <v>218</v>
      </c>
      <c r="E9" s="283" t="s">
        <v>218</v>
      </c>
      <c r="F9" s="283" t="s">
        <v>218</v>
      </c>
      <c r="G9" s="87" t="str">
        <f t="shared" si="2"/>
        <v>#VALUE!</v>
      </c>
    </row>
    <row r="10" ht="15.75" customHeight="1">
      <c r="A10" s="85" t="s">
        <v>148</v>
      </c>
      <c r="B10" s="283" t="s">
        <v>218</v>
      </c>
      <c r="C10" s="283" t="s">
        <v>218</v>
      </c>
      <c r="D10" s="283" t="s">
        <v>218</v>
      </c>
      <c r="E10" s="283" t="s">
        <v>218</v>
      </c>
      <c r="F10" s="283" t="s">
        <v>218</v>
      </c>
      <c r="G10" s="87" t="str">
        <f t="shared" si="2"/>
        <v>#VALUE!</v>
      </c>
    </row>
    <row r="11" ht="15.75" customHeight="1">
      <c r="A11" s="85" t="s">
        <v>149</v>
      </c>
      <c r="B11" s="88">
        <v>3496.0</v>
      </c>
      <c r="C11" s="88">
        <v>8856.0</v>
      </c>
      <c r="D11" s="88">
        <v>1840.0</v>
      </c>
      <c r="E11" s="88">
        <v>9251.0</v>
      </c>
      <c r="F11" s="88">
        <v>16801.0</v>
      </c>
      <c r="G11" s="87">
        <f t="shared" si="2"/>
        <v>0.3688401701</v>
      </c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88">
        <v>49413.0</v>
      </c>
      <c r="C13" s="88">
        <v>52501.0</v>
      </c>
      <c r="D13" s="88">
        <v>55333.0</v>
      </c>
      <c r="E13" s="88">
        <v>61791.0</v>
      </c>
      <c r="F13" s="88">
        <v>85630.0</v>
      </c>
      <c r="G13" s="87">
        <f t="shared" ref="G13:G15" si="3">(F13/B13)^(1/5)-1</f>
        <v>0.1162383633</v>
      </c>
    </row>
    <row r="14" ht="15.75" customHeight="1">
      <c r="A14" s="85" t="s">
        <v>151</v>
      </c>
      <c r="B14" s="88">
        <v>2890.0</v>
      </c>
      <c r="C14" s="88">
        <v>2662.0</v>
      </c>
      <c r="D14" s="88">
        <v>2157.0</v>
      </c>
      <c r="E14" s="88">
        <v>2739.0</v>
      </c>
      <c r="F14" s="88">
        <v>3716.0</v>
      </c>
      <c r="G14" s="87">
        <f t="shared" si="3"/>
        <v>0.05156366773</v>
      </c>
    </row>
    <row r="15" ht="15.75" customHeight="1">
      <c r="A15" s="85" t="s">
        <v>152</v>
      </c>
      <c r="B15" s="88">
        <v>15744.0</v>
      </c>
      <c r="C15" s="88">
        <v>14989.0</v>
      </c>
      <c r="D15" s="88">
        <v>13747.0</v>
      </c>
      <c r="E15" s="88">
        <v>17830.0</v>
      </c>
      <c r="F15" s="88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279">
        <f t="shared" ref="B18:F18" si="4">B6/B5</f>
        <v>0.09721120804</v>
      </c>
      <c r="C18" s="279">
        <f t="shared" si="4"/>
        <v>0.07689137725</v>
      </c>
      <c r="D18" s="279">
        <f t="shared" si="4"/>
        <v>0.06511943847</v>
      </c>
      <c r="E18" s="279">
        <f t="shared" si="4"/>
        <v>0.09380714632</v>
      </c>
      <c r="F18" s="279">
        <f t="shared" si="4"/>
        <v>0.1313003144</v>
      </c>
      <c r="G18" s="95"/>
    </row>
    <row r="19" ht="15.75" customHeight="1">
      <c r="A19" s="85" t="s">
        <v>154</v>
      </c>
      <c r="B19" s="279">
        <f t="shared" ref="B19:F19" si="5">B8/B5</f>
        <v>0.07504625958</v>
      </c>
      <c r="C19" s="279">
        <f t="shared" si="5"/>
        <v>0.06236855568</v>
      </c>
      <c r="D19" s="279">
        <f t="shared" si="5"/>
        <v>0.04392618589</v>
      </c>
      <c r="E19" s="279">
        <f t="shared" si="5"/>
        <v>0.06983865069</v>
      </c>
      <c r="F19" s="279">
        <f t="shared" si="5"/>
        <v>0.09508099649</v>
      </c>
      <c r="G19" s="95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14.48818898</v>
      </c>
      <c r="E20" s="98">
        <f t="shared" si="6"/>
        <v>49.47058824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58.97860963</v>
      </c>
      <c r="F21" s="98">
        <f t="shared" si="7"/>
        <v>96.01030928</v>
      </c>
      <c r="G21" s="95"/>
    </row>
    <row r="22" ht="15.75" customHeight="1">
      <c r="A22" s="85" t="s">
        <v>157</v>
      </c>
      <c r="B22" s="279">
        <f t="shared" ref="B22:F22" si="8">B14/B13</f>
        <v>0.05848663307</v>
      </c>
      <c r="C22" s="279">
        <f t="shared" si="8"/>
        <v>0.05070379612</v>
      </c>
      <c r="D22" s="279">
        <f t="shared" si="8"/>
        <v>0.03898216254</v>
      </c>
      <c r="E22" s="279">
        <f t="shared" si="8"/>
        <v>0.04432684372</v>
      </c>
      <c r="F22" s="279">
        <f t="shared" si="8"/>
        <v>0.04339600607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>
        <f t="shared" ref="B24:F24" si="9">B8/B13</f>
        <v>0.114909032</v>
      </c>
      <c r="C24" s="98">
        <f t="shared" si="9"/>
        <v>0.08359840765</v>
      </c>
      <c r="D24" s="98">
        <f t="shared" si="9"/>
        <v>0.07012090434</v>
      </c>
      <c r="E24" s="98">
        <f t="shared" si="9"/>
        <v>0.1328834296</v>
      </c>
      <c r="F24" s="98">
        <f t="shared" si="9"/>
        <v>0.1575148896</v>
      </c>
      <c r="G24" s="95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0.100052183</v>
      </c>
      <c r="E25" s="98">
        <f t="shared" si="10"/>
        <v>0.1709127538</v>
      </c>
      <c r="F25" s="98">
        <f t="shared" si="10"/>
        <v>0.2084704408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>
        <f t="shared" ref="B30:F30" si="11">B19</f>
        <v>0.07504625958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0.06983865069</v>
      </c>
      <c r="F30" s="98">
        <f t="shared" si="11"/>
        <v>0.09508099649</v>
      </c>
      <c r="G30" s="95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6.593998878</v>
      </c>
      <c r="F31" s="98">
        <f t="shared" si="12"/>
        <v>5.090902566</v>
      </c>
      <c r="G31" s="95"/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0.2484412557</v>
      </c>
      <c r="E32" s="98">
        <f t="shared" si="13"/>
        <v>0.2885533492</v>
      </c>
      <c r="F32" s="98">
        <f t="shared" si="13"/>
        <v>0.3254116548</v>
      </c>
      <c r="G32" s="95"/>
    </row>
    <row r="33" ht="15.75" customHeight="1">
      <c r="A33" s="85" t="s">
        <v>164</v>
      </c>
      <c r="B33" s="98">
        <f t="shared" ref="B33:F33" si="14">B30*B31*B32</f>
        <v>0.114909032</v>
      </c>
      <c r="C33" s="98">
        <f t="shared" si="14"/>
        <v>0.08359840765</v>
      </c>
      <c r="D33" s="98">
        <f t="shared" si="14"/>
        <v>0.07012090434</v>
      </c>
      <c r="E33" s="98">
        <f t="shared" si="14"/>
        <v>0.1328834296</v>
      </c>
      <c r="F33" s="98">
        <f t="shared" si="14"/>
        <v>0.1575148896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88">
        <v>511659.0</v>
      </c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16036.07176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88">
        <v>35.2</v>
      </c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246">
        <v>40.0</v>
      </c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227201.617</v>
      </c>
      <c r="C41" s="95"/>
      <c r="D41" s="77" t="s">
        <v>171</v>
      </c>
      <c r="E41" s="106"/>
      <c r="F41" s="106"/>
      <c r="G41" s="247">
        <v>0.17</v>
      </c>
    </row>
    <row r="42" ht="15.75" customHeight="1">
      <c r="A42" s="85" t="s">
        <v>172</v>
      </c>
      <c r="B42" s="248">
        <v>0.1</v>
      </c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22720.1617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908806.4678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>
        <f>(B44/B36)-1</f>
        <v>0.7761956065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86">
        <v>75660.0</v>
      </c>
      <c r="C5" s="86">
        <v>70372.0</v>
      </c>
      <c r="D5" s="86">
        <v>88330.0</v>
      </c>
      <c r="E5" s="86">
        <v>117571.0</v>
      </c>
      <c r="F5" s="86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88">
        <v>7355.0</v>
      </c>
      <c r="C6" s="88" t="s">
        <v>243</v>
      </c>
      <c r="D6" s="88">
        <v>5752.0</v>
      </c>
      <c r="E6" s="88">
        <v>11029.0</v>
      </c>
      <c r="F6" s="88">
        <v>18626.0</v>
      </c>
      <c r="G6" s="87">
        <f t="shared" si="2"/>
        <v>0.2042242937</v>
      </c>
    </row>
    <row r="7" ht="15.75" customHeight="1">
      <c r="A7" s="85" t="s">
        <v>19</v>
      </c>
      <c r="B7" s="89">
        <v>134.0</v>
      </c>
      <c r="C7" s="89">
        <v>102.0</v>
      </c>
      <c r="D7" s="89">
        <v>127.0</v>
      </c>
      <c r="E7" s="90">
        <v>187.0</v>
      </c>
      <c r="F7" s="89">
        <v>194.0</v>
      </c>
      <c r="G7" s="87">
        <f t="shared" si="2"/>
        <v>0.07681075935</v>
      </c>
    </row>
    <row r="8" ht="15.75" customHeight="1">
      <c r="A8" s="85" t="s">
        <v>146</v>
      </c>
      <c r="B8" s="88">
        <v>7103.0</v>
      </c>
      <c r="C8" s="88">
        <v>5321.0</v>
      </c>
      <c r="D8" s="88">
        <v>4697.0</v>
      </c>
      <c r="E8" s="88">
        <v>10323.0</v>
      </c>
      <c r="F8" s="88">
        <v>17424.0</v>
      </c>
      <c r="G8" s="87">
        <f t="shared" si="2"/>
        <v>0.1965785395</v>
      </c>
    </row>
    <row r="9" ht="15.75" customHeight="1">
      <c r="A9" s="85" t="s">
        <v>147</v>
      </c>
      <c r="B9" s="283" t="s">
        <v>218</v>
      </c>
      <c r="C9" s="283" t="s">
        <v>218</v>
      </c>
      <c r="D9" s="283" t="s">
        <v>218</v>
      </c>
      <c r="E9" s="283" t="s">
        <v>218</v>
      </c>
      <c r="F9" s="283" t="s">
        <v>218</v>
      </c>
      <c r="G9" s="87" t="str">
        <f t="shared" si="2"/>
        <v>#VALUE!</v>
      </c>
    </row>
    <row r="10" ht="15.75" customHeight="1">
      <c r="A10" s="85" t="s">
        <v>148</v>
      </c>
      <c r="B10" s="283" t="s">
        <v>218</v>
      </c>
      <c r="C10" s="283" t="s">
        <v>218</v>
      </c>
      <c r="D10" s="283" t="s">
        <v>218</v>
      </c>
      <c r="E10" s="283" t="s">
        <v>218</v>
      </c>
      <c r="F10" s="283" t="s">
        <v>218</v>
      </c>
      <c r="G10" s="87" t="str">
        <f t="shared" si="2"/>
        <v>#VALUE!</v>
      </c>
    </row>
    <row r="11" ht="15.75" customHeight="1">
      <c r="A11" s="85" t="s">
        <v>149</v>
      </c>
      <c r="B11" s="88">
        <v>3496.0</v>
      </c>
      <c r="C11" s="88">
        <v>8856.0</v>
      </c>
      <c r="D11" s="88">
        <v>1840.0</v>
      </c>
      <c r="E11" s="88">
        <v>9251.0</v>
      </c>
      <c r="F11" s="88">
        <v>16801.0</v>
      </c>
      <c r="G11" s="87">
        <f t="shared" si="2"/>
        <v>0.3688401701</v>
      </c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88">
        <v>49413.0</v>
      </c>
      <c r="C13" s="88">
        <v>52501.0</v>
      </c>
      <c r="D13" s="88">
        <v>55333.0</v>
      </c>
      <c r="E13" s="88">
        <v>61791.0</v>
      </c>
      <c r="F13" s="88">
        <v>85636.0</v>
      </c>
      <c r="G13" s="87">
        <f t="shared" ref="G13:G15" si="3">(F13/B13)^(1/5)-1</f>
        <v>0.1162540056</v>
      </c>
    </row>
    <row r="14" ht="15.75" customHeight="1">
      <c r="A14" s="85" t="s">
        <v>151</v>
      </c>
      <c r="B14" s="88">
        <v>14215.0</v>
      </c>
      <c r="C14" s="94"/>
      <c r="D14" s="94"/>
      <c r="E14" s="94"/>
      <c r="F14" s="94"/>
      <c r="G14" s="87">
        <f t="shared" si="3"/>
        <v>-1</v>
      </c>
    </row>
    <row r="15" ht="15.75" customHeight="1">
      <c r="A15" s="85" t="s">
        <v>152</v>
      </c>
      <c r="B15" s="94"/>
      <c r="C15" s="94"/>
      <c r="D15" s="94"/>
      <c r="E15" s="94"/>
      <c r="F15" s="94"/>
      <c r="G15" s="87" t="str">
        <f t="shared" si="3"/>
        <v>#DIV/0!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98">
        <f t="shared" ref="B18:F18" si="4">B6/B5</f>
        <v>0.09721120804</v>
      </c>
      <c r="C18" s="98" t="str">
        <f t="shared" si="4"/>
        <v>#VALUE!</v>
      </c>
      <c r="D18" s="98">
        <f t="shared" si="4"/>
        <v>0.06511943847</v>
      </c>
      <c r="E18" s="98">
        <f t="shared" si="4"/>
        <v>0.09380714632</v>
      </c>
      <c r="F18" s="98">
        <f t="shared" si="4"/>
        <v>0.1313003144</v>
      </c>
      <c r="G18" s="95"/>
    </row>
    <row r="19" ht="15.75" customHeight="1">
      <c r="A19" s="85" t="s">
        <v>154</v>
      </c>
      <c r="B19" s="98">
        <f t="shared" ref="B19:F19" si="5">B8/B5</f>
        <v>0.09388051811</v>
      </c>
      <c r="C19" s="98">
        <f t="shared" si="5"/>
        <v>0.0756124595</v>
      </c>
      <c r="D19" s="98">
        <f t="shared" si="5"/>
        <v>0.05317559153</v>
      </c>
      <c r="E19" s="98">
        <f t="shared" si="5"/>
        <v>0.08780226416</v>
      </c>
      <c r="F19" s="98">
        <f t="shared" si="5"/>
        <v>0.1228270524</v>
      </c>
      <c r="G19" s="95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14.48818898</v>
      </c>
      <c r="E20" s="98">
        <f t="shared" si="6"/>
        <v>49.47058824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 t="str">
        <f t="shared" si="7"/>
        <v>#VALUE!</v>
      </c>
      <c r="D21" s="98">
        <f t="shared" si="7"/>
        <v>45.29133858</v>
      </c>
      <c r="E21" s="98">
        <f t="shared" si="7"/>
        <v>58.97860963</v>
      </c>
      <c r="F21" s="98">
        <f t="shared" si="7"/>
        <v>96.01030928</v>
      </c>
      <c r="G21" s="95"/>
    </row>
    <row r="22" ht="15.75" customHeight="1">
      <c r="A22" s="85" t="s">
        <v>157</v>
      </c>
      <c r="B22" s="98">
        <f t="shared" ref="B22:F22" si="8">B14/B13</f>
        <v>0.2876773319</v>
      </c>
      <c r="C22" s="98">
        <f t="shared" si="8"/>
        <v>0</v>
      </c>
      <c r="D22" s="98">
        <f t="shared" si="8"/>
        <v>0</v>
      </c>
      <c r="E22" s="98">
        <f t="shared" si="8"/>
        <v>0</v>
      </c>
      <c r="F22" s="98">
        <f t="shared" si="8"/>
        <v>0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>
        <f t="shared" ref="B24:F24" si="9">B8/B13</f>
        <v>0.1437475968</v>
      </c>
      <c r="C24" s="98">
        <f t="shared" si="9"/>
        <v>0.1013504505</v>
      </c>
      <c r="D24" s="98">
        <f t="shared" si="9"/>
        <v>0.08488605353</v>
      </c>
      <c r="E24" s="98">
        <f t="shared" si="9"/>
        <v>0.1670631645</v>
      </c>
      <c r="F24" s="98">
        <f t="shared" si="9"/>
        <v>0.2034658321</v>
      </c>
      <c r="G24" s="95"/>
    </row>
    <row r="25" ht="15.75" customHeight="1">
      <c r="A25" s="85" t="s">
        <v>159</v>
      </c>
      <c r="B25" s="98">
        <f t="shared" ref="B25:F25" si="10">B6/SUM(B13:B14)</f>
        <v>0.1155937638</v>
      </c>
      <c r="C25" s="98" t="str">
        <f t="shared" si="10"/>
        <v>#VALUE!</v>
      </c>
      <c r="D25" s="98">
        <f t="shared" si="10"/>
        <v>0.1039524334</v>
      </c>
      <c r="E25" s="98">
        <f t="shared" si="10"/>
        <v>0.1784887767</v>
      </c>
      <c r="F25" s="98">
        <f t="shared" si="10"/>
        <v>0.2175019851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>
        <f t="shared" ref="B30:F30" si="11">B19</f>
        <v>0.09388051811</v>
      </c>
      <c r="C30" s="98">
        <f t="shared" si="11"/>
        <v>0.0756124595</v>
      </c>
      <c r="D30" s="98">
        <f t="shared" si="11"/>
        <v>0.05317559153</v>
      </c>
      <c r="E30" s="98">
        <f t="shared" si="11"/>
        <v>0.08780226416</v>
      </c>
      <c r="F30" s="98">
        <f t="shared" si="11"/>
        <v>0.1228270524</v>
      </c>
      <c r="G30" s="95"/>
    </row>
    <row r="31" ht="15.75" customHeight="1">
      <c r="A31" s="85" t="s">
        <v>162</v>
      </c>
      <c r="B31" s="98" t="str">
        <f t="shared" ref="B31:F31" si="12">B5/B15</f>
        <v>#DIV/0!</v>
      </c>
      <c r="C31" s="98" t="str">
        <f t="shared" si="12"/>
        <v>#DIV/0!</v>
      </c>
      <c r="D31" s="98" t="str">
        <f t="shared" si="12"/>
        <v>#DIV/0!</v>
      </c>
      <c r="E31" s="98" t="str">
        <f t="shared" si="12"/>
        <v>#DIV/0!</v>
      </c>
      <c r="F31" s="98" t="str">
        <f t="shared" si="12"/>
        <v>#DIV/0!</v>
      </c>
      <c r="G31" s="95"/>
    </row>
    <row r="32" ht="15.75" customHeight="1">
      <c r="A32" s="85" t="s">
        <v>163</v>
      </c>
      <c r="B32" s="98">
        <f t="shared" ref="B32:F32" si="13">B15/B13</f>
        <v>0</v>
      </c>
      <c r="C32" s="98">
        <f t="shared" si="13"/>
        <v>0</v>
      </c>
      <c r="D32" s="98">
        <f t="shared" si="13"/>
        <v>0</v>
      </c>
      <c r="E32" s="98">
        <f t="shared" si="13"/>
        <v>0</v>
      </c>
      <c r="F32" s="98">
        <f t="shared" si="13"/>
        <v>0</v>
      </c>
      <c r="G32" s="95"/>
    </row>
    <row r="33" ht="15.75" customHeight="1">
      <c r="A33" s="85" t="s">
        <v>164</v>
      </c>
      <c r="B33" s="98" t="str">
        <f t="shared" ref="B33:F33" si="14">B30*B31*B32</f>
        <v>#DIV/0!</v>
      </c>
      <c r="C33" s="98" t="str">
        <f t="shared" si="14"/>
        <v>#DIV/0!</v>
      </c>
      <c r="D33" s="98" t="str">
        <f t="shared" si="14"/>
        <v>#DIV/0!</v>
      </c>
      <c r="E33" s="98" t="str">
        <f t="shared" si="14"/>
        <v>#DIV/0!</v>
      </c>
      <c r="F33" s="98" t="str">
        <f t="shared" si="14"/>
        <v>#DIV/0!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88">
        <v>511659.0</v>
      </c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20849.18447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94"/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104"/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215748.2858</v>
      </c>
      <c r="C41" s="95"/>
      <c r="D41" s="77" t="s">
        <v>171</v>
      </c>
      <c r="E41" s="106"/>
      <c r="F41" s="106"/>
      <c r="G41" s="247">
        <v>0.15</v>
      </c>
    </row>
    <row r="42" ht="15.75" customHeight="1">
      <c r="A42" s="85" t="s">
        <v>172</v>
      </c>
      <c r="B42" s="248">
        <v>0.1</v>
      </c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21574.82858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316">
        <v>700058.0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>
        <f>(B44/B36)-1</f>
        <v>0.3682120318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/>
  </sheetViews>
  <sheetFormatPr customHeight="1" defaultColWidth="12.63" defaultRowHeight="15.0"/>
  <cols>
    <col customWidth="1" min="1" max="1" width="26.63"/>
  </cols>
  <sheetData>
    <row r="1">
      <c r="A1" s="317" t="s">
        <v>244</v>
      </c>
      <c r="B1" s="318" t="s">
        <v>241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>
      <c r="A2" s="70"/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>
      <c r="A3" s="319"/>
      <c r="B3" s="320">
        <v>2020.0</v>
      </c>
      <c r="C3" s="320">
        <f t="shared" ref="C3:F3" si="1">B3+1</f>
        <v>2021</v>
      </c>
      <c r="D3" s="320">
        <f t="shared" si="1"/>
        <v>2022</v>
      </c>
      <c r="E3" s="320">
        <f t="shared" si="1"/>
        <v>2023</v>
      </c>
      <c r="F3" s="320">
        <f t="shared" si="1"/>
        <v>2024</v>
      </c>
      <c r="G3" s="321" t="s">
        <v>141</v>
      </c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>
      <c r="A4" s="322"/>
      <c r="B4" s="323" t="s">
        <v>143</v>
      </c>
      <c r="C4" s="82"/>
      <c r="D4" s="82"/>
      <c r="E4" s="82"/>
      <c r="F4" s="83"/>
      <c r="G4" s="324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>
      <c r="A5" s="325" t="s">
        <v>144</v>
      </c>
      <c r="B5" s="280">
        <v>75660.0</v>
      </c>
      <c r="C5" s="280">
        <v>70372.0</v>
      </c>
      <c r="D5" s="280">
        <v>88330.0</v>
      </c>
      <c r="E5" s="280">
        <v>117571.0</v>
      </c>
      <c r="F5" s="280">
        <v>141858.0</v>
      </c>
      <c r="G5" s="326">
        <f t="shared" ref="G5:G11" si="2">(F5/B5)^(1/5)-1</f>
        <v>0.1339593835</v>
      </c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>
      <c r="A6" s="325" t="s">
        <v>145</v>
      </c>
      <c r="B6" s="280">
        <v>7355.0</v>
      </c>
      <c r="C6" s="286">
        <v>5411.0</v>
      </c>
      <c r="D6" s="280">
        <v>5752.0</v>
      </c>
      <c r="E6" s="280">
        <v>11029.0</v>
      </c>
      <c r="F6" s="280">
        <v>18626.0</v>
      </c>
      <c r="G6" s="326">
        <f t="shared" si="2"/>
        <v>0.2042242937</v>
      </c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>
      <c r="A7" s="325" t="s">
        <v>19</v>
      </c>
      <c r="B7" s="327">
        <v>134.0</v>
      </c>
      <c r="C7" s="328">
        <v>102.0</v>
      </c>
      <c r="D7" s="327">
        <v>127.0</v>
      </c>
      <c r="E7" s="329">
        <v>187.0</v>
      </c>
      <c r="F7" s="327">
        <v>194.0</v>
      </c>
      <c r="G7" s="326">
        <f t="shared" si="2"/>
        <v>0.07681075935</v>
      </c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>
      <c r="A8" s="325" t="s">
        <v>146</v>
      </c>
      <c r="B8" s="282">
        <v>5678.0</v>
      </c>
      <c r="C8" s="281">
        <v>4389.0</v>
      </c>
      <c r="D8" s="281">
        <v>3880.0</v>
      </c>
      <c r="E8" s="281">
        <v>8211.0</v>
      </c>
      <c r="F8" s="281">
        <v>13488.0</v>
      </c>
      <c r="G8" s="326">
        <f t="shared" si="2"/>
        <v>0.1889139801</v>
      </c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>
      <c r="A9" s="325" t="s">
        <v>147</v>
      </c>
      <c r="B9" s="330" t="s">
        <v>218</v>
      </c>
      <c r="C9" s="330" t="s">
        <v>218</v>
      </c>
      <c r="D9" s="330" t="s">
        <v>218</v>
      </c>
      <c r="E9" s="330" t="s">
        <v>218</v>
      </c>
      <c r="F9" s="330" t="s">
        <v>218</v>
      </c>
      <c r="G9" s="326" t="str">
        <f t="shared" si="2"/>
        <v>#VALUE!</v>
      </c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>
      <c r="A10" s="325" t="s">
        <v>148</v>
      </c>
      <c r="B10" s="330" t="s">
        <v>218</v>
      </c>
      <c r="C10" s="330" t="s">
        <v>218</v>
      </c>
      <c r="D10" s="330" t="s">
        <v>218</v>
      </c>
      <c r="E10" s="330" t="s">
        <v>218</v>
      </c>
      <c r="F10" s="330" t="s">
        <v>218</v>
      </c>
      <c r="G10" s="326" t="str">
        <f t="shared" si="2"/>
        <v>#VALUE!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>
      <c r="A11" s="325" t="s">
        <v>149</v>
      </c>
      <c r="B11" s="280">
        <v>3496.0</v>
      </c>
      <c r="C11" s="280">
        <v>8856.0</v>
      </c>
      <c r="D11" s="280">
        <v>1840.0</v>
      </c>
      <c r="E11" s="280">
        <v>9251.0</v>
      </c>
      <c r="F11" s="280">
        <v>16801.0</v>
      </c>
      <c r="G11" s="326">
        <f t="shared" si="2"/>
        <v>0.3688401701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>
      <c r="A12" s="322"/>
      <c r="B12" s="331"/>
      <c r="C12" s="331"/>
      <c r="D12" s="331"/>
      <c r="E12" s="331"/>
      <c r="F12" s="331"/>
      <c r="G12" s="324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>
      <c r="A13" s="325" t="s">
        <v>150</v>
      </c>
      <c r="B13" s="332">
        <f>49262+151</f>
        <v>49413</v>
      </c>
      <c r="C13" s="332">
        <f>52350+151</f>
        <v>52501</v>
      </c>
      <c r="D13" s="332">
        <f>55182+151</f>
        <v>55333</v>
      </c>
      <c r="E13" s="332">
        <f>61640+151</f>
        <v>61791</v>
      </c>
      <c r="F13" s="332">
        <f>85479+151</f>
        <v>85630</v>
      </c>
      <c r="G13" s="326">
        <f t="shared" ref="G13:G15" si="3">(F13/B13)^(1/5)-1</f>
        <v>0.1162383633</v>
      </c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>
      <c r="A14" s="325" t="s">
        <v>151</v>
      </c>
      <c r="B14" s="333">
        <v>2890.0</v>
      </c>
      <c r="C14" s="333">
        <v>2662.0</v>
      </c>
      <c r="D14" s="333">
        <v>2157.0</v>
      </c>
      <c r="E14" s="333">
        <v>2739.0</v>
      </c>
      <c r="F14" s="333">
        <v>3716.0</v>
      </c>
      <c r="G14" s="326">
        <f t="shared" si="3"/>
        <v>0.05156366773</v>
      </c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>
      <c r="A15" s="325" t="s">
        <v>152</v>
      </c>
      <c r="B15" s="333">
        <v>15744.0</v>
      </c>
      <c r="C15" s="333">
        <v>14989.0</v>
      </c>
      <c r="D15" s="333">
        <v>13747.0</v>
      </c>
      <c r="E15" s="333">
        <v>17830.0</v>
      </c>
      <c r="F15" s="333">
        <v>27865.0</v>
      </c>
      <c r="G15" s="326">
        <f t="shared" si="3"/>
        <v>0.1209565868</v>
      </c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>
      <c r="A16" s="70"/>
      <c r="B16" s="51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>
      <c r="A18" s="334" t="s">
        <v>153</v>
      </c>
      <c r="B18" s="335">
        <f t="shared" ref="B18:F18" si="4">B6/B5</f>
        <v>0.09721120804</v>
      </c>
      <c r="C18" s="335">
        <f t="shared" si="4"/>
        <v>0.07689137725</v>
      </c>
      <c r="D18" s="335">
        <f t="shared" si="4"/>
        <v>0.06511943847</v>
      </c>
      <c r="E18" s="335">
        <f t="shared" si="4"/>
        <v>0.09380714632</v>
      </c>
      <c r="F18" s="335">
        <f t="shared" si="4"/>
        <v>0.1313003144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>
      <c r="A19" s="325" t="s">
        <v>154</v>
      </c>
      <c r="B19" s="335">
        <f t="shared" ref="B19:F19" si="5">B8/B5</f>
        <v>0.07504625958</v>
      </c>
      <c r="C19" s="335">
        <f t="shared" si="5"/>
        <v>0.06236855568</v>
      </c>
      <c r="D19" s="335">
        <f t="shared" si="5"/>
        <v>0.04392618589</v>
      </c>
      <c r="E19" s="335">
        <f t="shared" si="5"/>
        <v>0.06983865069</v>
      </c>
      <c r="F19" s="335">
        <f t="shared" si="5"/>
        <v>0.09508099649</v>
      </c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>
      <c r="A20" s="325" t="s">
        <v>155</v>
      </c>
      <c r="B20" s="336">
        <f t="shared" ref="B20:F20" si="6">B11/B7</f>
        <v>26.08955224</v>
      </c>
      <c r="C20" s="336">
        <f t="shared" si="6"/>
        <v>86.82352941</v>
      </c>
      <c r="D20" s="336">
        <f t="shared" si="6"/>
        <v>14.48818898</v>
      </c>
      <c r="E20" s="336">
        <f t="shared" si="6"/>
        <v>49.47058824</v>
      </c>
      <c r="F20" s="336">
        <f t="shared" si="6"/>
        <v>86.60309278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>
      <c r="A21" s="325" t="s">
        <v>156</v>
      </c>
      <c r="B21" s="336">
        <f t="shared" ref="B21:F21" si="7">B6/B7</f>
        <v>54.8880597</v>
      </c>
      <c r="C21" s="336">
        <f t="shared" si="7"/>
        <v>53.04901961</v>
      </c>
      <c r="D21" s="336">
        <f t="shared" si="7"/>
        <v>45.29133858</v>
      </c>
      <c r="E21" s="336">
        <f t="shared" si="7"/>
        <v>58.97860963</v>
      </c>
      <c r="F21" s="336">
        <f t="shared" si="7"/>
        <v>96.01030928</v>
      </c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>
      <c r="A22" s="325" t="s">
        <v>157</v>
      </c>
      <c r="B22" s="336">
        <f t="shared" ref="B22:F22" si="8">B14/B13</f>
        <v>0.05848663307</v>
      </c>
      <c r="C22" s="336">
        <f t="shared" si="8"/>
        <v>0.05070379612</v>
      </c>
      <c r="D22" s="336">
        <f t="shared" si="8"/>
        <v>0.03898216254</v>
      </c>
      <c r="E22" s="336">
        <f t="shared" si="8"/>
        <v>0.04432684372</v>
      </c>
      <c r="F22" s="336">
        <f t="shared" si="8"/>
        <v>0.04339600607</v>
      </c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>
      <c r="A23" s="322"/>
      <c r="B23" s="324"/>
      <c r="C23" s="324"/>
      <c r="D23" s="324"/>
      <c r="E23" s="324"/>
      <c r="F23" s="324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>
      <c r="A24" s="325" t="s">
        <v>158</v>
      </c>
      <c r="B24" s="336">
        <f t="shared" ref="B24:F24" si="9">B8/B13</f>
        <v>0.114909032</v>
      </c>
      <c r="C24" s="336">
        <f t="shared" si="9"/>
        <v>0.08359840765</v>
      </c>
      <c r="D24" s="336">
        <f t="shared" si="9"/>
        <v>0.07012090434</v>
      </c>
      <c r="E24" s="336">
        <f t="shared" si="9"/>
        <v>0.1328834296</v>
      </c>
      <c r="F24" s="336">
        <f t="shared" si="9"/>
        <v>0.1575148896</v>
      </c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>
      <c r="A25" s="325" t="s">
        <v>159</v>
      </c>
      <c r="B25" s="336">
        <f t="shared" ref="B25:F25" si="10">B6/SUM(B13:B14)</f>
        <v>0.1406229088</v>
      </c>
      <c r="C25" s="336">
        <f t="shared" si="10"/>
        <v>0.0980911118</v>
      </c>
      <c r="D25" s="336">
        <f t="shared" si="10"/>
        <v>0.100052183</v>
      </c>
      <c r="E25" s="336">
        <f t="shared" si="10"/>
        <v>0.1709127538</v>
      </c>
      <c r="F25" s="336">
        <f t="shared" si="10"/>
        <v>0.2084704408</v>
      </c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>
      <c r="A26" s="325" t="s">
        <v>160</v>
      </c>
      <c r="B26" s="337">
        <v>0.0</v>
      </c>
      <c r="C26" s="337">
        <v>0.0</v>
      </c>
      <c r="D26" s="337">
        <v>0.0</v>
      </c>
      <c r="E26" s="337">
        <v>0.0</v>
      </c>
      <c r="F26" s="337">
        <v>0.0</v>
      </c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>
      <c r="A27" s="325" t="s">
        <v>161</v>
      </c>
      <c r="B27" s="338">
        <v>0.0</v>
      </c>
      <c r="C27" s="338">
        <v>0.0</v>
      </c>
      <c r="D27" s="338">
        <v>0.0</v>
      </c>
      <c r="E27" s="338">
        <v>0.0</v>
      </c>
      <c r="F27" s="338">
        <v>0.0</v>
      </c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>
      <c r="A28" s="322"/>
      <c r="B28" s="324"/>
      <c r="C28" s="324"/>
      <c r="D28" s="324"/>
      <c r="E28" s="324"/>
      <c r="F28" s="324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>
      <c r="A29" s="322"/>
      <c r="B29" s="324"/>
      <c r="C29" s="324"/>
      <c r="D29" s="324"/>
      <c r="E29" s="324"/>
      <c r="F29" s="324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>
      <c r="A30" s="325" t="s">
        <v>154</v>
      </c>
      <c r="B30" s="336">
        <f t="shared" ref="B30:F30" si="11">B19</f>
        <v>0.07504625958</v>
      </c>
      <c r="C30" s="336">
        <f t="shared" si="11"/>
        <v>0.06236855568</v>
      </c>
      <c r="D30" s="336">
        <f t="shared" si="11"/>
        <v>0.04392618589</v>
      </c>
      <c r="E30" s="336">
        <f t="shared" si="11"/>
        <v>0.06983865069</v>
      </c>
      <c r="F30" s="336">
        <f t="shared" si="11"/>
        <v>0.09508099649</v>
      </c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>
      <c r="A31" s="325" t="s">
        <v>162</v>
      </c>
      <c r="B31" s="336">
        <f t="shared" ref="B31:F31" si="12">B5/B15</f>
        <v>4.805640244</v>
      </c>
      <c r="C31" s="336">
        <f t="shared" si="12"/>
        <v>4.6949096</v>
      </c>
      <c r="D31" s="336">
        <f t="shared" si="12"/>
        <v>6.425401906</v>
      </c>
      <c r="E31" s="336">
        <f t="shared" si="12"/>
        <v>6.593998878</v>
      </c>
      <c r="F31" s="336">
        <f t="shared" si="12"/>
        <v>5.090902566</v>
      </c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>
      <c r="A32" s="325" t="s">
        <v>163</v>
      </c>
      <c r="B32" s="336">
        <f t="shared" ref="B32:F32" si="13">B15/B13</f>
        <v>0.3186206059</v>
      </c>
      <c r="C32" s="336">
        <f t="shared" si="13"/>
        <v>0.2854993238</v>
      </c>
      <c r="D32" s="336">
        <f t="shared" si="13"/>
        <v>0.2484412557</v>
      </c>
      <c r="E32" s="336">
        <f t="shared" si="13"/>
        <v>0.2885533492</v>
      </c>
      <c r="F32" s="336">
        <f t="shared" si="13"/>
        <v>0.3254116548</v>
      </c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>
      <c r="A33" s="325" t="s">
        <v>164</v>
      </c>
      <c r="B33" s="336">
        <f t="shared" ref="B33:F33" si="14">B30*B31*B32</f>
        <v>0.114909032</v>
      </c>
      <c r="C33" s="336">
        <f t="shared" si="14"/>
        <v>0.08359840765</v>
      </c>
      <c r="D33" s="336">
        <f t="shared" si="14"/>
        <v>0.07012090434</v>
      </c>
      <c r="E33" s="336">
        <f t="shared" si="14"/>
        <v>0.1328834296</v>
      </c>
      <c r="F33" s="336">
        <f t="shared" si="14"/>
        <v>0.1575148896</v>
      </c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>
      <c r="A35" s="334" t="s">
        <v>165</v>
      </c>
      <c r="B35" s="339">
        <v>5.0</v>
      </c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325" t="s">
        <v>166</v>
      </c>
      <c r="B36" s="333">
        <v>511659.0</v>
      </c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325" t="s">
        <v>167</v>
      </c>
      <c r="B37" s="340">
        <f>F8*(1+G8)</f>
        <v>16036.07176</v>
      </c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325" t="s">
        <v>168</v>
      </c>
      <c r="B38" s="333">
        <v>35.0</v>
      </c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322"/>
      <c r="B39" s="324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325" t="s">
        <v>169</v>
      </c>
      <c r="B40" s="327">
        <v>40.0</v>
      </c>
      <c r="C40" s="317" t="s">
        <v>239</v>
      </c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325" t="s">
        <v>170</v>
      </c>
      <c r="B41" s="341">
        <f>F5*(1+G41)^3</f>
        <v>215748.2858</v>
      </c>
      <c r="C41" s="70"/>
      <c r="D41" s="334" t="s">
        <v>171</v>
      </c>
      <c r="E41" s="342"/>
      <c r="F41" s="342"/>
      <c r="G41" s="343">
        <v>0.15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325" t="s">
        <v>172</v>
      </c>
      <c r="B42" s="344">
        <v>0.1</v>
      </c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325" t="s">
        <v>173</v>
      </c>
      <c r="B43" s="341">
        <f>B41*B42</f>
        <v>21574.82858</v>
      </c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325" t="s">
        <v>174</v>
      </c>
      <c r="B44" s="345">
        <f>B43*B40</f>
        <v>862993.143</v>
      </c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334" t="s">
        <v>175</v>
      </c>
      <c r="B46" s="346">
        <f>(B44/B36)-1</f>
        <v>0.6866568222</v>
      </c>
      <c r="C46" s="342"/>
      <c r="D46" s="342"/>
      <c r="E46" s="342"/>
      <c r="F46" s="342"/>
      <c r="G46" s="342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">
    <mergeCell ref="B4:F4"/>
  </mergeCells>
  <hyperlinks>
    <hyperlink r:id="rId1" location="profit-loss" ref="B1"/>
  </hyperlinks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233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347">
        <v>75660.0</v>
      </c>
      <c r="C5" s="347">
        <v>70372.0</v>
      </c>
      <c r="D5" s="347">
        <v>88330.0</v>
      </c>
      <c r="E5" s="348">
        <v>117571.0</v>
      </c>
      <c r="F5" s="347">
        <v>141858.0</v>
      </c>
      <c r="G5" s="87">
        <f>(F5/B5)^(1/5)-1</f>
        <v>0.1339593835</v>
      </c>
    </row>
    <row r="6" ht="15.75" customHeight="1">
      <c r="A6" s="85" t="s">
        <v>145</v>
      </c>
      <c r="B6" s="347">
        <v>7355.0</v>
      </c>
      <c r="C6" s="347">
        <v>5411.0</v>
      </c>
      <c r="D6" s="347">
        <v>5752.0</v>
      </c>
      <c r="E6" s="349">
        <v>11029.0</v>
      </c>
      <c r="F6" s="347">
        <v>18626.0</v>
      </c>
      <c r="G6" s="350">
        <f>(F6/B6)^(1/5)-1</f>
        <v>0.2042242937</v>
      </c>
    </row>
    <row r="7" ht="15.75" customHeight="1">
      <c r="A7" s="85" t="s">
        <v>19</v>
      </c>
      <c r="B7" s="351">
        <v>134.0</v>
      </c>
      <c r="C7" s="351">
        <v>102.0</v>
      </c>
      <c r="D7" s="351">
        <v>127.0</v>
      </c>
      <c r="E7" s="351">
        <v>187.0</v>
      </c>
      <c r="F7" s="351">
        <v>194.0</v>
      </c>
      <c r="G7" s="87">
        <f>(F7/B7)^(1/5)-1</f>
        <v>0.07681075935</v>
      </c>
    </row>
    <row r="8" ht="15.75" customHeight="1">
      <c r="A8" s="85" t="s">
        <v>146</v>
      </c>
      <c r="B8" s="347">
        <v>5678.0</v>
      </c>
      <c r="C8" s="347">
        <v>4389.0</v>
      </c>
      <c r="D8" s="347">
        <v>3880.0</v>
      </c>
      <c r="E8" s="347">
        <v>8211.0</v>
      </c>
      <c r="F8" s="347">
        <v>13488.0</v>
      </c>
      <c r="G8" s="352">
        <f>(F8/B8)^(1/5)-1</f>
        <v>0.1889139801</v>
      </c>
      <c r="H8" s="44">
        <f>F8*(1+G8)</f>
        <v>16036.07176</v>
      </c>
    </row>
    <row r="9" ht="15.75" customHeight="1">
      <c r="A9" s="85" t="s">
        <v>147</v>
      </c>
      <c r="B9" s="290"/>
      <c r="C9" s="353" t="s">
        <v>218</v>
      </c>
      <c r="D9" s="353" t="s">
        <v>218</v>
      </c>
      <c r="E9" s="353" t="s">
        <v>218</v>
      </c>
      <c r="F9" s="353" t="s">
        <v>218</v>
      </c>
      <c r="G9" s="87" t="str">
        <f t="shared" ref="G9:G10" si="2">(F9/B9)^(1/5)-1</f>
        <v>#VALUE!</v>
      </c>
    </row>
    <row r="10" ht="15.75" customHeight="1">
      <c r="A10" s="85" t="s">
        <v>148</v>
      </c>
      <c r="B10" s="283" t="s">
        <v>218</v>
      </c>
      <c r="C10" s="283" t="s">
        <v>218</v>
      </c>
      <c r="D10" s="283" t="s">
        <v>218</v>
      </c>
      <c r="E10" s="283" t="s">
        <v>218</v>
      </c>
      <c r="F10" s="283" t="s">
        <v>218</v>
      </c>
      <c r="G10" s="87" t="str">
        <f t="shared" si="2"/>
        <v>#VALUE!</v>
      </c>
    </row>
    <row r="11" ht="15.75" customHeight="1">
      <c r="A11" s="85" t="s">
        <v>149</v>
      </c>
      <c r="B11" s="347">
        <v>3496.0</v>
      </c>
      <c r="C11" s="347">
        <v>8856.0</v>
      </c>
      <c r="D11" s="347">
        <v>1840.0</v>
      </c>
      <c r="E11" s="347">
        <v>9251.0</v>
      </c>
      <c r="F11" s="347">
        <v>16801.0</v>
      </c>
      <c r="G11" s="354">
        <f>(F11/B11)^(1/5)-1</f>
        <v>0.3688401701</v>
      </c>
    </row>
    <row r="12" ht="15.75" customHeight="1">
      <c r="A12" s="85"/>
      <c r="B12" s="304"/>
      <c r="C12" s="303"/>
      <c r="D12" s="303"/>
      <c r="E12" s="303"/>
      <c r="F12" s="303"/>
      <c r="G12" s="84"/>
    </row>
    <row r="13" ht="15.75" customHeight="1">
      <c r="A13" s="85" t="s">
        <v>150</v>
      </c>
      <c r="B13" s="236">
        <v>49413.0</v>
      </c>
      <c r="C13" s="236">
        <v>52501.0</v>
      </c>
      <c r="D13" s="236">
        <v>55334.0</v>
      </c>
      <c r="E13" s="236">
        <v>74600.0</v>
      </c>
      <c r="F13" s="236">
        <v>85636.0</v>
      </c>
      <c r="G13" s="87">
        <f t="shared" ref="G13:G15" si="3">(F13/B13)^(1/5)-1</f>
        <v>0.1162540056</v>
      </c>
    </row>
    <row r="14" ht="15.75" customHeight="1">
      <c r="A14" s="85" t="s">
        <v>151</v>
      </c>
      <c r="B14" s="236">
        <v>2890.0</v>
      </c>
      <c r="C14" s="236">
        <v>2662.0</v>
      </c>
      <c r="D14" s="236">
        <v>2157.0</v>
      </c>
      <c r="E14" s="236">
        <v>2739.0</v>
      </c>
      <c r="F14" s="236">
        <v>3716.0</v>
      </c>
      <c r="G14" s="87">
        <f t="shared" si="3"/>
        <v>0.05156366773</v>
      </c>
    </row>
    <row r="15" ht="15.75" customHeight="1">
      <c r="A15" s="85" t="s">
        <v>152</v>
      </c>
      <c r="B15" s="236">
        <v>15744.0</v>
      </c>
      <c r="C15" s="236">
        <v>14989.0</v>
      </c>
      <c r="D15" s="236">
        <v>13747.0</v>
      </c>
      <c r="E15" s="236">
        <v>27941.0</v>
      </c>
      <c r="F15" s="236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279">
        <f t="shared" ref="B18:F18" si="4">B6/B5</f>
        <v>0.09721120804</v>
      </c>
      <c r="C18" s="279">
        <f t="shared" si="4"/>
        <v>0.07689137725</v>
      </c>
      <c r="D18" s="279">
        <f t="shared" si="4"/>
        <v>0.06511943847</v>
      </c>
      <c r="E18" s="279">
        <f t="shared" si="4"/>
        <v>0.09380714632</v>
      </c>
      <c r="F18" s="279">
        <f t="shared" si="4"/>
        <v>0.1313003144</v>
      </c>
      <c r="G18" s="95"/>
    </row>
    <row r="19" ht="15.75" customHeight="1">
      <c r="A19" s="85" t="s">
        <v>154</v>
      </c>
      <c r="B19" s="98">
        <f t="shared" ref="B19:F19" si="5">B8/B5</f>
        <v>0.07504625958</v>
      </c>
      <c r="C19" s="98">
        <f t="shared" si="5"/>
        <v>0.06236855568</v>
      </c>
      <c r="D19" s="98">
        <f t="shared" si="5"/>
        <v>0.04392618589</v>
      </c>
      <c r="E19" s="98">
        <f t="shared" si="5"/>
        <v>0.06983865069</v>
      </c>
      <c r="F19" s="98">
        <f t="shared" si="5"/>
        <v>0.09508099649</v>
      </c>
      <c r="G19" s="95"/>
    </row>
    <row r="20" ht="15.75" customHeight="1">
      <c r="A20" s="85" t="s">
        <v>155</v>
      </c>
      <c r="B20" s="98">
        <f t="shared" ref="B20:D20" si="6">B11/B7</f>
        <v>26.08955224</v>
      </c>
      <c r="C20" s="98">
        <f t="shared" si="6"/>
        <v>86.82352941</v>
      </c>
      <c r="D20" s="98">
        <f t="shared" si="6"/>
        <v>14.48818898</v>
      </c>
      <c r="E20" s="98">
        <f>E11/E6</f>
        <v>0.8387886481</v>
      </c>
      <c r="F20" s="98">
        <f>F11/F7</f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58.97860963</v>
      </c>
      <c r="F21" s="98">
        <f t="shared" si="7"/>
        <v>96.01030928</v>
      </c>
      <c r="G21" s="95"/>
    </row>
    <row r="22" ht="15.75" customHeight="1">
      <c r="A22" s="85" t="s">
        <v>157</v>
      </c>
      <c r="B22" s="279">
        <f t="shared" ref="B22:F22" si="8">B14/B13</f>
        <v>0.05848663307</v>
      </c>
      <c r="C22" s="279">
        <f t="shared" si="8"/>
        <v>0.05070379612</v>
      </c>
      <c r="D22" s="279">
        <f t="shared" si="8"/>
        <v>0.03898145805</v>
      </c>
      <c r="E22" s="279">
        <f t="shared" si="8"/>
        <v>0.03671581769</v>
      </c>
      <c r="F22" s="279">
        <f t="shared" si="8"/>
        <v>0.04339296558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>
        <f t="shared" ref="B24:F24" si="9">B8/B13</f>
        <v>0.114909032</v>
      </c>
      <c r="C24" s="98">
        <f t="shared" si="9"/>
        <v>0.08359840765</v>
      </c>
      <c r="D24" s="98">
        <f t="shared" si="9"/>
        <v>0.07011963711</v>
      </c>
      <c r="E24" s="98">
        <f t="shared" si="9"/>
        <v>0.1100670241</v>
      </c>
      <c r="F24" s="98">
        <f t="shared" si="9"/>
        <v>0.1575038535</v>
      </c>
      <c r="G24" s="95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0.1000504427</v>
      </c>
      <c r="E25" s="98">
        <f t="shared" si="10"/>
        <v>0.1426059297</v>
      </c>
      <c r="F25" s="98">
        <f t="shared" si="10"/>
        <v>0.2084564419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>
        <f t="shared" ref="B30:F30" si="11">B19</f>
        <v>0.07504625958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0.06983865069</v>
      </c>
      <c r="F30" s="98">
        <f t="shared" si="11"/>
        <v>0.09508099649</v>
      </c>
      <c r="G30" s="95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4.207830786</v>
      </c>
      <c r="F31" s="98">
        <f t="shared" si="12"/>
        <v>5.090902566</v>
      </c>
      <c r="G31" s="95"/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0.2484367658</v>
      </c>
      <c r="E32" s="98">
        <f t="shared" si="13"/>
        <v>0.3745442359</v>
      </c>
      <c r="F32" s="98">
        <f t="shared" si="13"/>
        <v>0.3253888552</v>
      </c>
      <c r="G32" s="95"/>
    </row>
    <row r="33" ht="15.75" customHeight="1">
      <c r="A33" s="85" t="s">
        <v>164</v>
      </c>
      <c r="B33" s="98">
        <f t="shared" ref="B33:F33" si="14">B30*B31*B32</f>
        <v>0.114909032</v>
      </c>
      <c r="C33" s="98">
        <f t="shared" si="14"/>
        <v>0.08359840765</v>
      </c>
      <c r="D33" s="98">
        <f t="shared" si="14"/>
        <v>0.07011963711</v>
      </c>
      <c r="E33" s="98">
        <f t="shared" si="14"/>
        <v>0.1100670241</v>
      </c>
      <c r="F33" s="98">
        <f t="shared" si="14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355">
        <v>511659.0</v>
      </c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16036.07176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356">
        <v>35.2</v>
      </c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246">
        <v>41.0</v>
      </c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199300.2762</v>
      </c>
      <c r="C41" s="95"/>
      <c r="D41" s="77" t="s">
        <v>171</v>
      </c>
      <c r="E41" s="106"/>
      <c r="F41" s="106"/>
      <c r="G41" s="247">
        <v>0.12</v>
      </c>
    </row>
    <row r="42" ht="15.75" customHeight="1">
      <c r="A42" s="85" t="s">
        <v>172</v>
      </c>
      <c r="B42" s="248">
        <v>0.095</v>
      </c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18933.52624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776274.5759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>
        <f>B44/B36-1</f>
        <v>0.5171717411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80" t="s">
        <v>245</v>
      </c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86">
        <v>75660.0</v>
      </c>
      <c r="C5" s="86">
        <v>70372.0</v>
      </c>
      <c r="D5" s="86">
        <v>88330.0</v>
      </c>
      <c r="E5" s="86">
        <v>117571.0</v>
      </c>
      <c r="F5" s="86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86">
        <v>7355.0</v>
      </c>
      <c r="C6" s="86">
        <v>5411.0</v>
      </c>
      <c r="D6" s="86">
        <v>5752.0</v>
      </c>
      <c r="E6" s="86">
        <v>11029.0</v>
      </c>
      <c r="F6" s="86">
        <v>18626.0</v>
      </c>
      <c r="G6" s="87">
        <f t="shared" si="2"/>
        <v>0.2042242937</v>
      </c>
    </row>
    <row r="7" ht="15.75" customHeight="1">
      <c r="A7" s="85" t="s">
        <v>19</v>
      </c>
      <c r="B7" s="86">
        <v>134.0</v>
      </c>
      <c r="C7" s="86">
        <v>102.0</v>
      </c>
      <c r="D7" s="86">
        <v>127.0</v>
      </c>
      <c r="E7" s="86">
        <v>187.0</v>
      </c>
      <c r="F7" s="86">
        <v>194.0</v>
      </c>
      <c r="G7" s="87">
        <f t="shared" si="2"/>
        <v>0.07681075935</v>
      </c>
    </row>
    <row r="8" ht="15.75" customHeight="1">
      <c r="A8" s="85" t="s">
        <v>146</v>
      </c>
      <c r="B8" s="86">
        <v>5678.0</v>
      </c>
      <c r="C8" s="86">
        <v>4389.0</v>
      </c>
      <c r="D8" s="86">
        <v>3880.0</v>
      </c>
      <c r="E8" s="86">
        <v>8211.0</v>
      </c>
      <c r="F8" s="86">
        <v>13488.0</v>
      </c>
      <c r="G8" s="87">
        <f t="shared" si="2"/>
        <v>0.1889139801</v>
      </c>
    </row>
    <row r="9" ht="15.75" customHeight="1">
      <c r="A9" s="85" t="s">
        <v>147</v>
      </c>
      <c r="B9" s="283" t="s">
        <v>218</v>
      </c>
      <c r="C9" s="283" t="s">
        <v>218</v>
      </c>
      <c r="D9" s="283" t="s">
        <v>218</v>
      </c>
      <c r="E9" s="283" t="s">
        <v>218</v>
      </c>
      <c r="F9" s="283" t="s">
        <v>218</v>
      </c>
      <c r="G9" s="87" t="str">
        <f t="shared" si="2"/>
        <v>#VALUE!</v>
      </c>
    </row>
    <row r="10" ht="15.75" customHeight="1">
      <c r="A10" s="85" t="s">
        <v>148</v>
      </c>
      <c r="B10" s="283" t="s">
        <v>218</v>
      </c>
      <c r="C10" s="283" t="s">
        <v>218</v>
      </c>
      <c r="D10" s="283" t="s">
        <v>218</v>
      </c>
      <c r="E10" s="283" t="s">
        <v>218</v>
      </c>
      <c r="F10" s="283" t="s">
        <v>218</v>
      </c>
      <c r="G10" s="87" t="str">
        <f t="shared" si="2"/>
        <v>#VALUE!</v>
      </c>
    </row>
    <row r="11" ht="15.75" customHeight="1">
      <c r="A11" s="85" t="s">
        <v>149</v>
      </c>
      <c r="B11" s="236">
        <v>3496.0</v>
      </c>
      <c r="C11" s="236">
        <v>8856.0</v>
      </c>
      <c r="D11" s="236">
        <v>1841.0</v>
      </c>
      <c r="E11" s="236">
        <v>10815.0</v>
      </c>
      <c r="F11" s="236">
        <v>16801.0</v>
      </c>
      <c r="G11" s="87">
        <f t="shared" si="2"/>
        <v>0.3688401701</v>
      </c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86">
        <f>49262+151</f>
        <v>49413</v>
      </c>
      <c r="C13" s="86">
        <f>52350+151</f>
        <v>52501</v>
      </c>
      <c r="D13" s="86">
        <f>55182+151</f>
        <v>55333</v>
      </c>
      <c r="E13" s="86">
        <f>61640+151</f>
        <v>61791</v>
      </c>
      <c r="F13" s="86">
        <f>85479+157</f>
        <v>85636</v>
      </c>
      <c r="G13" s="87">
        <f t="shared" ref="G13:G15" si="3">(F13/B13)^(1/5)-1</f>
        <v>0.1162540056</v>
      </c>
    </row>
    <row r="14" ht="15.75" customHeight="1">
      <c r="A14" s="85" t="s">
        <v>151</v>
      </c>
      <c r="B14" s="86">
        <v>2890.0</v>
      </c>
      <c r="C14" s="86">
        <v>2662.0</v>
      </c>
      <c r="D14" s="86">
        <v>2157.0</v>
      </c>
      <c r="E14" s="86">
        <v>2739.0</v>
      </c>
      <c r="F14" s="86">
        <v>3716.0</v>
      </c>
      <c r="G14" s="87">
        <f t="shared" si="3"/>
        <v>0.05156366773</v>
      </c>
    </row>
    <row r="15" ht="15.75" customHeight="1">
      <c r="A15" s="85" t="s">
        <v>152</v>
      </c>
      <c r="B15" s="86">
        <v>15744.0</v>
      </c>
      <c r="C15" s="86">
        <v>14989.0</v>
      </c>
      <c r="D15" s="86">
        <v>13747.0</v>
      </c>
      <c r="E15" s="86">
        <v>17830.0</v>
      </c>
      <c r="F15" s="86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279">
        <f t="shared" ref="B18:F18" si="4">B6/B5</f>
        <v>0.09721120804</v>
      </c>
      <c r="C18" s="98">
        <f t="shared" si="4"/>
        <v>0.07689137725</v>
      </c>
      <c r="D18" s="98">
        <f t="shared" si="4"/>
        <v>0.06511943847</v>
      </c>
      <c r="E18" s="98">
        <f t="shared" si="4"/>
        <v>0.09380714632</v>
      </c>
      <c r="F18" s="98">
        <f t="shared" si="4"/>
        <v>0.1313003144</v>
      </c>
      <c r="G18" s="95"/>
    </row>
    <row r="19" ht="15.75" customHeight="1">
      <c r="A19" s="85" t="s">
        <v>154</v>
      </c>
      <c r="B19" s="279">
        <f t="shared" ref="B19:F19" si="5">B8/B5</f>
        <v>0.07504625958</v>
      </c>
      <c r="C19" s="98">
        <f t="shared" si="5"/>
        <v>0.06236855568</v>
      </c>
      <c r="D19" s="98">
        <f t="shared" si="5"/>
        <v>0.04392618589</v>
      </c>
      <c r="E19" s="98">
        <f t="shared" si="5"/>
        <v>0.06983865069</v>
      </c>
      <c r="F19" s="98">
        <f t="shared" si="5"/>
        <v>0.09508099649</v>
      </c>
      <c r="G19" s="95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14.49606299</v>
      </c>
      <c r="E20" s="98">
        <f t="shared" si="6"/>
        <v>57.8342246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58.97860963</v>
      </c>
      <c r="F21" s="98">
        <f t="shared" si="7"/>
        <v>96.01030928</v>
      </c>
      <c r="G21" s="95"/>
    </row>
    <row r="22" ht="15.75" customHeight="1">
      <c r="A22" s="85" t="s">
        <v>157</v>
      </c>
      <c r="B22" s="98">
        <f t="shared" ref="B22:F22" si="8">B14/B13</f>
        <v>0.05848663307</v>
      </c>
      <c r="C22" s="98">
        <f t="shared" si="8"/>
        <v>0.05070379612</v>
      </c>
      <c r="D22" s="98">
        <f t="shared" si="8"/>
        <v>0.03898216254</v>
      </c>
      <c r="E22" s="98">
        <f t="shared" si="8"/>
        <v>0.04432684372</v>
      </c>
      <c r="F22" s="98">
        <f t="shared" si="8"/>
        <v>0.04339296558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>
        <f t="shared" ref="B24:F24" si="9">B8/B13</f>
        <v>0.114909032</v>
      </c>
      <c r="C24" s="98">
        <f t="shared" si="9"/>
        <v>0.08359840765</v>
      </c>
      <c r="D24" s="98">
        <f t="shared" si="9"/>
        <v>0.07012090434</v>
      </c>
      <c r="E24" s="98">
        <f t="shared" si="9"/>
        <v>0.1328834296</v>
      </c>
      <c r="F24" s="98">
        <f t="shared" si="9"/>
        <v>0.1575038535</v>
      </c>
      <c r="G24" s="95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0.100052183</v>
      </c>
      <c r="E25" s="98">
        <f t="shared" si="10"/>
        <v>0.1709127538</v>
      </c>
      <c r="F25" s="98">
        <f t="shared" si="10"/>
        <v>0.2084564419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>
        <f t="shared" ref="B30:F30" si="11">B19</f>
        <v>0.07504625958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0.06983865069</v>
      </c>
      <c r="F30" s="98">
        <f t="shared" si="11"/>
        <v>0.09508099649</v>
      </c>
      <c r="G30" s="95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6.593998878</v>
      </c>
      <c r="F31" s="98">
        <f t="shared" si="12"/>
        <v>5.090902566</v>
      </c>
      <c r="G31" s="95"/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0.2484412557</v>
      </c>
      <c r="E32" s="98">
        <f t="shared" si="13"/>
        <v>0.2885533492</v>
      </c>
      <c r="F32" s="98">
        <f t="shared" si="13"/>
        <v>0.3253888552</v>
      </c>
      <c r="G32" s="95"/>
    </row>
    <row r="33" ht="15.75" customHeight="1">
      <c r="A33" s="85" t="s">
        <v>164</v>
      </c>
      <c r="B33" s="98">
        <f t="shared" ref="B33:F33" si="14">B30*B31*B32</f>
        <v>0.114909032</v>
      </c>
      <c r="C33" s="98">
        <f t="shared" si="14"/>
        <v>0.08359840765</v>
      </c>
      <c r="D33" s="98">
        <f t="shared" si="14"/>
        <v>0.07012090434</v>
      </c>
      <c r="E33" s="98">
        <f t="shared" si="14"/>
        <v>0.1328834296</v>
      </c>
      <c r="F33" s="98">
        <f t="shared" si="14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88">
        <v>511659.0</v>
      </c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16036.07176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88">
        <v>35.2</v>
      </c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246">
        <v>41.0</v>
      </c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199300.2762</v>
      </c>
      <c r="C41" s="95"/>
      <c r="D41" s="77" t="s">
        <v>171</v>
      </c>
      <c r="E41" s="106"/>
      <c r="F41" s="106"/>
      <c r="G41" s="247">
        <v>0.12</v>
      </c>
    </row>
    <row r="42" ht="15.75" customHeight="1">
      <c r="A42" s="85" t="s">
        <v>172</v>
      </c>
      <c r="B42" s="248">
        <v>0.095</v>
      </c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18933.52624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776274.5759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>
        <f>(B44/B36)-1</f>
        <v>0.5171717411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310"/>
      <c r="C5" s="310"/>
      <c r="D5" s="310"/>
      <c r="E5" s="310"/>
      <c r="F5" s="310"/>
      <c r="G5" s="87" t="str">
        <f t="shared" ref="G5:G11" si="2">(F5/B5)^(1/5)-1</f>
        <v>#DIV/0!</v>
      </c>
    </row>
    <row r="6" ht="15.75" customHeight="1">
      <c r="A6" s="85" t="s">
        <v>145</v>
      </c>
      <c r="B6" s="94"/>
      <c r="C6" s="94"/>
      <c r="D6" s="94"/>
      <c r="E6" s="312"/>
      <c r="F6" s="94"/>
      <c r="G6" s="87" t="str">
        <f t="shared" si="2"/>
        <v>#DIV/0!</v>
      </c>
    </row>
    <row r="7" ht="15.75" customHeight="1">
      <c r="A7" s="85" t="s">
        <v>19</v>
      </c>
      <c r="B7" s="311"/>
      <c r="C7" s="311"/>
      <c r="D7" s="311"/>
      <c r="F7" s="311"/>
      <c r="G7" s="87" t="str">
        <f t="shared" si="2"/>
        <v>#DIV/0!</v>
      </c>
    </row>
    <row r="8" ht="15.75" customHeight="1">
      <c r="A8" s="85" t="s">
        <v>146</v>
      </c>
      <c r="B8" s="94"/>
      <c r="C8" s="94"/>
      <c r="D8" s="94"/>
      <c r="E8" s="94"/>
      <c r="F8" s="94"/>
      <c r="G8" s="87" t="str">
        <f t="shared" si="2"/>
        <v>#DIV/0!</v>
      </c>
    </row>
    <row r="9" ht="15.75" customHeight="1">
      <c r="A9" s="85" t="s">
        <v>147</v>
      </c>
      <c r="B9" s="283" t="s">
        <v>218</v>
      </c>
      <c r="C9" s="283" t="s">
        <v>218</v>
      </c>
      <c r="D9" s="283" t="s">
        <v>218</v>
      </c>
      <c r="E9" s="283" t="s">
        <v>218</v>
      </c>
      <c r="F9" s="283" t="s">
        <v>218</v>
      </c>
      <c r="G9" s="87" t="str">
        <f t="shared" si="2"/>
        <v>#VALUE!</v>
      </c>
    </row>
    <row r="10" ht="15.75" customHeight="1">
      <c r="A10" s="85" t="s">
        <v>148</v>
      </c>
      <c r="B10" s="283" t="s">
        <v>218</v>
      </c>
      <c r="C10" s="283" t="s">
        <v>218</v>
      </c>
      <c r="D10" s="283" t="s">
        <v>218</v>
      </c>
      <c r="E10" s="283" t="s">
        <v>218</v>
      </c>
      <c r="F10" s="283" t="s">
        <v>218</v>
      </c>
      <c r="G10" s="87" t="str">
        <f t="shared" si="2"/>
        <v>#VALUE!</v>
      </c>
    </row>
    <row r="11" ht="15.75" customHeight="1">
      <c r="A11" s="85" t="s">
        <v>149</v>
      </c>
      <c r="B11" s="94"/>
      <c r="C11" s="94"/>
      <c r="D11" s="94"/>
      <c r="E11" s="94"/>
      <c r="F11" s="94"/>
      <c r="G11" s="87" t="str">
        <f t="shared" si="2"/>
        <v>#DIV/0!</v>
      </c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94"/>
      <c r="C13" s="94"/>
      <c r="D13" s="94"/>
      <c r="E13" s="94"/>
      <c r="F13" s="94"/>
      <c r="G13" s="87" t="str">
        <f t="shared" ref="G13:G15" si="3">(F13/B13)^(1/5)-1</f>
        <v>#DIV/0!</v>
      </c>
    </row>
    <row r="14" ht="15.75" customHeight="1">
      <c r="A14" s="85" t="s">
        <v>151</v>
      </c>
      <c r="B14" s="94"/>
      <c r="C14" s="94"/>
      <c r="D14" s="94"/>
      <c r="E14" s="94"/>
      <c r="F14" s="94"/>
      <c r="G14" s="87" t="str">
        <f t="shared" si="3"/>
        <v>#DIV/0!</v>
      </c>
    </row>
    <row r="15" ht="15.75" customHeight="1">
      <c r="A15" s="85" t="s">
        <v>152</v>
      </c>
      <c r="B15" s="94"/>
      <c r="C15" s="94"/>
      <c r="D15" s="94"/>
      <c r="E15" s="94"/>
      <c r="F15" s="94"/>
      <c r="G15" s="87" t="str">
        <f t="shared" si="3"/>
        <v>#DIV/0!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98" t="str">
        <f t="shared" ref="B18:D18" si="4">B6/B5</f>
        <v>#DIV/0!</v>
      </c>
      <c r="C18" s="98" t="str">
        <f t="shared" si="4"/>
        <v>#DIV/0!</v>
      </c>
      <c r="D18" s="98" t="str">
        <f t="shared" si="4"/>
        <v>#DIV/0!</v>
      </c>
      <c r="E18" s="98" t="str">
        <f>#REF!/E5</f>
        <v>#REF!</v>
      </c>
      <c r="F18" s="98" t="str">
        <f>F6/F5</f>
        <v>#DIV/0!</v>
      </c>
      <c r="G18" s="95"/>
    </row>
    <row r="19" ht="15.75" customHeight="1">
      <c r="A19" s="85" t="s">
        <v>154</v>
      </c>
      <c r="B19" s="98" t="str">
        <f t="shared" ref="B19:F19" si="5">B8/B5</f>
        <v>#DIV/0!</v>
      </c>
      <c r="C19" s="98" t="str">
        <f t="shared" si="5"/>
        <v>#DIV/0!</v>
      </c>
      <c r="D19" s="98" t="str">
        <f t="shared" si="5"/>
        <v>#DIV/0!</v>
      </c>
      <c r="E19" s="98" t="str">
        <f t="shared" si="5"/>
        <v>#DIV/0!</v>
      </c>
      <c r="F19" s="98" t="str">
        <f t="shared" si="5"/>
        <v>#DIV/0!</v>
      </c>
      <c r="G19" s="95"/>
    </row>
    <row r="20" ht="15.75" customHeight="1">
      <c r="A20" s="85" t="s">
        <v>155</v>
      </c>
      <c r="B20" s="98" t="str">
        <f t="shared" ref="B20:D20" si="6">B11/B7</f>
        <v>#DIV/0!</v>
      </c>
      <c r="C20" s="98" t="str">
        <f t="shared" si="6"/>
        <v>#DIV/0!</v>
      </c>
      <c r="D20" s="98" t="str">
        <f t="shared" si="6"/>
        <v>#DIV/0!</v>
      </c>
      <c r="E20" s="98" t="str">
        <f>E11/E6</f>
        <v>#DIV/0!</v>
      </c>
      <c r="F20" s="98" t="str">
        <f>F11/F7</f>
        <v>#DIV/0!</v>
      </c>
      <c r="G20" s="95"/>
    </row>
    <row r="21" ht="15.75" customHeight="1">
      <c r="A21" s="85" t="s">
        <v>156</v>
      </c>
      <c r="B21" s="98" t="str">
        <f t="shared" ref="B21:D21" si="7">B6/B7</f>
        <v>#DIV/0!</v>
      </c>
      <c r="C21" s="98" t="str">
        <f t="shared" si="7"/>
        <v>#DIV/0!</v>
      </c>
      <c r="D21" s="98" t="str">
        <f t="shared" si="7"/>
        <v>#DIV/0!</v>
      </c>
      <c r="E21" s="98" t="str">
        <f>#REF!/E6</f>
        <v>#REF!</v>
      </c>
      <c r="F21" s="98" t="str">
        <f>F6/F7</f>
        <v>#DIV/0!</v>
      </c>
      <c r="G21" s="95"/>
    </row>
    <row r="22" ht="15.75" customHeight="1">
      <c r="A22" s="85" t="s">
        <v>157</v>
      </c>
      <c r="B22" s="98" t="str">
        <f t="shared" ref="B22:F22" si="8">B14/B13</f>
        <v>#DIV/0!</v>
      </c>
      <c r="C22" s="98" t="str">
        <f t="shared" si="8"/>
        <v>#DIV/0!</v>
      </c>
      <c r="D22" s="98" t="str">
        <f t="shared" si="8"/>
        <v>#DIV/0!</v>
      </c>
      <c r="E22" s="98" t="str">
        <f t="shared" si="8"/>
        <v>#DIV/0!</v>
      </c>
      <c r="F22" s="98" t="str">
        <f t="shared" si="8"/>
        <v>#DIV/0!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 t="str">
        <f t="shared" ref="B24:F24" si="9">B8/B13</f>
        <v>#DIV/0!</v>
      </c>
      <c r="C24" s="98" t="str">
        <f t="shared" si="9"/>
        <v>#DIV/0!</v>
      </c>
      <c r="D24" s="98" t="str">
        <f t="shared" si="9"/>
        <v>#DIV/0!</v>
      </c>
      <c r="E24" s="98" t="str">
        <f t="shared" si="9"/>
        <v>#DIV/0!</v>
      </c>
      <c r="F24" s="98" t="str">
        <f t="shared" si="9"/>
        <v>#DIV/0!</v>
      </c>
      <c r="G24" s="95"/>
    </row>
    <row r="25" ht="15.75" customHeight="1">
      <c r="A25" s="85" t="s">
        <v>159</v>
      </c>
      <c r="B25" s="98" t="str">
        <f t="shared" ref="B25:D25" si="10">B6/SUM(B13:B14)</f>
        <v>#DIV/0!</v>
      </c>
      <c r="C25" s="98" t="str">
        <f t="shared" si="10"/>
        <v>#DIV/0!</v>
      </c>
      <c r="D25" s="98" t="str">
        <f t="shared" si="10"/>
        <v>#DIV/0!</v>
      </c>
      <c r="E25" s="98" t="str">
        <f>#REF!/SUM(E13:E14)</f>
        <v>#REF!</v>
      </c>
      <c r="F25" s="98" t="str">
        <f>F6/SUM(F13:F14)</f>
        <v>#DIV/0!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 t="str">
        <f t="shared" ref="B30:F30" si="11">B19</f>
        <v>#DIV/0!</v>
      </c>
      <c r="C30" s="98" t="str">
        <f t="shared" si="11"/>
        <v>#DIV/0!</v>
      </c>
      <c r="D30" s="98" t="str">
        <f t="shared" si="11"/>
        <v>#DIV/0!</v>
      </c>
      <c r="E30" s="98" t="str">
        <f t="shared" si="11"/>
        <v>#DIV/0!</v>
      </c>
      <c r="F30" s="98" t="str">
        <f t="shared" si="11"/>
        <v>#DIV/0!</v>
      </c>
      <c r="G30" s="95"/>
    </row>
    <row r="31" ht="15.75" customHeight="1">
      <c r="A31" s="85" t="s">
        <v>162</v>
      </c>
      <c r="B31" s="98" t="str">
        <f t="shared" ref="B31:F31" si="12">B5/B15</f>
        <v>#DIV/0!</v>
      </c>
      <c r="C31" s="98" t="str">
        <f t="shared" si="12"/>
        <v>#DIV/0!</v>
      </c>
      <c r="D31" s="98" t="str">
        <f t="shared" si="12"/>
        <v>#DIV/0!</v>
      </c>
      <c r="E31" s="98" t="str">
        <f t="shared" si="12"/>
        <v>#DIV/0!</v>
      </c>
      <c r="F31" s="98" t="str">
        <f t="shared" si="12"/>
        <v>#DIV/0!</v>
      </c>
      <c r="G31" s="95"/>
    </row>
    <row r="32" ht="15.75" customHeight="1">
      <c r="A32" s="85" t="s">
        <v>163</v>
      </c>
      <c r="B32" s="98" t="str">
        <f t="shared" ref="B32:F32" si="13">B15/B13</f>
        <v>#DIV/0!</v>
      </c>
      <c r="C32" s="98" t="str">
        <f t="shared" si="13"/>
        <v>#DIV/0!</v>
      </c>
      <c r="D32" s="98" t="str">
        <f t="shared" si="13"/>
        <v>#DIV/0!</v>
      </c>
      <c r="E32" s="98" t="str">
        <f t="shared" si="13"/>
        <v>#DIV/0!</v>
      </c>
      <c r="F32" s="98" t="str">
        <f t="shared" si="13"/>
        <v>#DIV/0!</v>
      </c>
      <c r="G32" s="95"/>
    </row>
    <row r="33" ht="15.75" customHeight="1">
      <c r="A33" s="85" t="s">
        <v>164</v>
      </c>
      <c r="B33" s="98" t="str">
        <f t="shared" ref="B33:F33" si="14">B30*B31*B32</f>
        <v>#DIV/0!</v>
      </c>
      <c r="C33" s="98" t="str">
        <f t="shared" si="14"/>
        <v>#DIV/0!</v>
      </c>
      <c r="D33" s="98" t="str">
        <f t="shared" si="14"/>
        <v>#DIV/0!</v>
      </c>
      <c r="E33" s="98" t="str">
        <f t="shared" si="14"/>
        <v>#DIV/0!</v>
      </c>
      <c r="F33" s="98" t="str">
        <f t="shared" si="14"/>
        <v>#DIV/0!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102"/>
      <c r="C35" s="95"/>
      <c r="D35" s="95"/>
      <c r="E35" s="95"/>
      <c r="F35" s="95"/>
      <c r="G35" s="95"/>
    </row>
    <row r="36" ht="15.75" customHeight="1">
      <c r="A36" s="85" t="s">
        <v>166</v>
      </c>
      <c r="B36" s="94"/>
      <c r="C36" s="95"/>
      <c r="D36" s="95"/>
      <c r="E36" s="95"/>
      <c r="F36" s="95"/>
      <c r="G36" s="95"/>
    </row>
    <row r="37" ht="15.75" customHeight="1">
      <c r="A37" s="85" t="s">
        <v>167</v>
      </c>
      <c r="B37" s="103" t="str">
        <f>F8*(1+G8)</f>
        <v>#DIV/0!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94"/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104"/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0</v>
      </c>
      <c r="C41" s="95"/>
      <c r="D41" s="77" t="s">
        <v>171</v>
      </c>
      <c r="E41" s="106"/>
      <c r="F41" s="106"/>
      <c r="G41" s="107"/>
    </row>
    <row r="42" ht="15.75" customHeight="1">
      <c r="A42" s="85" t="s">
        <v>172</v>
      </c>
      <c r="B42" s="108"/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0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0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 t="str">
        <f>(B44/B36)-1</f>
        <v>#DIV/0!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85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94"/>
      <c r="C5" s="94"/>
      <c r="D5" s="94"/>
      <c r="E5" s="94"/>
      <c r="F5" s="94"/>
      <c r="G5" s="87" t="str">
        <f t="shared" ref="G5:G11" si="2">(F5/B5)^(1/5)-1</f>
        <v>#DIV/0!</v>
      </c>
    </row>
    <row r="6" ht="15.75" customHeight="1">
      <c r="A6" s="85" t="s">
        <v>145</v>
      </c>
      <c r="B6" s="94"/>
      <c r="C6" s="94"/>
      <c r="D6" s="94"/>
      <c r="E6" s="94"/>
      <c r="F6" s="94"/>
      <c r="G6" s="87" t="str">
        <f t="shared" si="2"/>
        <v>#DIV/0!</v>
      </c>
    </row>
    <row r="7" ht="15.75" customHeight="1">
      <c r="A7" s="85" t="s">
        <v>19</v>
      </c>
      <c r="B7" s="311"/>
      <c r="C7" s="311"/>
      <c r="D7" s="311"/>
      <c r="E7" s="312"/>
      <c r="F7" s="311"/>
      <c r="G7" s="87" t="str">
        <f t="shared" si="2"/>
        <v>#DIV/0!</v>
      </c>
    </row>
    <row r="8" ht="15.75" customHeight="1">
      <c r="A8" s="85" t="s">
        <v>146</v>
      </c>
      <c r="B8" s="94"/>
      <c r="C8" s="94"/>
      <c r="D8" s="94"/>
      <c r="E8" s="94"/>
      <c r="F8" s="94"/>
      <c r="G8" s="87" t="str">
        <f t="shared" si="2"/>
        <v>#DIV/0!</v>
      </c>
    </row>
    <row r="9" ht="15.75" customHeight="1">
      <c r="A9" s="85" t="s">
        <v>147</v>
      </c>
      <c r="B9" s="283" t="s">
        <v>218</v>
      </c>
      <c r="C9" s="283" t="s">
        <v>218</v>
      </c>
      <c r="D9" s="283" t="s">
        <v>218</v>
      </c>
      <c r="E9" s="283" t="s">
        <v>218</v>
      </c>
      <c r="F9" s="283" t="s">
        <v>218</v>
      </c>
      <c r="G9" s="87" t="str">
        <f t="shared" si="2"/>
        <v>#VALUE!</v>
      </c>
    </row>
    <row r="10" ht="15.75" customHeight="1">
      <c r="A10" s="85" t="s">
        <v>148</v>
      </c>
      <c r="B10" s="283" t="s">
        <v>218</v>
      </c>
      <c r="C10" s="283" t="s">
        <v>218</v>
      </c>
      <c r="D10" s="283" t="s">
        <v>218</v>
      </c>
      <c r="E10" s="283" t="s">
        <v>218</v>
      </c>
      <c r="F10" s="283" t="s">
        <v>218</v>
      </c>
      <c r="G10" s="87" t="str">
        <f t="shared" si="2"/>
        <v>#VALUE!</v>
      </c>
    </row>
    <row r="11" ht="15.75" customHeight="1">
      <c r="A11" s="85" t="s">
        <v>149</v>
      </c>
      <c r="B11" s="94"/>
      <c r="C11" s="94"/>
      <c r="D11" s="94"/>
      <c r="E11" s="94"/>
      <c r="F11" s="94"/>
      <c r="G11" s="87" t="str">
        <f t="shared" si="2"/>
        <v>#DIV/0!</v>
      </c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94"/>
      <c r="C13" s="94"/>
      <c r="D13" s="94"/>
      <c r="E13" s="94"/>
      <c r="F13" s="94"/>
      <c r="G13" s="87" t="str">
        <f t="shared" ref="G13:G15" si="3">(F13/B13)^(1/5)-1</f>
        <v>#DIV/0!</v>
      </c>
    </row>
    <row r="14" ht="15.75" customHeight="1">
      <c r="A14" s="85" t="s">
        <v>151</v>
      </c>
      <c r="B14" s="94"/>
      <c r="C14" s="94"/>
      <c r="D14" s="94"/>
      <c r="E14" s="94"/>
      <c r="F14" s="94"/>
      <c r="G14" s="87" t="str">
        <f t="shared" si="3"/>
        <v>#DIV/0!</v>
      </c>
    </row>
    <row r="15" ht="15.75" customHeight="1">
      <c r="A15" s="85" t="s">
        <v>152</v>
      </c>
      <c r="B15" s="94"/>
      <c r="C15" s="94"/>
      <c r="D15" s="94"/>
      <c r="E15" s="94"/>
      <c r="F15" s="94"/>
      <c r="G15" s="87" t="str">
        <f t="shared" si="3"/>
        <v>#DIV/0!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98" t="str">
        <f t="shared" ref="B18:F18" si="4">B6/B5</f>
        <v>#DIV/0!</v>
      </c>
      <c r="C18" s="98" t="str">
        <f t="shared" si="4"/>
        <v>#DIV/0!</v>
      </c>
      <c r="D18" s="98" t="str">
        <f t="shared" si="4"/>
        <v>#DIV/0!</v>
      </c>
      <c r="E18" s="98" t="str">
        <f t="shared" si="4"/>
        <v>#DIV/0!</v>
      </c>
      <c r="F18" s="98" t="str">
        <f t="shared" si="4"/>
        <v>#DIV/0!</v>
      </c>
      <c r="G18" s="95"/>
    </row>
    <row r="19" ht="15.75" customHeight="1">
      <c r="A19" s="85" t="s">
        <v>154</v>
      </c>
      <c r="B19" s="98" t="str">
        <f t="shared" ref="B19:F19" si="5">B8/B5</f>
        <v>#DIV/0!</v>
      </c>
      <c r="C19" s="98" t="str">
        <f t="shared" si="5"/>
        <v>#DIV/0!</v>
      </c>
      <c r="D19" s="98" t="str">
        <f t="shared" si="5"/>
        <v>#DIV/0!</v>
      </c>
      <c r="E19" s="98" t="str">
        <f t="shared" si="5"/>
        <v>#DIV/0!</v>
      </c>
      <c r="F19" s="98" t="str">
        <f t="shared" si="5"/>
        <v>#DIV/0!</v>
      </c>
      <c r="G19" s="95"/>
    </row>
    <row r="20" ht="15.75" customHeight="1">
      <c r="A20" s="85" t="s">
        <v>155</v>
      </c>
      <c r="B20" s="98" t="str">
        <f t="shared" ref="B20:F20" si="6">B11/B7</f>
        <v>#DIV/0!</v>
      </c>
      <c r="C20" s="98" t="str">
        <f t="shared" si="6"/>
        <v>#DIV/0!</v>
      </c>
      <c r="D20" s="98" t="str">
        <f t="shared" si="6"/>
        <v>#DIV/0!</v>
      </c>
      <c r="E20" s="98" t="str">
        <f t="shared" si="6"/>
        <v>#DIV/0!</v>
      </c>
      <c r="F20" s="98" t="str">
        <f t="shared" si="6"/>
        <v>#DIV/0!</v>
      </c>
      <c r="G20" s="95"/>
    </row>
    <row r="21" ht="15.75" customHeight="1">
      <c r="A21" s="85" t="s">
        <v>156</v>
      </c>
      <c r="B21" s="98" t="str">
        <f t="shared" ref="B21:F21" si="7">B6/B7</f>
        <v>#DIV/0!</v>
      </c>
      <c r="C21" s="98" t="str">
        <f t="shared" si="7"/>
        <v>#DIV/0!</v>
      </c>
      <c r="D21" s="98" t="str">
        <f t="shared" si="7"/>
        <v>#DIV/0!</v>
      </c>
      <c r="E21" s="98" t="str">
        <f t="shared" si="7"/>
        <v>#DIV/0!</v>
      </c>
      <c r="F21" s="98" t="str">
        <f t="shared" si="7"/>
        <v>#DIV/0!</v>
      </c>
      <c r="G21" s="95"/>
    </row>
    <row r="22" ht="15.75" customHeight="1">
      <c r="A22" s="85" t="s">
        <v>157</v>
      </c>
      <c r="B22" s="98" t="str">
        <f t="shared" ref="B22:F22" si="8">B14/B13</f>
        <v>#DIV/0!</v>
      </c>
      <c r="C22" s="98" t="str">
        <f t="shared" si="8"/>
        <v>#DIV/0!</v>
      </c>
      <c r="D22" s="98" t="str">
        <f t="shared" si="8"/>
        <v>#DIV/0!</v>
      </c>
      <c r="E22" s="98" t="str">
        <f t="shared" si="8"/>
        <v>#DIV/0!</v>
      </c>
      <c r="F22" s="98" t="str">
        <f t="shared" si="8"/>
        <v>#DIV/0!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 t="str">
        <f t="shared" ref="B24:F24" si="9">B8/B13</f>
        <v>#DIV/0!</v>
      </c>
      <c r="C24" s="98" t="str">
        <f t="shared" si="9"/>
        <v>#DIV/0!</v>
      </c>
      <c r="D24" s="98" t="str">
        <f t="shared" si="9"/>
        <v>#DIV/0!</v>
      </c>
      <c r="E24" s="98" t="str">
        <f t="shared" si="9"/>
        <v>#DIV/0!</v>
      </c>
      <c r="F24" s="98" t="str">
        <f t="shared" si="9"/>
        <v>#DIV/0!</v>
      </c>
      <c r="G24" s="95"/>
    </row>
    <row r="25" ht="15.75" customHeight="1">
      <c r="A25" s="85" t="s">
        <v>159</v>
      </c>
      <c r="B25" s="98" t="str">
        <f t="shared" ref="B25:F25" si="10">B6/SUM(B13:B14)</f>
        <v>#DIV/0!</v>
      </c>
      <c r="C25" s="98" t="str">
        <f t="shared" si="10"/>
        <v>#DIV/0!</v>
      </c>
      <c r="D25" s="98" t="str">
        <f t="shared" si="10"/>
        <v>#DIV/0!</v>
      </c>
      <c r="E25" s="98" t="str">
        <f t="shared" si="10"/>
        <v>#DIV/0!</v>
      </c>
      <c r="F25" s="98" t="str">
        <f t="shared" si="10"/>
        <v>#DIV/0!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 t="str">
        <f t="shared" ref="B30:F30" si="11">B19</f>
        <v>#DIV/0!</v>
      </c>
      <c r="C30" s="98" t="str">
        <f t="shared" si="11"/>
        <v>#DIV/0!</v>
      </c>
      <c r="D30" s="98" t="str">
        <f t="shared" si="11"/>
        <v>#DIV/0!</v>
      </c>
      <c r="E30" s="98" t="str">
        <f t="shared" si="11"/>
        <v>#DIV/0!</v>
      </c>
      <c r="F30" s="98" t="str">
        <f t="shared" si="11"/>
        <v>#DIV/0!</v>
      </c>
      <c r="G30" s="95"/>
    </row>
    <row r="31" ht="15.75" customHeight="1">
      <c r="A31" s="85" t="s">
        <v>162</v>
      </c>
      <c r="B31" s="98" t="str">
        <f t="shared" ref="B31:F31" si="12">B5/B15</f>
        <v>#DIV/0!</v>
      </c>
      <c r="C31" s="98" t="str">
        <f t="shared" si="12"/>
        <v>#DIV/0!</v>
      </c>
      <c r="D31" s="98" t="str">
        <f t="shared" si="12"/>
        <v>#DIV/0!</v>
      </c>
      <c r="E31" s="98" t="str">
        <f t="shared" si="12"/>
        <v>#DIV/0!</v>
      </c>
      <c r="F31" s="98" t="str">
        <f t="shared" si="12"/>
        <v>#DIV/0!</v>
      </c>
      <c r="G31" s="95"/>
    </row>
    <row r="32" ht="15.75" customHeight="1">
      <c r="A32" s="85" t="s">
        <v>163</v>
      </c>
      <c r="B32" s="98" t="str">
        <f t="shared" ref="B32:F32" si="13">B15/B13</f>
        <v>#DIV/0!</v>
      </c>
      <c r="C32" s="98" t="str">
        <f t="shared" si="13"/>
        <v>#DIV/0!</v>
      </c>
      <c r="D32" s="98" t="str">
        <f t="shared" si="13"/>
        <v>#DIV/0!</v>
      </c>
      <c r="E32" s="98" t="str">
        <f t="shared" si="13"/>
        <v>#DIV/0!</v>
      </c>
      <c r="F32" s="98" t="str">
        <f t="shared" si="13"/>
        <v>#DIV/0!</v>
      </c>
      <c r="G32" s="95"/>
    </row>
    <row r="33" ht="15.75" customHeight="1">
      <c r="A33" s="85" t="s">
        <v>164</v>
      </c>
      <c r="B33" s="98" t="str">
        <f t="shared" ref="B33:F33" si="14">B30*B31*B32</f>
        <v>#DIV/0!</v>
      </c>
      <c r="C33" s="98" t="str">
        <f t="shared" si="14"/>
        <v>#DIV/0!</v>
      </c>
      <c r="D33" s="98" t="str">
        <f t="shared" si="14"/>
        <v>#DIV/0!</v>
      </c>
      <c r="E33" s="98" t="str">
        <f t="shared" si="14"/>
        <v>#DIV/0!</v>
      </c>
      <c r="F33" s="98" t="str">
        <f t="shared" si="14"/>
        <v>#DIV/0!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102"/>
      <c r="C35" s="95"/>
      <c r="D35" s="95"/>
      <c r="E35" s="95"/>
      <c r="F35" s="95"/>
      <c r="G35" s="95"/>
    </row>
    <row r="36" ht="15.75" customHeight="1">
      <c r="A36" s="85" t="s">
        <v>166</v>
      </c>
      <c r="B36" s="94"/>
      <c r="C36" s="95"/>
      <c r="D36" s="95"/>
      <c r="E36" s="95"/>
      <c r="F36" s="95"/>
      <c r="G36" s="95"/>
    </row>
    <row r="37" ht="15.75" customHeight="1">
      <c r="A37" s="85" t="s">
        <v>167</v>
      </c>
      <c r="B37" s="103" t="str">
        <f>F8*(1+G8)</f>
        <v>#DIV/0!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94"/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104"/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0</v>
      </c>
      <c r="C41" s="95"/>
      <c r="D41" s="77" t="s">
        <v>171</v>
      </c>
      <c r="E41" s="106"/>
      <c r="F41" s="106"/>
      <c r="G41" s="107"/>
    </row>
    <row r="42" ht="15.75" customHeight="1">
      <c r="A42" s="85" t="s">
        <v>172</v>
      </c>
      <c r="B42" s="108"/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0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0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 t="str">
        <f>(B44/B36)-1</f>
        <v>#DIV/0!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85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94"/>
      <c r="C5" s="94"/>
      <c r="D5" s="94"/>
      <c r="E5" s="94"/>
      <c r="F5" s="94"/>
      <c r="G5" s="87" t="str">
        <f t="shared" ref="G5:G11" si="2">(F5/B5)^(1/5)-1</f>
        <v>#DIV/0!</v>
      </c>
    </row>
    <row r="6" ht="15.75" customHeight="1">
      <c r="A6" s="85" t="s">
        <v>145</v>
      </c>
      <c r="B6" s="94"/>
      <c r="C6" s="94"/>
      <c r="D6" s="94"/>
      <c r="E6" s="94"/>
      <c r="F6" s="94"/>
      <c r="G6" s="87" t="str">
        <f t="shared" si="2"/>
        <v>#DIV/0!</v>
      </c>
    </row>
    <row r="7" ht="15.75" customHeight="1">
      <c r="A7" s="85" t="s">
        <v>19</v>
      </c>
      <c r="B7" s="311"/>
      <c r="C7" s="311"/>
      <c r="D7" s="311"/>
      <c r="E7" s="312"/>
      <c r="F7" s="311"/>
      <c r="G7" s="87" t="str">
        <f t="shared" si="2"/>
        <v>#DIV/0!</v>
      </c>
    </row>
    <row r="8" ht="15.75" customHeight="1">
      <c r="A8" s="85" t="s">
        <v>146</v>
      </c>
      <c r="B8" s="94"/>
      <c r="C8" s="94"/>
      <c r="D8" s="94"/>
      <c r="E8" s="94"/>
      <c r="F8" s="94"/>
      <c r="G8" s="87" t="str">
        <f t="shared" si="2"/>
        <v>#DIV/0!</v>
      </c>
    </row>
    <row r="9" ht="15.75" customHeight="1">
      <c r="A9" s="85" t="s">
        <v>147</v>
      </c>
      <c r="B9" s="283" t="s">
        <v>218</v>
      </c>
      <c r="C9" s="283" t="s">
        <v>218</v>
      </c>
      <c r="D9" s="283" t="s">
        <v>218</v>
      </c>
      <c r="E9" s="283" t="s">
        <v>218</v>
      </c>
      <c r="F9" s="283" t="s">
        <v>218</v>
      </c>
      <c r="G9" s="87" t="str">
        <f t="shared" si="2"/>
        <v>#VALUE!</v>
      </c>
    </row>
    <row r="10" ht="15.75" customHeight="1">
      <c r="A10" s="85" t="s">
        <v>148</v>
      </c>
      <c r="B10" s="283" t="s">
        <v>218</v>
      </c>
      <c r="C10" s="283" t="s">
        <v>218</v>
      </c>
      <c r="D10" s="283" t="s">
        <v>218</v>
      </c>
      <c r="E10" s="283" t="s">
        <v>218</v>
      </c>
      <c r="F10" s="283" t="s">
        <v>218</v>
      </c>
      <c r="G10" s="87" t="str">
        <f t="shared" si="2"/>
        <v>#VALUE!</v>
      </c>
    </row>
    <row r="11" ht="15.75" customHeight="1">
      <c r="A11" s="85" t="s">
        <v>149</v>
      </c>
      <c r="B11" s="94"/>
      <c r="C11" s="94"/>
      <c r="D11" s="94"/>
      <c r="E11" s="94"/>
      <c r="F11" s="94"/>
      <c r="G11" s="87" t="str">
        <f t="shared" si="2"/>
        <v>#DIV/0!</v>
      </c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94"/>
      <c r="C13" s="94"/>
      <c r="D13" s="94"/>
      <c r="E13" s="94"/>
      <c r="F13" s="94"/>
      <c r="G13" s="87" t="str">
        <f t="shared" ref="G13:G15" si="3">(F13/B13)^(1/5)-1</f>
        <v>#DIV/0!</v>
      </c>
    </row>
    <row r="14" ht="15.75" customHeight="1">
      <c r="A14" s="85" t="s">
        <v>151</v>
      </c>
      <c r="B14" s="94"/>
      <c r="C14" s="94"/>
      <c r="D14" s="94"/>
      <c r="E14" s="94"/>
      <c r="F14" s="94"/>
      <c r="G14" s="87" t="str">
        <f t="shared" si="3"/>
        <v>#DIV/0!</v>
      </c>
    </row>
    <row r="15" ht="15.75" customHeight="1">
      <c r="A15" s="85" t="s">
        <v>152</v>
      </c>
      <c r="B15" s="94"/>
      <c r="C15" s="94"/>
      <c r="D15" s="94"/>
      <c r="E15" s="94"/>
      <c r="F15" s="94"/>
      <c r="G15" s="87" t="str">
        <f t="shared" si="3"/>
        <v>#DIV/0!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98" t="str">
        <f t="shared" ref="B18:F18" si="4">B6/B5</f>
        <v>#DIV/0!</v>
      </c>
      <c r="C18" s="98" t="str">
        <f t="shared" si="4"/>
        <v>#DIV/0!</v>
      </c>
      <c r="D18" s="98" t="str">
        <f t="shared" si="4"/>
        <v>#DIV/0!</v>
      </c>
      <c r="E18" s="98" t="str">
        <f t="shared" si="4"/>
        <v>#DIV/0!</v>
      </c>
      <c r="F18" s="98" t="str">
        <f t="shared" si="4"/>
        <v>#DIV/0!</v>
      </c>
      <c r="G18" s="95"/>
    </row>
    <row r="19" ht="15.75" customHeight="1">
      <c r="A19" s="85" t="s">
        <v>154</v>
      </c>
      <c r="B19" s="98" t="str">
        <f t="shared" ref="B19:F19" si="5">B8/B5</f>
        <v>#DIV/0!</v>
      </c>
      <c r="C19" s="98" t="str">
        <f t="shared" si="5"/>
        <v>#DIV/0!</v>
      </c>
      <c r="D19" s="98" t="str">
        <f t="shared" si="5"/>
        <v>#DIV/0!</v>
      </c>
      <c r="E19" s="98" t="str">
        <f t="shared" si="5"/>
        <v>#DIV/0!</v>
      </c>
      <c r="F19" s="98" t="str">
        <f t="shared" si="5"/>
        <v>#DIV/0!</v>
      </c>
      <c r="G19" s="95"/>
    </row>
    <row r="20" ht="15.75" customHeight="1">
      <c r="A20" s="85" t="s">
        <v>155</v>
      </c>
      <c r="B20" s="98" t="str">
        <f t="shared" ref="B20:F20" si="6">B11/B7</f>
        <v>#DIV/0!</v>
      </c>
      <c r="C20" s="98" t="str">
        <f t="shared" si="6"/>
        <v>#DIV/0!</v>
      </c>
      <c r="D20" s="98" t="str">
        <f t="shared" si="6"/>
        <v>#DIV/0!</v>
      </c>
      <c r="E20" s="98" t="str">
        <f t="shared" si="6"/>
        <v>#DIV/0!</v>
      </c>
      <c r="F20" s="98" t="str">
        <f t="shared" si="6"/>
        <v>#DIV/0!</v>
      </c>
      <c r="G20" s="95"/>
    </row>
    <row r="21" ht="15.75" customHeight="1">
      <c r="A21" s="85" t="s">
        <v>156</v>
      </c>
      <c r="B21" s="98" t="str">
        <f t="shared" ref="B21:F21" si="7">B6/B7</f>
        <v>#DIV/0!</v>
      </c>
      <c r="C21" s="98" t="str">
        <f t="shared" si="7"/>
        <v>#DIV/0!</v>
      </c>
      <c r="D21" s="98" t="str">
        <f t="shared" si="7"/>
        <v>#DIV/0!</v>
      </c>
      <c r="E21" s="98" t="str">
        <f t="shared" si="7"/>
        <v>#DIV/0!</v>
      </c>
      <c r="F21" s="98" t="str">
        <f t="shared" si="7"/>
        <v>#DIV/0!</v>
      </c>
      <c r="G21" s="95"/>
    </row>
    <row r="22" ht="15.75" customHeight="1">
      <c r="A22" s="85" t="s">
        <v>157</v>
      </c>
      <c r="B22" s="98" t="str">
        <f t="shared" ref="B22:F22" si="8">B14/B13</f>
        <v>#DIV/0!</v>
      </c>
      <c r="C22" s="98" t="str">
        <f t="shared" si="8"/>
        <v>#DIV/0!</v>
      </c>
      <c r="D22" s="98" t="str">
        <f t="shared" si="8"/>
        <v>#DIV/0!</v>
      </c>
      <c r="E22" s="98" t="str">
        <f t="shared" si="8"/>
        <v>#DIV/0!</v>
      </c>
      <c r="F22" s="98" t="str">
        <f t="shared" si="8"/>
        <v>#DIV/0!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 t="str">
        <f t="shared" ref="B24:F24" si="9">B8/B13</f>
        <v>#DIV/0!</v>
      </c>
      <c r="C24" s="98" t="str">
        <f t="shared" si="9"/>
        <v>#DIV/0!</v>
      </c>
      <c r="D24" s="98" t="str">
        <f t="shared" si="9"/>
        <v>#DIV/0!</v>
      </c>
      <c r="E24" s="98" t="str">
        <f t="shared" si="9"/>
        <v>#DIV/0!</v>
      </c>
      <c r="F24" s="98" t="str">
        <f t="shared" si="9"/>
        <v>#DIV/0!</v>
      </c>
      <c r="G24" s="95"/>
    </row>
    <row r="25" ht="15.75" customHeight="1">
      <c r="A25" s="85" t="s">
        <v>159</v>
      </c>
      <c r="B25" s="98" t="str">
        <f t="shared" ref="B25:F25" si="10">B6/SUM(B13:B14)</f>
        <v>#DIV/0!</v>
      </c>
      <c r="C25" s="98" t="str">
        <f t="shared" si="10"/>
        <v>#DIV/0!</v>
      </c>
      <c r="D25" s="98" t="str">
        <f t="shared" si="10"/>
        <v>#DIV/0!</v>
      </c>
      <c r="E25" s="98" t="str">
        <f t="shared" si="10"/>
        <v>#DIV/0!</v>
      </c>
      <c r="F25" s="98" t="str">
        <f t="shared" si="10"/>
        <v>#DIV/0!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 t="str">
        <f t="shared" ref="B30:F30" si="11">B19</f>
        <v>#DIV/0!</v>
      </c>
      <c r="C30" s="98" t="str">
        <f t="shared" si="11"/>
        <v>#DIV/0!</v>
      </c>
      <c r="D30" s="98" t="str">
        <f t="shared" si="11"/>
        <v>#DIV/0!</v>
      </c>
      <c r="E30" s="98" t="str">
        <f t="shared" si="11"/>
        <v>#DIV/0!</v>
      </c>
      <c r="F30" s="98" t="str">
        <f t="shared" si="11"/>
        <v>#DIV/0!</v>
      </c>
      <c r="G30" s="95"/>
    </row>
    <row r="31" ht="15.75" customHeight="1">
      <c r="A31" s="85" t="s">
        <v>162</v>
      </c>
      <c r="B31" s="98" t="str">
        <f t="shared" ref="B31:F31" si="12">B5/B15</f>
        <v>#DIV/0!</v>
      </c>
      <c r="C31" s="98" t="str">
        <f t="shared" si="12"/>
        <v>#DIV/0!</v>
      </c>
      <c r="D31" s="98" t="str">
        <f t="shared" si="12"/>
        <v>#DIV/0!</v>
      </c>
      <c r="E31" s="98" t="str">
        <f t="shared" si="12"/>
        <v>#DIV/0!</v>
      </c>
      <c r="F31" s="98" t="str">
        <f t="shared" si="12"/>
        <v>#DIV/0!</v>
      </c>
      <c r="G31" s="95"/>
    </row>
    <row r="32" ht="15.75" customHeight="1">
      <c r="A32" s="85" t="s">
        <v>163</v>
      </c>
      <c r="B32" s="98" t="str">
        <f t="shared" ref="B32:F32" si="13">B15/B13</f>
        <v>#DIV/0!</v>
      </c>
      <c r="C32" s="98" t="str">
        <f t="shared" si="13"/>
        <v>#DIV/0!</v>
      </c>
      <c r="D32" s="98" t="str">
        <f t="shared" si="13"/>
        <v>#DIV/0!</v>
      </c>
      <c r="E32" s="98" t="str">
        <f t="shared" si="13"/>
        <v>#DIV/0!</v>
      </c>
      <c r="F32" s="98" t="str">
        <f t="shared" si="13"/>
        <v>#DIV/0!</v>
      </c>
      <c r="G32" s="95"/>
    </row>
    <row r="33" ht="15.75" customHeight="1">
      <c r="A33" s="85" t="s">
        <v>164</v>
      </c>
      <c r="B33" s="98" t="str">
        <f t="shared" ref="B33:F33" si="14">B30*B31*B32</f>
        <v>#DIV/0!</v>
      </c>
      <c r="C33" s="98" t="str">
        <f t="shared" si="14"/>
        <v>#DIV/0!</v>
      </c>
      <c r="D33" s="98" t="str">
        <f t="shared" si="14"/>
        <v>#DIV/0!</v>
      </c>
      <c r="E33" s="98" t="str">
        <f t="shared" si="14"/>
        <v>#DIV/0!</v>
      </c>
      <c r="F33" s="98" t="str">
        <f t="shared" si="14"/>
        <v>#DIV/0!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102"/>
      <c r="C35" s="95"/>
      <c r="D35" s="95"/>
      <c r="E35" s="95"/>
      <c r="F35" s="95"/>
      <c r="G35" s="95"/>
    </row>
    <row r="36" ht="15.75" customHeight="1">
      <c r="A36" s="85" t="s">
        <v>166</v>
      </c>
      <c r="B36" s="94"/>
      <c r="C36" s="95"/>
      <c r="D36" s="95"/>
      <c r="E36" s="95"/>
      <c r="F36" s="95"/>
      <c r="G36" s="95"/>
    </row>
    <row r="37" ht="15.75" customHeight="1">
      <c r="A37" s="85" t="s">
        <v>167</v>
      </c>
      <c r="B37" s="103" t="str">
        <f>F8*(1+G8)</f>
        <v>#DIV/0!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94"/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104"/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0</v>
      </c>
      <c r="C41" s="95"/>
      <c r="D41" s="77" t="s">
        <v>171</v>
      </c>
      <c r="E41" s="106"/>
      <c r="F41" s="106"/>
      <c r="G41" s="107"/>
    </row>
    <row r="42" ht="15.75" customHeight="1">
      <c r="A42" s="85" t="s">
        <v>172</v>
      </c>
      <c r="B42" s="108"/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0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0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 t="str">
        <f>(B44/B36)-1</f>
        <v>#DIV/0!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357" t="s">
        <v>246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285">
        <v>75660.0</v>
      </c>
      <c r="C5" s="280">
        <v>70372.0</v>
      </c>
      <c r="D5" s="280">
        <v>88330.0</v>
      </c>
      <c r="E5" s="280">
        <v>117571.0</v>
      </c>
      <c r="F5" s="358">
        <v>141858.0</v>
      </c>
      <c r="G5" s="359">
        <f>(F5/B5)^(1/5)-1</f>
        <v>0.1339593835</v>
      </c>
    </row>
    <row r="6" ht="15.75" customHeight="1">
      <c r="A6" s="85" t="s">
        <v>145</v>
      </c>
      <c r="B6" s="286">
        <v>7355.0</v>
      </c>
      <c r="C6" s="286">
        <v>5411.0</v>
      </c>
      <c r="D6" s="280">
        <v>5752.0</v>
      </c>
      <c r="E6" s="280">
        <v>11029.0</v>
      </c>
      <c r="F6" s="280">
        <v>18626.0</v>
      </c>
      <c r="G6" s="87">
        <f>(F6/B6)^(1/5)-1</f>
        <v>0.2042242937</v>
      </c>
    </row>
    <row r="7" ht="15.75" customHeight="1">
      <c r="A7" s="85" t="s">
        <v>19</v>
      </c>
      <c r="B7" s="287">
        <v>134.0</v>
      </c>
      <c r="C7" s="360">
        <v>102.0</v>
      </c>
      <c r="D7" s="287">
        <v>127.0</v>
      </c>
      <c r="E7" s="361">
        <v>187.0</v>
      </c>
      <c r="F7" s="287">
        <v>194.0</v>
      </c>
      <c r="G7" s="362">
        <v>0.08</v>
      </c>
    </row>
    <row r="8" ht="15.75" customHeight="1">
      <c r="A8" s="85" t="s">
        <v>146</v>
      </c>
      <c r="B8" s="363">
        <v>5676.0</v>
      </c>
      <c r="C8" s="88">
        <v>4389.0</v>
      </c>
      <c r="D8" s="363">
        <v>3880.0</v>
      </c>
      <c r="E8" s="88">
        <v>8264.0</v>
      </c>
      <c r="F8" s="363">
        <v>13488.0</v>
      </c>
      <c r="G8" s="87">
        <f t="shared" ref="G8:G11" si="2">(F8/B8)^(1/5)-1</f>
        <v>0.1889977536</v>
      </c>
    </row>
    <row r="9" ht="15.75" customHeight="1">
      <c r="A9" s="85" t="s">
        <v>147</v>
      </c>
      <c r="B9" s="91">
        <v>0.0</v>
      </c>
      <c r="C9" s="91">
        <v>0.0</v>
      </c>
      <c r="D9" s="91">
        <v>0.0</v>
      </c>
      <c r="E9" s="91">
        <v>0.0</v>
      </c>
      <c r="F9" s="91">
        <v>0.0</v>
      </c>
      <c r="G9" s="87" t="str">
        <f t="shared" si="2"/>
        <v>#DIV/0!</v>
      </c>
    </row>
    <row r="10" ht="15.75" customHeight="1">
      <c r="A10" s="85" t="s">
        <v>148</v>
      </c>
      <c r="B10" s="91">
        <v>0.0</v>
      </c>
      <c r="C10" s="91">
        <v>0.0</v>
      </c>
      <c r="D10" s="91">
        <v>0.0</v>
      </c>
      <c r="E10" s="91">
        <v>0.0</v>
      </c>
      <c r="F10" s="91">
        <v>0.0</v>
      </c>
      <c r="G10" s="87" t="str">
        <f t="shared" si="2"/>
        <v>#DIV/0!</v>
      </c>
    </row>
    <row r="11" ht="15.75" customHeight="1">
      <c r="A11" s="85" t="s">
        <v>149</v>
      </c>
      <c r="B11" s="88">
        <v>3496.0</v>
      </c>
      <c r="C11" s="88">
        <v>8856.0</v>
      </c>
      <c r="D11" s="88">
        <v>1841.0</v>
      </c>
      <c r="E11" s="88">
        <v>10815.0</v>
      </c>
      <c r="F11" s="88">
        <v>16801.0</v>
      </c>
      <c r="G11" s="87">
        <f t="shared" si="2"/>
        <v>0.3688401701</v>
      </c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88">
        <v>49413.0</v>
      </c>
      <c r="C13" s="88">
        <v>52501.0</v>
      </c>
      <c r="D13" s="88">
        <v>55334.0</v>
      </c>
      <c r="E13" s="88">
        <v>74600.0</v>
      </c>
      <c r="F13" s="88">
        <v>85636.0</v>
      </c>
      <c r="G13" s="87">
        <f t="shared" ref="G13:G15" si="3">(F13/B13)^(1/5)-1</f>
        <v>0.1162540056</v>
      </c>
    </row>
    <row r="14" ht="15.75" customHeight="1">
      <c r="A14" s="85" t="s">
        <v>151</v>
      </c>
      <c r="B14" s="88">
        <v>2890.0</v>
      </c>
      <c r="C14" s="88">
        <v>2662.0</v>
      </c>
      <c r="D14" s="88">
        <v>2157.0</v>
      </c>
      <c r="E14" s="88">
        <v>2739.0</v>
      </c>
      <c r="F14" s="88">
        <v>3716.0</v>
      </c>
      <c r="G14" s="87">
        <f t="shared" si="3"/>
        <v>0.05156366773</v>
      </c>
    </row>
    <row r="15" ht="15.75" customHeight="1">
      <c r="A15" s="85" t="s">
        <v>152</v>
      </c>
      <c r="B15" s="88">
        <v>15744.0</v>
      </c>
      <c r="C15" s="88">
        <v>14989.0</v>
      </c>
      <c r="D15" s="88">
        <v>13747.0</v>
      </c>
      <c r="E15" s="88">
        <v>27941.0</v>
      </c>
      <c r="F15" s="88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98">
        <f t="shared" ref="B18:F18" si="4">B6/B5</f>
        <v>0.09721120804</v>
      </c>
      <c r="C18" s="98">
        <f t="shared" si="4"/>
        <v>0.07689137725</v>
      </c>
      <c r="D18" s="98">
        <f t="shared" si="4"/>
        <v>0.06511943847</v>
      </c>
      <c r="E18" s="98">
        <f t="shared" si="4"/>
        <v>0.09380714632</v>
      </c>
      <c r="F18" s="98">
        <f t="shared" si="4"/>
        <v>0.1313003144</v>
      </c>
      <c r="G18" s="95"/>
    </row>
    <row r="19" ht="15.75" customHeight="1">
      <c r="A19" s="85" t="s">
        <v>154</v>
      </c>
      <c r="B19" s="98">
        <f t="shared" ref="B19:F19" si="5">B8/B5</f>
        <v>0.07501982554</v>
      </c>
      <c r="C19" s="98">
        <f t="shared" si="5"/>
        <v>0.06236855568</v>
      </c>
      <c r="D19" s="98">
        <f t="shared" si="5"/>
        <v>0.04392618589</v>
      </c>
      <c r="E19" s="98">
        <f t="shared" si="5"/>
        <v>0.07028944212</v>
      </c>
      <c r="F19" s="98">
        <f t="shared" si="5"/>
        <v>0.09508099649</v>
      </c>
      <c r="G19" s="95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14.49606299</v>
      </c>
      <c r="E20" s="98">
        <f t="shared" si="6"/>
        <v>57.8342246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58.97860963</v>
      </c>
      <c r="F21" s="98">
        <f t="shared" si="7"/>
        <v>96.01030928</v>
      </c>
      <c r="G21" s="95"/>
    </row>
    <row r="22" ht="15.75" customHeight="1">
      <c r="A22" s="85" t="s">
        <v>157</v>
      </c>
      <c r="B22" s="98">
        <f t="shared" ref="B22:F22" si="8">B14/B13</f>
        <v>0.05848663307</v>
      </c>
      <c r="C22" s="98">
        <f t="shared" si="8"/>
        <v>0.05070379612</v>
      </c>
      <c r="D22" s="98">
        <f t="shared" si="8"/>
        <v>0.03898145805</v>
      </c>
      <c r="E22" s="98">
        <f t="shared" si="8"/>
        <v>0.03671581769</v>
      </c>
      <c r="F22" s="98">
        <f t="shared" si="8"/>
        <v>0.04339296558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>
        <f t="shared" ref="B24:F24" si="9">B8/B13</f>
        <v>0.1148685569</v>
      </c>
      <c r="C24" s="98">
        <f t="shared" si="9"/>
        <v>0.08359840765</v>
      </c>
      <c r="D24" s="98">
        <f t="shared" si="9"/>
        <v>0.07011963711</v>
      </c>
      <c r="E24" s="98">
        <f t="shared" si="9"/>
        <v>0.1107774799</v>
      </c>
      <c r="F24" s="98">
        <f t="shared" si="9"/>
        <v>0.1575038535</v>
      </c>
      <c r="G24" s="95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0.1000504427</v>
      </c>
      <c r="E25" s="98">
        <f t="shared" si="10"/>
        <v>0.1426059297</v>
      </c>
      <c r="F25" s="98">
        <f t="shared" si="10"/>
        <v>0.2084564419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>
        <f t="shared" ref="B30:F30" si="11">B19</f>
        <v>0.07501982554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0.07028944212</v>
      </c>
      <c r="F30" s="98">
        <f t="shared" si="11"/>
        <v>0.09508099649</v>
      </c>
      <c r="G30" s="95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4.207830786</v>
      </c>
      <c r="F31" s="98">
        <f t="shared" si="12"/>
        <v>5.090902566</v>
      </c>
      <c r="G31" s="95"/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0.2484367658</v>
      </c>
      <c r="E32" s="98">
        <f t="shared" si="13"/>
        <v>0.3745442359</v>
      </c>
      <c r="F32" s="98">
        <f t="shared" si="13"/>
        <v>0.3253888552</v>
      </c>
      <c r="G32" s="95"/>
    </row>
    <row r="33" ht="15.75" customHeight="1">
      <c r="A33" s="85" t="s">
        <v>164</v>
      </c>
      <c r="B33" s="98">
        <f t="shared" ref="B33:F33" si="14">B30*B31*B32</f>
        <v>0.1148685569</v>
      </c>
      <c r="C33" s="98">
        <f t="shared" si="14"/>
        <v>0.08359840765</v>
      </c>
      <c r="D33" s="98">
        <f t="shared" si="14"/>
        <v>0.07011963711</v>
      </c>
      <c r="E33" s="98">
        <f t="shared" si="14"/>
        <v>0.1107774799</v>
      </c>
      <c r="F33" s="98">
        <f t="shared" si="14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88">
        <v>511659.0</v>
      </c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16037.2017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94"/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104"/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141858</v>
      </c>
      <c r="C41" s="95"/>
      <c r="D41" s="77" t="s">
        <v>171</v>
      </c>
      <c r="E41" s="106"/>
      <c r="F41" s="106"/>
      <c r="G41" s="107"/>
    </row>
    <row r="42" ht="15.75" customHeight="1">
      <c r="A42" s="85" t="s">
        <v>172</v>
      </c>
      <c r="B42" s="248">
        <v>0.09</v>
      </c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12767.22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0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>
        <f>(B44/B36)-1</f>
        <v>-1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233" t="s">
        <v>140</v>
      </c>
    </row>
    <row r="2" ht="15.75" customHeight="1"/>
    <row r="3" ht="15.75" customHeight="1">
      <c r="A3" s="249" t="s">
        <v>242</v>
      </c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86">
        <v>75660.0</v>
      </c>
      <c r="C5" s="86">
        <v>70372.0</v>
      </c>
      <c r="D5" s="86">
        <v>88330.0</v>
      </c>
      <c r="E5" s="86">
        <v>117571.0</v>
      </c>
      <c r="F5" s="86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88">
        <v>7355.0</v>
      </c>
      <c r="C6" s="88">
        <v>5411.0</v>
      </c>
      <c r="D6" s="88">
        <v>5752.0</v>
      </c>
      <c r="E6" s="88">
        <v>11029.0</v>
      </c>
      <c r="F6" s="88">
        <v>18626.0</v>
      </c>
      <c r="G6" s="87">
        <f t="shared" si="2"/>
        <v>0.2042242937</v>
      </c>
    </row>
    <row r="7" ht="15.75" customHeight="1">
      <c r="A7" s="85" t="s">
        <v>19</v>
      </c>
      <c r="B7" s="89">
        <v>134.0</v>
      </c>
      <c r="C7" s="89">
        <v>102.0</v>
      </c>
      <c r="D7" s="89">
        <v>127.0</v>
      </c>
      <c r="E7" s="90">
        <v>187.0</v>
      </c>
      <c r="F7" s="89">
        <v>194.0</v>
      </c>
      <c r="G7" s="87">
        <f t="shared" si="2"/>
        <v>0.07681075935</v>
      </c>
    </row>
    <row r="8" ht="15.75" customHeight="1">
      <c r="A8" s="85" t="s">
        <v>146</v>
      </c>
      <c r="B8" s="88">
        <v>5678.0</v>
      </c>
      <c r="C8" s="88">
        <v>4389.0</v>
      </c>
      <c r="D8" s="88">
        <v>3880.0</v>
      </c>
      <c r="E8" s="88">
        <v>8211.0</v>
      </c>
      <c r="F8" s="88">
        <v>13488.0</v>
      </c>
      <c r="G8" s="87">
        <f t="shared" si="2"/>
        <v>0.1889139801</v>
      </c>
    </row>
    <row r="9" ht="15.75" customHeight="1">
      <c r="A9" s="85" t="s">
        <v>147</v>
      </c>
      <c r="B9" s="283" t="s">
        <v>218</v>
      </c>
      <c r="C9" s="283" t="s">
        <v>218</v>
      </c>
      <c r="D9" s="283" t="s">
        <v>218</v>
      </c>
      <c r="E9" s="283" t="s">
        <v>218</v>
      </c>
      <c r="F9" s="283" t="s">
        <v>218</v>
      </c>
      <c r="G9" s="87" t="str">
        <f t="shared" si="2"/>
        <v>#VALUE!</v>
      </c>
    </row>
    <row r="10" ht="15.75" customHeight="1">
      <c r="A10" s="85" t="s">
        <v>148</v>
      </c>
      <c r="B10" s="283" t="s">
        <v>218</v>
      </c>
      <c r="C10" s="283" t="s">
        <v>218</v>
      </c>
      <c r="D10" s="283" t="s">
        <v>218</v>
      </c>
      <c r="E10" s="283" t="s">
        <v>218</v>
      </c>
      <c r="F10" s="283" t="s">
        <v>218</v>
      </c>
      <c r="G10" s="87" t="str">
        <f t="shared" si="2"/>
        <v>#VALUE!</v>
      </c>
    </row>
    <row r="11" ht="15.75" customHeight="1">
      <c r="A11" s="85" t="s">
        <v>149</v>
      </c>
      <c r="B11" s="88">
        <v>3496.0</v>
      </c>
      <c r="C11" s="88">
        <v>8856.0</v>
      </c>
      <c r="D11" s="88">
        <v>1840.0</v>
      </c>
      <c r="E11" s="88">
        <v>9251.0</v>
      </c>
      <c r="F11" s="88">
        <v>16801.0</v>
      </c>
      <c r="G11" s="87">
        <f t="shared" si="2"/>
        <v>0.3688401701</v>
      </c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236">
        <v>49413.0</v>
      </c>
      <c r="C13" s="236">
        <v>52501.0</v>
      </c>
      <c r="D13" s="236">
        <v>55334.0</v>
      </c>
      <c r="E13" s="236">
        <v>74600.0</v>
      </c>
      <c r="F13" s="236">
        <v>85636.0</v>
      </c>
      <c r="G13" s="87">
        <f t="shared" ref="G13:G15" si="3">(F13/B13)^(1/5)-1</f>
        <v>0.1162540056</v>
      </c>
    </row>
    <row r="14" ht="15.75" customHeight="1">
      <c r="A14" s="85" t="s">
        <v>151</v>
      </c>
      <c r="B14" s="236">
        <v>2890.0</v>
      </c>
      <c r="C14" s="236">
        <v>2662.0</v>
      </c>
      <c r="D14" s="236">
        <v>2157.0</v>
      </c>
      <c r="E14" s="236">
        <v>2739.0</v>
      </c>
      <c r="F14" s="236">
        <v>3716.0</v>
      </c>
      <c r="G14" s="87">
        <f t="shared" si="3"/>
        <v>0.05156366773</v>
      </c>
    </row>
    <row r="15" ht="15.75" customHeight="1">
      <c r="A15" s="85" t="s">
        <v>152</v>
      </c>
      <c r="B15" s="236">
        <v>15744.0</v>
      </c>
      <c r="C15" s="236">
        <v>14989.0</v>
      </c>
      <c r="D15" s="236">
        <v>13747.0</v>
      </c>
      <c r="E15" s="236">
        <v>27941.0</v>
      </c>
      <c r="F15" s="236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98">
        <f t="shared" ref="B18:F18" si="4">B6/B5</f>
        <v>0.09721120804</v>
      </c>
      <c r="C18" s="98">
        <f t="shared" si="4"/>
        <v>0.07689137725</v>
      </c>
      <c r="D18" s="98">
        <f t="shared" si="4"/>
        <v>0.06511943847</v>
      </c>
      <c r="E18" s="98">
        <f t="shared" si="4"/>
        <v>0.09380714632</v>
      </c>
      <c r="F18" s="98">
        <f t="shared" si="4"/>
        <v>0.1313003144</v>
      </c>
      <c r="G18" s="95"/>
    </row>
    <row r="19" ht="15.75" customHeight="1">
      <c r="A19" s="85" t="s">
        <v>154</v>
      </c>
      <c r="B19" s="98">
        <f t="shared" ref="B19:F19" si="5">B8/B5</f>
        <v>0.07504625958</v>
      </c>
      <c r="C19" s="98">
        <f t="shared" si="5"/>
        <v>0.06236855568</v>
      </c>
      <c r="D19" s="98">
        <f t="shared" si="5"/>
        <v>0.04392618589</v>
      </c>
      <c r="E19" s="98">
        <f t="shared" si="5"/>
        <v>0.06983865069</v>
      </c>
      <c r="F19" s="98">
        <f t="shared" si="5"/>
        <v>0.09508099649</v>
      </c>
      <c r="G19" s="95"/>
    </row>
    <row r="20" ht="15.75" customHeight="1">
      <c r="A20" s="85" t="s">
        <v>155</v>
      </c>
      <c r="B20" s="98">
        <f t="shared" ref="B20:F20" si="6">B11/B7</f>
        <v>26.08955224</v>
      </c>
      <c r="C20" s="98">
        <f t="shared" si="6"/>
        <v>86.82352941</v>
      </c>
      <c r="D20" s="98">
        <f t="shared" si="6"/>
        <v>14.48818898</v>
      </c>
      <c r="E20" s="98">
        <f t="shared" si="6"/>
        <v>49.47058824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58.97860963</v>
      </c>
      <c r="F21" s="98">
        <f t="shared" si="7"/>
        <v>96.01030928</v>
      </c>
      <c r="G21" s="95"/>
    </row>
    <row r="22" ht="15.75" customHeight="1">
      <c r="A22" s="85" t="s">
        <v>157</v>
      </c>
      <c r="B22" s="98">
        <f t="shared" ref="B22:F22" si="8">B14/B13</f>
        <v>0.05848663307</v>
      </c>
      <c r="C22" s="98">
        <f t="shared" si="8"/>
        <v>0.05070379612</v>
      </c>
      <c r="D22" s="98">
        <f t="shared" si="8"/>
        <v>0.03898145805</v>
      </c>
      <c r="E22" s="98">
        <f t="shared" si="8"/>
        <v>0.03671581769</v>
      </c>
      <c r="F22" s="98">
        <f t="shared" si="8"/>
        <v>0.04339296558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>
        <f t="shared" ref="B24:F24" si="9">B8/B13</f>
        <v>0.114909032</v>
      </c>
      <c r="C24" s="98">
        <f t="shared" si="9"/>
        <v>0.08359840765</v>
      </c>
      <c r="D24" s="98">
        <f t="shared" si="9"/>
        <v>0.07011963711</v>
      </c>
      <c r="E24" s="98">
        <f t="shared" si="9"/>
        <v>0.1100670241</v>
      </c>
      <c r="F24" s="98">
        <f t="shared" si="9"/>
        <v>0.1575038535</v>
      </c>
      <c r="G24" s="95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0.1000504427</v>
      </c>
      <c r="E25" s="98">
        <f t="shared" si="10"/>
        <v>0.1426059297</v>
      </c>
      <c r="F25" s="98">
        <f t="shared" si="10"/>
        <v>0.2084564419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>
        <f t="shared" ref="B30:F30" si="11">B19</f>
        <v>0.07504625958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0.06983865069</v>
      </c>
      <c r="F30" s="98">
        <f t="shared" si="11"/>
        <v>0.09508099649</v>
      </c>
      <c r="G30" s="95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4.207830786</v>
      </c>
      <c r="F31" s="98">
        <f t="shared" si="12"/>
        <v>5.090902566</v>
      </c>
      <c r="G31" s="95"/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0.2484367658</v>
      </c>
      <c r="E32" s="98">
        <f t="shared" si="13"/>
        <v>0.3745442359</v>
      </c>
      <c r="F32" s="98">
        <f t="shared" si="13"/>
        <v>0.3253888552</v>
      </c>
      <c r="G32" s="95"/>
    </row>
    <row r="33" ht="15.75" customHeight="1">
      <c r="A33" s="85" t="s">
        <v>164</v>
      </c>
      <c r="B33" s="98">
        <f t="shared" ref="B33:F33" si="14">B30*B31*B32</f>
        <v>0.114909032</v>
      </c>
      <c r="C33" s="98">
        <f t="shared" si="14"/>
        <v>0.08359840765</v>
      </c>
      <c r="D33" s="98">
        <f t="shared" si="14"/>
        <v>0.07011963711</v>
      </c>
      <c r="E33" s="98">
        <f t="shared" si="14"/>
        <v>0.1100670241</v>
      </c>
      <c r="F33" s="98">
        <f t="shared" si="14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88">
        <v>511659.0</v>
      </c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16036.07176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88">
        <v>35.0</v>
      </c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246">
        <v>45.0</v>
      </c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215748.2858</v>
      </c>
      <c r="C41" s="95"/>
      <c r="D41" s="77" t="s">
        <v>171</v>
      </c>
      <c r="E41" s="106"/>
      <c r="F41" s="106"/>
      <c r="G41" s="247">
        <v>0.15</v>
      </c>
    </row>
    <row r="42" ht="15.75" customHeight="1">
      <c r="A42" s="85" t="s">
        <v>172</v>
      </c>
      <c r="B42" s="248">
        <v>0.1</v>
      </c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21574.82858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970867.2859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>
        <f>(B44/B36)-1</f>
        <v>0.897488925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>
      <c r="C2" s="39">
        <f t="shared" ref="C2:F2" si="1">C5/B5-1</f>
        <v>-0.06989162041</v>
      </c>
      <c r="D2" s="39">
        <f t="shared" si="1"/>
        <v>0.255186722</v>
      </c>
      <c r="E2" s="39">
        <f t="shared" si="1"/>
        <v>0.3310426809</v>
      </c>
      <c r="F2" s="39">
        <f t="shared" si="1"/>
        <v>0.2065730495</v>
      </c>
      <c r="G2" s="39">
        <f>AVERAGE(C2:F2)</f>
        <v>0.180727708</v>
      </c>
    </row>
    <row r="3" ht="15.75" customHeight="1">
      <c r="A3" s="77"/>
      <c r="B3" s="78">
        <v>2020.0</v>
      </c>
      <c r="C3" s="78">
        <f t="shared" ref="C3:F3" si="2">B3+1</f>
        <v>2021</v>
      </c>
      <c r="D3" s="78">
        <f t="shared" si="2"/>
        <v>2022</v>
      </c>
      <c r="E3" s="78">
        <f t="shared" si="2"/>
        <v>2023</v>
      </c>
      <c r="F3" s="78">
        <f t="shared" si="2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364">
        <v>75660.0</v>
      </c>
      <c r="C5" s="364">
        <v>70372.0</v>
      </c>
      <c r="D5" s="364">
        <v>88330.0</v>
      </c>
      <c r="E5" s="364">
        <v>117571.0</v>
      </c>
      <c r="F5" s="364">
        <v>141858.0</v>
      </c>
      <c r="G5" s="87">
        <f t="shared" ref="G5:G11" si="3">(F5/B5)^(1/5)-1</f>
        <v>0.1339593835</v>
      </c>
    </row>
    <row r="6" ht="15.75" customHeight="1">
      <c r="A6" s="85" t="s">
        <v>145</v>
      </c>
      <c r="B6" s="364">
        <v>7355.0</v>
      </c>
      <c r="C6" s="364">
        <v>5411.0</v>
      </c>
      <c r="D6" s="364">
        <v>5752.0</v>
      </c>
      <c r="E6" s="364">
        <v>11029.0</v>
      </c>
      <c r="F6" s="364">
        <v>11029.0</v>
      </c>
      <c r="G6" s="87">
        <f t="shared" si="3"/>
        <v>0.08440295392</v>
      </c>
    </row>
    <row r="7" ht="15.75" customHeight="1">
      <c r="A7" s="85" t="s">
        <v>19</v>
      </c>
      <c r="B7" s="365">
        <v>134.0</v>
      </c>
      <c r="C7" s="365">
        <v>102.0</v>
      </c>
      <c r="D7" s="365">
        <v>127.0</v>
      </c>
      <c r="E7" s="366">
        <v>252.0</v>
      </c>
      <c r="F7" s="365">
        <v>194.0</v>
      </c>
      <c r="G7" s="87">
        <f t="shared" si="3"/>
        <v>0.07681075935</v>
      </c>
    </row>
    <row r="8" ht="15.75" customHeight="1">
      <c r="A8" s="85" t="s">
        <v>146</v>
      </c>
      <c r="B8" s="367">
        <v>5676.0</v>
      </c>
      <c r="C8" s="367">
        <v>4389.0</v>
      </c>
      <c r="D8" s="367">
        <v>3880.0</v>
      </c>
      <c r="E8" s="367">
        <v>8264.0</v>
      </c>
      <c r="F8" s="367">
        <v>13488.0</v>
      </c>
      <c r="G8" s="87">
        <f t="shared" si="3"/>
        <v>0.1889977536</v>
      </c>
    </row>
    <row r="9" ht="15.75" customHeight="1">
      <c r="A9" s="85" t="s">
        <v>147</v>
      </c>
      <c r="B9" s="368" t="s">
        <v>218</v>
      </c>
      <c r="C9" s="368" t="s">
        <v>218</v>
      </c>
      <c r="D9" s="368" t="s">
        <v>218</v>
      </c>
      <c r="E9" s="368" t="s">
        <v>218</v>
      </c>
      <c r="F9" s="368" t="s">
        <v>218</v>
      </c>
      <c r="G9" s="87" t="str">
        <f t="shared" si="3"/>
        <v>#VALUE!</v>
      </c>
    </row>
    <row r="10" ht="15.75" customHeight="1">
      <c r="A10" s="85" t="s">
        <v>148</v>
      </c>
      <c r="B10" s="368" t="s">
        <v>218</v>
      </c>
      <c r="C10" s="368" t="s">
        <v>218</v>
      </c>
      <c r="D10" s="368" t="s">
        <v>218</v>
      </c>
      <c r="E10" s="368" t="s">
        <v>218</v>
      </c>
      <c r="F10" s="368" t="s">
        <v>218</v>
      </c>
      <c r="G10" s="87" t="str">
        <f t="shared" si="3"/>
        <v>#VALUE!</v>
      </c>
    </row>
    <row r="11" ht="15.75" customHeight="1">
      <c r="A11" s="85" t="s">
        <v>149</v>
      </c>
      <c r="B11" s="367">
        <v>3496.0</v>
      </c>
      <c r="C11" s="367">
        <v>8856.0</v>
      </c>
      <c r="D11" s="367">
        <v>1841.0</v>
      </c>
      <c r="E11" s="367">
        <v>10815.0</v>
      </c>
      <c r="F11" s="367">
        <v>16801.0</v>
      </c>
      <c r="G11" s="87">
        <f t="shared" si="3"/>
        <v>0.3688401701</v>
      </c>
      <c r="H11" s="39">
        <f>(F5/B5)^(1/5)-1</f>
        <v>0.1339593835</v>
      </c>
    </row>
    <row r="12" ht="15.75" customHeight="1">
      <c r="A12" s="85"/>
      <c r="B12" s="369"/>
      <c r="C12" s="369"/>
      <c r="D12" s="369"/>
      <c r="E12" s="369"/>
      <c r="F12" s="369"/>
      <c r="G12" s="84"/>
    </row>
    <row r="13" ht="15.75" customHeight="1">
      <c r="A13" s="85" t="s">
        <v>150</v>
      </c>
      <c r="B13" s="367">
        <v>49413.0</v>
      </c>
      <c r="C13" s="367">
        <v>52501.0</v>
      </c>
      <c r="D13" s="370">
        <v>55333.0</v>
      </c>
      <c r="E13" s="367">
        <v>74600.0</v>
      </c>
      <c r="F13" s="367">
        <v>85636.0</v>
      </c>
      <c r="G13" s="87">
        <f t="shared" ref="G13:G15" si="4">(F13/B13)^(1/5)-1</f>
        <v>0.1162540056</v>
      </c>
    </row>
    <row r="14" ht="15.75" customHeight="1">
      <c r="A14" s="85" t="s">
        <v>151</v>
      </c>
      <c r="B14" s="367">
        <v>2890.0</v>
      </c>
      <c r="C14" s="367">
        <v>2662.0</v>
      </c>
      <c r="D14" s="367">
        <v>2157.0</v>
      </c>
      <c r="E14" s="367">
        <v>2739.0</v>
      </c>
      <c r="F14" s="367">
        <v>3716.0</v>
      </c>
      <c r="G14" s="87">
        <f t="shared" si="4"/>
        <v>0.05156366773</v>
      </c>
    </row>
    <row r="15" ht="15.75" customHeight="1">
      <c r="A15" s="85" t="s">
        <v>152</v>
      </c>
      <c r="B15" s="367">
        <v>15744.0</v>
      </c>
      <c r="C15" s="367">
        <v>14989.0</v>
      </c>
      <c r="D15" s="367">
        <v>13747.0</v>
      </c>
      <c r="E15" s="367">
        <v>27941.0</v>
      </c>
      <c r="F15" s="367">
        <v>27865.0</v>
      </c>
      <c r="G15" s="87">
        <f t="shared" si="4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279">
        <f t="shared" ref="B18:F18" si="5">B6/B5</f>
        <v>0.09721120804</v>
      </c>
      <c r="C18" s="279">
        <f t="shared" si="5"/>
        <v>0.07689137725</v>
      </c>
      <c r="D18" s="279">
        <f t="shared" si="5"/>
        <v>0.06511943847</v>
      </c>
      <c r="E18" s="279">
        <f t="shared" si="5"/>
        <v>0.09380714632</v>
      </c>
      <c r="F18" s="279">
        <f t="shared" si="5"/>
        <v>0.07774676085</v>
      </c>
      <c r="G18" s="95"/>
    </row>
    <row r="19" ht="15.75" customHeight="1">
      <c r="A19" s="85" t="s">
        <v>154</v>
      </c>
      <c r="B19" s="98">
        <f t="shared" ref="B19:F19" si="6">B8/B5</f>
        <v>0.07501982554</v>
      </c>
      <c r="C19" s="279">
        <f t="shared" si="6"/>
        <v>0.06236855568</v>
      </c>
      <c r="D19" s="279">
        <f t="shared" si="6"/>
        <v>0.04392618589</v>
      </c>
      <c r="E19" s="279">
        <f t="shared" si="6"/>
        <v>0.07028944212</v>
      </c>
      <c r="F19" s="279">
        <f t="shared" si="6"/>
        <v>0.09508099649</v>
      </c>
      <c r="G19" s="95"/>
    </row>
    <row r="20" ht="15.75" customHeight="1">
      <c r="A20" s="85" t="s">
        <v>155</v>
      </c>
      <c r="B20" s="98">
        <f t="shared" ref="B20:F20" si="7">B11/B7</f>
        <v>26.08955224</v>
      </c>
      <c r="C20" s="98">
        <f t="shared" si="7"/>
        <v>86.82352941</v>
      </c>
      <c r="D20" s="98">
        <f t="shared" si="7"/>
        <v>14.49606299</v>
      </c>
      <c r="E20" s="98">
        <f t="shared" si="7"/>
        <v>42.91666667</v>
      </c>
      <c r="F20" s="98">
        <f t="shared" si="7"/>
        <v>86.60309278</v>
      </c>
      <c r="G20" s="95"/>
    </row>
    <row r="21" ht="15.75" customHeight="1">
      <c r="A21" s="85" t="s">
        <v>156</v>
      </c>
      <c r="B21" s="98">
        <f t="shared" ref="B21:F21" si="8">B6/B7</f>
        <v>54.8880597</v>
      </c>
      <c r="C21" s="98">
        <f t="shared" si="8"/>
        <v>53.04901961</v>
      </c>
      <c r="D21" s="98">
        <f t="shared" si="8"/>
        <v>45.29133858</v>
      </c>
      <c r="E21" s="98">
        <f t="shared" si="8"/>
        <v>43.76587302</v>
      </c>
      <c r="F21" s="98">
        <f t="shared" si="8"/>
        <v>56.85051546</v>
      </c>
      <c r="G21" s="95"/>
    </row>
    <row r="22" ht="15.75" customHeight="1">
      <c r="A22" s="85" t="s">
        <v>157</v>
      </c>
      <c r="B22" s="279">
        <f t="shared" ref="B22:F22" si="9">B14/B13</f>
        <v>0.05848663307</v>
      </c>
      <c r="C22" s="279">
        <f t="shared" si="9"/>
        <v>0.05070379612</v>
      </c>
      <c r="D22" s="279">
        <f t="shared" si="9"/>
        <v>0.03898216254</v>
      </c>
      <c r="E22" s="279">
        <f t="shared" si="9"/>
        <v>0.03671581769</v>
      </c>
      <c r="F22" s="279">
        <f t="shared" si="9"/>
        <v>0.04339296558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279">
        <f t="shared" ref="B24:F24" si="10">B8/B13</f>
        <v>0.1148685569</v>
      </c>
      <c r="C24" s="279">
        <f t="shared" si="10"/>
        <v>0.08359840765</v>
      </c>
      <c r="D24" s="279">
        <f t="shared" si="10"/>
        <v>0.07012090434</v>
      </c>
      <c r="E24" s="279">
        <f t="shared" si="10"/>
        <v>0.1107774799</v>
      </c>
      <c r="F24" s="279">
        <f t="shared" si="10"/>
        <v>0.1575038535</v>
      </c>
      <c r="G24" s="95"/>
    </row>
    <row r="25" ht="15.75" customHeight="1">
      <c r="A25" s="85" t="s">
        <v>159</v>
      </c>
      <c r="B25" s="279">
        <f t="shared" ref="B25:F25" si="11">B6/SUM(B13:B14)</f>
        <v>0.1406229088</v>
      </c>
      <c r="C25" s="279">
        <f t="shared" si="11"/>
        <v>0.0980911118</v>
      </c>
      <c r="D25" s="279">
        <f t="shared" si="11"/>
        <v>0.100052183</v>
      </c>
      <c r="E25" s="279">
        <f t="shared" si="11"/>
        <v>0.1426059297</v>
      </c>
      <c r="F25" s="279">
        <f t="shared" si="11"/>
        <v>0.1234331632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>
        <f t="shared" ref="B30:F30" si="12">B19</f>
        <v>0.07501982554</v>
      </c>
      <c r="C30" s="98">
        <f t="shared" si="12"/>
        <v>0.06236855568</v>
      </c>
      <c r="D30" s="98">
        <f t="shared" si="12"/>
        <v>0.04392618589</v>
      </c>
      <c r="E30" s="98">
        <f t="shared" si="12"/>
        <v>0.07028944212</v>
      </c>
      <c r="F30" s="98">
        <f t="shared" si="12"/>
        <v>0.09508099649</v>
      </c>
      <c r="G30" s="95"/>
    </row>
    <row r="31" ht="15.75" customHeight="1">
      <c r="A31" s="85" t="s">
        <v>162</v>
      </c>
      <c r="B31" s="98">
        <f t="shared" ref="B31:F31" si="13">B5/B15</f>
        <v>4.805640244</v>
      </c>
      <c r="C31" s="98">
        <f t="shared" si="13"/>
        <v>4.6949096</v>
      </c>
      <c r="D31" s="98">
        <f t="shared" si="13"/>
        <v>6.425401906</v>
      </c>
      <c r="E31" s="98">
        <f t="shared" si="13"/>
        <v>4.207830786</v>
      </c>
      <c r="F31" s="98">
        <f t="shared" si="13"/>
        <v>5.090902566</v>
      </c>
      <c r="G31" s="95"/>
    </row>
    <row r="32" ht="15.75" customHeight="1">
      <c r="A32" s="85" t="s">
        <v>163</v>
      </c>
      <c r="B32" s="98">
        <f t="shared" ref="B32:F32" si="14">B15/B13</f>
        <v>0.3186206059</v>
      </c>
      <c r="C32" s="98">
        <f t="shared" si="14"/>
        <v>0.2854993238</v>
      </c>
      <c r="D32" s="98">
        <f t="shared" si="14"/>
        <v>0.2484412557</v>
      </c>
      <c r="E32" s="98">
        <f t="shared" si="14"/>
        <v>0.3745442359</v>
      </c>
      <c r="F32" s="98">
        <f t="shared" si="14"/>
        <v>0.3253888552</v>
      </c>
      <c r="G32" s="95"/>
    </row>
    <row r="33" ht="15.75" customHeight="1">
      <c r="A33" s="85" t="s">
        <v>164</v>
      </c>
      <c r="B33" s="98">
        <f t="shared" ref="B33:F33" si="15">B30*B31*B32</f>
        <v>0.1148685569</v>
      </c>
      <c r="C33" s="98">
        <f t="shared" si="15"/>
        <v>0.08359840765</v>
      </c>
      <c r="D33" s="98">
        <f t="shared" si="15"/>
        <v>0.07012090434</v>
      </c>
      <c r="E33" s="98">
        <f t="shared" si="15"/>
        <v>0.1107774799</v>
      </c>
      <c r="F33" s="98">
        <f t="shared" si="15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88">
        <v>511659.0</v>
      </c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16037.2017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88">
        <v>35.0</v>
      </c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246">
        <v>40.0</v>
      </c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204686.4826</v>
      </c>
      <c r="C41" s="95"/>
      <c r="D41" s="77" t="s">
        <v>171</v>
      </c>
      <c r="E41" s="106"/>
      <c r="F41" s="106"/>
      <c r="G41" s="247">
        <v>0.13</v>
      </c>
    </row>
    <row r="42" ht="15.75" customHeight="1">
      <c r="A42" s="85" t="s">
        <v>172</v>
      </c>
      <c r="B42" s="248">
        <v>0.1</v>
      </c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20468.64826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818745.9305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>
        <f>(B44/B36)-1</f>
        <v>0.6001788897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310"/>
      <c r="C5" s="310"/>
      <c r="D5" s="310"/>
      <c r="E5" s="310"/>
      <c r="F5" s="310"/>
      <c r="G5" s="87" t="str">
        <f t="shared" ref="G5:G11" si="2">(F5/B5)^(1/5)-1</f>
        <v>#DIV/0!</v>
      </c>
    </row>
    <row r="6" ht="15.75" customHeight="1">
      <c r="A6" s="85" t="s">
        <v>145</v>
      </c>
      <c r="B6" s="94"/>
      <c r="C6" s="94"/>
      <c r="D6" s="94"/>
      <c r="E6" s="94"/>
      <c r="F6" s="94"/>
      <c r="G6" s="87" t="str">
        <f t="shared" si="2"/>
        <v>#DIV/0!</v>
      </c>
    </row>
    <row r="7" ht="15.75" customHeight="1">
      <c r="A7" s="85" t="s">
        <v>19</v>
      </c>
      <c r="B7" s="311"/>
      <c r="C7" s="311"/>
      <c r="D7" s="311"/>
      <c r="E7" s="312"/>
      <c r="F7" s="311"/>
      <c r="G7" s="87" t="str">
        <f t="shared" si="2"/>
        <v>#DIV/0!</v>
      </c>
    </row>
    <row r="8" ht="15.75" customHeight="1">
      <c r="A8" s="85" t="s">
        <v>146</v>
      </c>
      <c r="B8" s="94"/>
      <c r="C8" s="94"/>
      <c r="D8" s="94"/>
      <c r="E8" s="94"/>
      <c r="F8" s="94"/>
      <c r="G8" s="87" t="str">
        <f t="shared" si="2"/>
        <v>#DIV/0!</v>
      </c>
    </row>
    <row r="9" ht="15.75" customHeight="1">
      <c r="A9" s="85" t="s">
        <v>147</v>
      </c>
      <c r="B9" s="283" t="s">
        <v>218</v>
      </c>
      <c r="C9" s="283" t="s">
        <v>218</v>
      </c>
      <c r="D9" s="283" t="s">
        <v>218</v>
      </c>
      <c r="E9" s="283" t="s">
        <v>218</v>
      </c>
      <c r="F9" s="283" t="s">
        <v>218</v>
      </c>
      <c r="G9" s="87" t="str">
        <f t="shared" si="2"/>
        <v>#VALUE!</v>
      </c>
    </row>
    <row r="10" ht="15.75" customHeight="1">
      <c r="A10" s="85" t="s">
        <v>148</v>
      </c>
      <c r="B10" s="283" t="s">
        <v>218</v>
      </c>
      <c r="C10" s="283" t="s">
        <v>218</v>
      </c>
      <c r="D10" s="283" t="s">
        <v>218</v>
      </c>
      <c r="E10" s="283" t="s">
        <v>218</v>
      </c>
      <c r="F10" s="283" t="s">
        <v>218</v>
      </c>
      <c r="G10" s="87" t="str">
        <f t="shared" si="2"/>
        <v>#VALUE!</v>
      </c>
    </row>
    <row r="11" ht="15.75" customHeight="1">
      <c r="A11" s="85" t="s">
        <v>149</v>
      </c>
      <c r="B11" s="94"/>
      <c r="C11" s="94"/>
      <c r="D11" s="94"/>
      <c r="E11" s="94"/>
      <c r="F11" s="94"/>
      <c r="G11" s="87" t="str">
        <f t="shared" si="2"/>
        <v>#DIV/0!</v>
      </c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94"/>
      <c r="C13" s="94"/>
      <c r="D13" s="94"/>
      <c r="E13" s="94"/>
      <c r="F13" s="94"/>
      <c r="G13" s="87" t="str">
        <f t="shared" ref="G13:G15" si="3">(F13/B13)^(1/5)-1</f>
        <v>#DIV/0!</v>
      </c>
    </row>
    <row r="14" ht="15.75" customHeight="1">
      <c r="A14" s="85" t="s">
        <v>151</v>
      </c>
      <c r="B14" s="94"/>
      <c r="C14" s="94"/>
      <c r="D14" s="94"/>
      <c r="E14" s="94"/>
      <c r="F14" s="94"/>
      <c r="G14" s="87" t="str">
        <f t="shared" si="3"/>
        <v>#DIV/0!</v>
      </c>
    </row>
    <row r="15" ht="15.75" customHeight="1">
      <c r="A15" s="85" t="s">
        <v>152</v>
      </c>
      <c r="B15" s="94"/>
      <c r="C15" s="94"/>
      <c r="D15" s="94"/>
      <c r="E15" s="94"/>
      <c r="F15" s="94"/>
      <c r="G15" s="87" t="str">
        <f t="shared" si="3"/>
        <v>#DIV/0!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98" t="str">
        <f t="shared" ref="B18:F18" si="4">B6/B5</f>
        <v>#DIV/0!</v>
      </c>
      <c r="C18" s="98" t="str">
        <f t="shared" si="4"/>
        <v>#DIV/0!</v>
      </c>
      <c r="D18" s="98" t="str">
        <f t="shared" si="4"/>
        <v>#DIV/0!</v>
      </c>
      <c r="E18" s="98" t="str">
        <f t="shared" si="4"/>
        <v>#DIV/0!</v>
      </c>
      <c r="F18" s="98" t="str">
        <f t="shared" si="4"/>
        <v>#DIV/0!</v>
      </c>
      <c r="G18" s="95"/>
    </row>
    <row r="19" ht="15.75" customHeight="1">
      <c r="A19" s="85" t="s">
        <v>154</v>
      </c>
      <c r="B19" s="98" t="str">
        <f t="shared" ref="B19:F19" si="5">B8/B5</f>
        <v>#DIV/0!</v>
      </c>
      <c r="C19" s="98" t="str">
        <f t="shared" si="5"/>
        <v>#DIV/0!</v>
      </c>
      <c r="D19" s="98" t="str">
        <f t="shared" si="5"/>
        <v>#DIV/0!</v>
      </c>
      <c r="E19" s="98" t="str">
        <f t="shared" si="5"/>
        <v>#DIV/0!</v>
      </c>
      <c r="F19" s="98" t="str">
        <f t="shared" si="5"/>
        <v>#DIV/0!</v>
      </c>
      <c r="G19" s="95"/>
    </row>
    <row r="20" ht="15.75" customHeight="1">
      <c r="A20" s="85" t="s">
        <v>155</v>
      </c>
      <c r="B20" s="98" t="str">
        <f t="shared" ref="B20:F20" si="6">B11/B7</f>
        <v>#DIV/0!</v>
      </c>
      <c r="C20" s="98" t="str">
        <f t="shared" si="6"/>
        <v>#DIV/0!</v>
      </c>
      <c r="D20" s="98" t="str">
        <f t="shared" si="6"/>
        <v>#DIV/0!</v>
      </c>
      <c r="E20" s="98" t="str">
        <f t="shared" si="6"/>
        <v>#DIV/0!</v>
      </c>
      <c r="F20" s="98" t="str">
        <f t="shared" si="6"/>
        <v>#DIV/0!</v>
      </c>
      <c r="G20" s="95"/>
    </row>
    <row r="21" ht="15.75" customHeight="1">
      <c r="A21" s="85" t="s">
        <v>156</v>
      </c>
      <c r="B21" s="98" t="str">
        <f t="shared" ref="B21:F21" si="7">B6/B7</f>
        <v>#DIV/0!</v>
      </c>
      <c r="C21" s="98" t="str">
        <f t="shared" si="7"/>
        <v>#DIV/0!</v>
      </c>
      <c r="D21" s="98" t="str">
        <f t="shared" si="7"/>
        <v>#DIV/0!</v>
      </c>
      <c r="E21" s="98" t="str">
        <f t="shared" si="7"/>
        <v>#DIV/0!</v>
      </c>
      <c r="F21" s="98" t="str">
        <f t="shared" si="7"/>
        <v>#DIV/0!</v>
      </c>
      <c r="G21" s="95"/>
    </row>
    <row r="22" ht="15.75" customHeight="1">
      <c r="A22" s="85" t="s">
        <v>157</v>
      </c>
      <c r="B22" s="98" t="str">
        <f t="shared" ref="B22:F22" si="8">B14/B13</f>
        <v>#DIV/0!</v>
      </c>
      <c r="C22" s="98" t="str">
        <f t="shared" si="8"/>
        <v>#DIV/0!</v>
      </c>
      <c r="D22" s="98" t="str">
        <f t="shared" si="8"/>
        <v>#DIV/0!</v>
      </c>
      <c r="E22" s="98" t="str">
        <f t="shared" si="8"/>
        <v>#DIV/0!</v>
      </c>
      <c r="F22" s="98" t="str">
        <f t="shared" si="8"/>
        <v>#DIV/0!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 t="str">
        <f t="shared" ref="B24:F24" si="9">B8/B13</f>
        <v>#DIV/0!</v>
      </c>
      <c r="C24" s="98" t="str">
        <f t="shared" si="9"/>
        <v>#DIV/0!</v>
      </c>
      <c r="D24" s="98" t="str">
        <f t="shared" si="9"/>
        <v>#DIV/0!</v>
      </c>
      <c r="E24" s="98" t="str">
        <f t="shared" si="9"/>
        <v>#DIV/0!</v>
      </c>
      <c r="F24" s="98" t="str">
        <f t="shared" si="9"/>
        <v>#DIV/0!</v>
      </c>
      <c r="G24" s="95"/>
    </row>
    <row r="25" ht="15.75" customHeight="1">
      <c r="A25" s="85" t="s">
        <v>159</v>
      </c>
      <c r="B25" s="98" t="str">
        <f t="shared" ref="B25:F25" si="10">B6/SUM(B13:B14)</f>
        <v>#DIV/0!</v>
      </c>
      <c r="C25" s="98" t="str">
        <f t="shared" si="10"/>
        <v>#DIV/0!</v>
      </c>
      <c r="D25" s="98" t="str">
        <f t="shared" si="10"/>
        <v>#DIV/0!</v>
      </c>
      <c r="E25" s="98" t="str">
        <f t="shared" si="10"/>
        <v>#DIV/0!</v>
      </c>
      <c r="F25" s="98" t="str">
        <f t="shared" si="10"/>
        <v>#DIV/0!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 t="str">
        <f t="shared" ref="B30:F30" si="11">B19</f>
        <v>#DIV/0!</v>
      </c>
      <c r="C30" s="98" t="str">
        <f t="shared" si="11"/>
        <v>#DIV/0!</v>
      </c>
      <c r="D30" s="98" t="str">
        <f t="shared" si="11"/>
        <v>#DIV/0!</v>
      </c>
      <c r="E30" s="98" t="str">
        <f t="shared" si="11"/>
        <v>#DIV/0!</v>
      </c>
      <c r="F30" s="98" t="str">
        <f t="shared" si="11"/>
        <v>#DIV/0!</v>
      </c>
      <c r="G30" s="95"/>
    </row>
    <row r="31" ht="15.75" customHeight="1">
      <c r="A31" s="85" t="s">
        <v>162</v>
      </c>
      <c r="B31" s="98" t="str">
        <f t="shared" ref="B31:F31" si="12">B5/B15</f>
        <v>#DIV/0!</v>
      </c>
      <c r="C31" s="98" t="str">
        <f t="shared" si="12"/>
        <v>#DIV/0!</v>
      </c>
      <c r="D31" s="98" t="str">
        <f t="shared" si="12"/>
        <v>#DIV/0!</v>
      </c>
      <c r="E31" s="98" t="str">
        <f t="shared" si="12"/>
        <v>#DIV/0!</v>
      </c>
      <c r="F31" s="98" t="str">
        <f t="shared" si="12"/>
        <v>#DIV/0!</v>
      </c>
      <c r="G31" s="95"/>
    </row>
    <row r="32" ht="15.75" customHeight="1">
      <c r="A32" s="85" t="s">
        <v>163</v>
      </c>
      <c r="B32" s="98" t="str">
        <f t="shared" ref="B32:F32" si="13">B15/B13</f>
        <v>#DIV/0!</v>
      </c>
      <c r="C32" s="98" t="str">
        <f t="shared" si="13"/>
        <v>#DIV/0!</v>
      </c>
      <c r="D32" s="98" t="str">
        <f t="shared" si="13"/>
        <v>#DIV/0!</v>
      </c>
      <c r="E32" s="98" t="str">
        <f t="shared" si="13"/>
        <v>#DIV/0!</v>
      </c>
      <c r="F32" s="98" t="str">
        <f t="shared" si="13"/>
        <v>#DIV/0!</v>
      </c>
      <c r="G32" s="95"/>
    </row>
    <row r="33" ht="15.75" customHeight="1">
      <c r="A33" s="85" t="s">
        <v>164</v>
      </c>
      <c r="B33" s="98" t="str">
        <f t="shared" ref="B33:F33" si="14">B30*B31*B32</f>
        <v>#DIV/0!</v>
      </c>
      <c r="C33" s="98" t="str">
        <f t="shared" si="14"/>
        <v>#DIV/0!</v>
      </c>
      <c r="D33" s="98" t="str">
        <f t="shared" si="14"/>
        <v>#DIV/0!</v>
      </c>
      <c r="E33" s="98" t="str">
        <f t="shared" si="14"/>
        <v>#DIV/0!</v>
      </c>
      <c r="F33" s="98" t="str">
        <f t="shared" si="14"/>
        <v>#DIV/0!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102"/>
      <c r="C35" s="95"/>
      <c r="D35" s="95"/>
      <c r="E35" s="95"/>
      <c r="F35" s="95"/>
      <c r="G35" s="95"/>
    </row>
    <row r="36" ht="15.75" customHeight="1">
      <c r="A36" s="85" t="s">
        <v>166</v>
      </c>
      <c r="B36" s="94"/>
      <c r="C36" s="95"/>
      <c r="D36" s="95"/>
      <c r="E36" s="95"/>
      <c r="F36" s="95"/>
      <c r="G36" s="95"/>
    </row>
    <row r="37" ht="15.75" customHeight="1">
      <c r="A37" s="85" t="s">
        <v>167</v>
      </c>
      <c r="B37" s="103" t="str">
        <f>F8*(1+G8)</f>
        <v>#DIV/0!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94"/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104"/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0</v>
      </c>
      <c r="C41" s="95"/>
      <c r="D41" s="77" t="s">
        <v>171</v>
      </c>
      <c r="E41" s="106"/>
      <c r="F41" s="106"/>
      <c r="G41" s="107"/>
    </row>
    <row r="42" ht="15.75" customHeight="1">
      <c r="A42" s="85" t="s">
        <v>172</v>
      </c>
      <c r="B42" s="108"/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0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0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 t="str">
        <f>(B44/B36)-1</f>
        <v>#DIV/0!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310"/>
      <c r="C5" s="310"/>
      <c r="D5" s="310"/>
      <c r="E5" s="310"/>
      <c r="F5" s="310"/>
      <c r="G5" s="87" t="str">
        <f t="shared" ref="G5:G11" si="2">(F5/B5)^(1/5)-1</f>
        <v>#DIV/0!</v>
      </c>
    </row>
    <row r="6" ht="15.75" customHeight="1">
      <c r="A6" s="85" t="s">
        <v>145</v>
      </c>
      <c r="B6" s="94"/>
      <c r="C6" s="94"/>
      <c r="D6" s="94"/>
      <c r="E6" s="94"/>
      <c r="F6" s="94"/>
      <c r="G6" s="87" t="str">
        <f t="shared" si="2"/>
        <v>#DIV/0!</v>
      </c>
    </row>
    <row r="7" ht="15.75" customHeight="1">
      <c r="A7" s="85" t="s">
        <v>19</v>
      </c>
      <c r="B7" s="311"/>
      <c r="C7" s="311"/>
      <c r="D7" s="311"/>
      <c r="E7" s="312"/>
      <c r="F7" s="311"/>
      <c r="G7" s="87" t="str">
        <f t="shared" si="2"/>
        <v>#DIV/0!</v>
      </c>
    </row>
    <row r="8" ht="15.75" customHeight="1">
      <c r="A8" s="85" t="s">
        <v>146</v>
      </c>
      <c r="B8" s="94"/>
      <c r="C8" s="94"/>
      <c r="D8" s="94"/>
      <c r="E8" s="94"/>
      <c r="F8" s="94"/>
      <c r="G8" s="87" t="str">
        <f t="shared" si="2"/>
        <v>#DIV/0!</v>
      </c>
    </row>
    <row r="9" ht="15.75" customHeight="1">
      <c r="A9" s="85" t="s">
        <v>147</v>
      </c>
      <c r="B9" s="283" t="s">
        <v>218</v>
      </c>
      <c r="C9" s="283" t="s">
        <v>218</v>
      </c>
      <c r="D9" s="283" t="s">
        <v>218</v>
      </c>
      <c r="E9" s="283" t="s">
        <v>218</v>
      </c>
      <c r="F9" s="283" t="s">
        <v>218</v>
      </c>
      <c r="G9" s="87" t="str">
        <f t="shared" si="2"/>
        <v>#VALUE!</v>
      </c>
    </row>
    <row r="10" ht="15.75" customHeight="1">
      <c r="A10" s="85" t="s">
        <v>148</v>
      </c>
      <c r="B10" s="283" t="s">
        <v>218</v>
      </c>
      <c r="C10" s="283" t="s">
        <v>218</v>
      </c>
      <c r="D10" s="283" t="s">
        <v>218</v>
      </c>
      <c r="E10" s="283" t="s">
        <v>218</v>
      </c>
      <c r="F10" s="283" t="s">
        <v>218</v>
      </c>
      <c r="G10" s="87" t="str">
        <f t="shared" si="2"/>
        <v>#VALUE!</v>
      </c>
    </row>
    <row r="11" ht="15.75" customHeight="1">
      <c r="A11" s="85" t="s">
        <v>149</v>
      </c>
      <c r="B11" s="94"/>
      <c r="C11" s="94"/>
      <c r="D11" s="94"/>
      <c r="E11" s="94"/>
      <c r="F11" s="94"/>
      <c r="G11" s="87" t="str">
        <f t="shared" si="2"/>
        <v>#DIV/0!</v>
      </c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94"/>
      <c r="C13" s="94"/>
      <c r="D13" s="94"/>
      <c r="E13" s="94"/>
      <c r="F13" s="94"/>
      <c r="G13" s="87" t="str">
        <f t="shared" ref="G13:G15" si="3">(F13/B13)^(1/5)-1</f>
        <v>#DIV/0!</v>
      </c>
    </row>
    <row r="14" ht="15.75" customHeight="1">
      <c r="A14" s="85" t="s">
        <v>151</v>
      </c>
      <c r="B14" s="94"/>
      <c r="C14" s="94"/>
      <c r="D14" s="94"/>
      <c r="E14" s="94"/>
      <c r="F14" s="94"/>
      <c r="G14" s="87" t="str">
        <f t="shared" si="3"/>
        <v>#DIV/0!</v>
      </c>
    </row>
    <row r="15" ht="15.75" customHeight="1">
      <c r="A15" s="85" t="s">
        <v>152</v>
      </c>
      <c r="B15" s="94"/>
      <c r="C15" s="94"/>
      <c r="D15" s="94"/>
      <c r="E15" s="94"/>
      <c r="F15" s="94"/>
      <c r="G15" s="87" t="str">
        <f t="shared" si="3"/>
        <v>#DIV/0!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98" t="str">
        <f t="shared" ref="B18:F18" si="4">B6/B5</f>
        <v>#DIV/0!</v>
      </c>
      <c r="C18" s="98" t="str">
        <f t="shared" si="4"/>
        <v>#DIV/0!</v>
      </c>
      <c r="D18" s="98" t="str">
        <f t="shared" si="4"/>
        <v>#DIV/0!</v>
      </c>
      <c r="E18" s="98" t="str">
        <f t="shared" si="4"/>
        <v>#DIV/0!</v>
      </c>
      <c r="F18" s="98" t="str">
        <f t="shared" si="4"/>
        <v>#DIV/0!</v>
      </c>
      <c r="G18" s="95"/>
    </row>
    <row r="19" ht="15.75" customHeight="1">
      <c r="A19" s="85" t="s">
        <v>154</v>
      </c>
      <c r="B19" s="98" t="str">
        <f t="shared" ref="B19:F19" si="5">B8/B5</f>
        <v>#DIV/0!</v>
      </c>
      <c r="C19" s="98" t="str">
        <f t="shared" si="5"/>
        <v>#DIV/0!</v>
      </c>
      <c r="D19" s="98" t="str">
        <f t="shared" si="5"/>
        <v>#DIV/0!</v>
      </c>
      <c r="E19" s="98" t="str">
        <f t="shared" si="5"/>
        <v>#DIV/0!</v>
      </c>
      <c r="F19" s="98" t="str">
        <f t="shared" si="5"/>
        <v>#DIV/0!</v>
      </c>
      <c r="G19" s="95"/>
    </row>
    <row r="20" ht="15.75" customHeight="1">
      <c r="A20" s="85" t="s">
        <v>155</v>
      </c>
      <c r="B20" s="98" t="str">
        <f t="shared" ref="B20:F20" si="6">B11/B7</f>
        <v>#DIV/0!</v>
      </c>
      <c r="C20" s="98" t="str">
        <f t="shared" si="6"/>
        <v>#DIV/0!</v>
      </c>
      <c r="D20" s="98" t="str">
        <f t="shared" si="6"/>
        <v>#DIV/0!</v>
      </c>
      <c r="E20" s="98" t="str">
        <f t="shared" si="6"/>
        <v>#DIV/0!</v>
      </c>
      <c r="F20" s="98" t="str">
        <f t="shared" si="6"/>
        <v>#DIV/0!</v>
      </c>
      <c r="G20" s="95"/>
    </row>
    <row r="21" ht="15.75" customHeight="1">
      <c r="A21" s="85" t="s">
        <v>156</v>
      </c>
      <c r="B21" s="98" t="str">
        <f t="shared" ref="B21:F21" si="7">B6/B7</f>
        <v>#DIV/0!</v>
      </c>
      <c r="C21" s="98" t="str">
        <f t="shared" si="7"/>
        <v>#DIV/0!</v>
      </c>
      <c r="D21" s="98" t="str">
        <f t="shared" si="7"/>
        <v>#DIV/0!</v>
      </c>
      <c r="E21" s="98" t="str">
        <f t="shared" si="7"/>
        <v>#DIV/0!</v>
      </c>
      <c r="F21" s="98" t="str">
        <f t="shared" si="7"/>
        <v>#DIV/0!</v>
      </c>
      <c r="G21" s="95"/>
    </row>
    <row r="22" ht="15.75" customHeight="1">
      <c r="A22" s="85" t="s">
        <v>157</v>
      </c>
      <c r="B22" s="98" t="str">
        <f t="shared" ref="B22:F22" si="8">B14/B13</f>
        <v>#DIV/0!</v>
      </c>
      <c r="C22" s="98" t="str">
        <f t="shared" si="8"/>
        <v>#DIV/0!</v>
      </c>
      <c r="D22" s="98" t="str">
        <f t="shared" si="8"/>
        <v>#DIV/0!</v>
      </c>
      <c r="E22" s="98" t="str">
        <f t="shared" si="8"/>
        <v>#DIV/0!</v>
      </c>
      <c r="F22" s="98" t="str">
        <f t="shared" si="8"/>
        <v>#DIV/0!</v>
      </c>
      <c r="G22" s="95"/>
    </row>
    <row r="23" ht="15.75" customHeight="1">
      <c r="A23" s="85"/>
      <c r="B23" s="99"/>
      <c r="C23" s="99"/>
      <c r="D23" s="99"/>
      <c r="E23" s="99"/>
      <c r="F23" s="99"/>
      <c r="G23" s="95"/>
    </row>
    <row r="24" ht="15.75" customHeight="1">
      <c r="A24" s="85" t="s">
        <v>158</v>
      </c>
      <c r="B24" s="98" t="str">
        <f t="shared" ref="B24:F24" si="9">B8/B13</f>
        <v>#DIV/0!</v>
      </c>
      <c r="C24" s="98" t="str">
        <f t="shared" si="9"/>
        <v>#DIV/0!</v>
      </c>
      <c r="D24" s="98" t="str">
        <f t="shared" si="9"/>
        <v>#DIV/0!</v>
      </c>
      <c r="E24" s="98" t="str">
        <f t="shared" si="9"/>
        <v>#DIV/0!</v>
      </c>
      <c r="F24" s="98" t="str">
        <f t="shared" si="9"/>
        <v>#DIV/0!</v>
      </c>
      <c r="G24" s="95"/>
    </row>
    <row r="25" ht="15.75" customHeight="1">
      <c r="A25" s="85" t="s">
        <v>159</v>
      </c>
      <c r="B25" s="98" t="str">
        <f t="shared" ref="B25:F25" si="10">B6/SUM(B13:B14)</f>
        <v>#DIV/0!</v>
      </c>
      <c r="C25" s="98" t="str">
        <f t="shared" si="10"/>
        <v>#DIV/0!</v>
      </c>
      <c r="D25" s="98" t="str">
        <f t="shared" si="10"/>
        <v>#DIV/0!</v>
      </c>
      <c r="E25" s="98" t="str">
        <f t="shared" si="10"/>
        <v>#DIV/0!</v>
      </c>
      <c r="F25" s="98" t="str">
        <f t="shared" si="10"/>
        <v>#DIV/0!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 t="str">
        <f t="shared" ref="B30:F30" si="11">B19</f>
        <v>#DIV/0!</v>
      </c>
      <c r="C30" s="98" t="str">
        <f t="shared" si="11"/>
        <v>#DIV/0!</v>
      </c>
      <c r="D30" s="98" t="str">
        <f t="shared" si="11"/>
        <v>#DIV/0!</v>
      </c>
      <c r="E30" s="98" t="str">
        <f t="shared" si="11"/>
        <v>#DIV/0!</v>
      </c>
      <c r="F30" s="98" t="str">
        <f t="shared" si="11"/>
        <v>#DIV/0!</v>
      </c>
      <c r="G30" s="95"/>
    </row>
    <row r="31" ht="15.75" customHeight="1">
      <c r="A31" s="85" t="s">
        <v>162</v>
      </c>
      <c r="B31" s="98" t="str">
        <f t="shared" ref="B31:F31" si="12">B5/B15</f>
        <v>#DIV/0!</v>
      </c>
      <c r="C31" s="98" t="str">
        <f t="shared" si="12"/>
        <v>#DIV/0!</v>
      </c>
      <c r="D31" s="98" t="str">
        <f t="shared" si="12"/>
        <v>#DIV/0!</v>
      </c>
      <c r="E31" s="98" t="str">
        <f t="shared" si="12"/>
        <v>#DIV/0!</v>
      </c>
      <c r="F31" s="98" t="str">
        <f t="shared" si="12"/>
        <v>#DIV/0!</v>
      </c>
      <c r="G31" s="95"/>
    </row>
    <row r="32" ht="15.75" customHeight="1">
      <c r="A32" s="85" t="s">
        <v>163</v>
      </c>
      <c r="B32" s="98" t="str">
        <f t="shared" ref="B32:F32" si="13">B15/B13</f>
        <v>#DIV/0!</v>
      </c>
      <c r="C32" s="98" t="str">
        <f t="shared" si="13"/>
        <v>#DIV/0!</v>
      </c>
      <c r="D32" s="98" t="str">
        <f t="shared" si="13"/>
        <v>#DIV/0!</v>
      </c>
      <c r="E32" s="98" t="str">
        <f t="shared" si="13"/>
        <v>#DIV/0!</v>
      </c>
      <c r="F32" s="98" t="str">
        <f t="shared" si="13"/>
        <v>#DIV/0!</v>
      </c>
      <c r="G32" s="95"/>
    </row>
    <row r="33" ht="15.75" customHeight="1">
      <c r="A33" s="85" t="s">
        <v>164</v>
      </c>
      <c r="B33" s="98" t="str">
        <f t="shared" ref="B33:F33" si="14">B30*B31*B32</f>
        <v>#DIV/0!</v>
      </c>
      <c r="C33" s="98" t="str">
        <f t="shared" si="14"/>
        <v>#DIV/0!</v>
      </c>
      <c r="D33" s="98" t="str">
        <f t="shared" si="14"/>
        <v>#DIV/0!</v>
      </c>
      <c r="E33" s="98" t="str">
        <f t="shared" si="14"/>
        <v>#DIV/0!</v>
      </c>
      <c r="F33" s="98" t="str">
        <f t="shared" si="14"/>
        <v>#DIV/0!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102"/>
      <c r="C35" s="95"/>
      <c r="D35" s="95"/>
      <c r="E35" s="95"/>
      <c r="F35" s="95"/>
      <c r="G35" s="95"/>
    </row>
    <row r="36" ht="15.75" customHeight="1">
      <c r="A36" s="85" t="s">
        <v>166</v>
      </c>
      <c r="B36" s="94"/>
      <c r="C36" s="95"/>
      <c r="D36" s="95"/>
      <c r="E36" s="95"/>
      <c r="F36" s="95"/>
      <c r="G36" s="95"/>
    </row>
    <row r="37" ht="15.75" customHeight="1">
      <c r="A37" s="85" t="s">
        <v>167</v>
      </c>
      <c r="B37" s="103" t="str">
        <f>F8*(1+G8)</f>
        <v>#DIV/0!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94"/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104"/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0</v>
      </c>
      <c r="C41" s="95"/>
      <c r="D41" s="77" t="s">
        <v>171</v>
      </c>
      <c r="E41" s="106"/>
      <c r="F41" s="106"/>
      <c r="G41" s="107"/>
    </row>
    <row r="42" ht="15.75" customHeight="1">
      <c r="A42" s="85" t="s">
        <v>172</v>
      </c>
      <c r="B42" s="108"/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0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0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 t="str">
        <f>(B44/B36)-1</f>
        <v>#DIV/0!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</row>
    <row r="2" ht="15.75" customHeight="1"/>
    <row r="3" ht="15.75" customHeight="1">
      <c r="A3" s="77"/>
      <c r="B3" s="78">
        <v>2020.0</v>
      </c>
      <c r="C3" s="78">
        <f t="shared" ref="C3:F3" si="1">B3+1</f>
        <v>2021</v>
      </c>
      <c r="D3" s="78">
        <f t="shared" si="1"/>
        <v>2022</v>
      </c>
      <c r="E3" s="78">
        <f t="shared" si="1"/>
        <v>2023</v>
      </c>
      <c r="F3" s="78">
        <f t="shared" si="1"/>
        <v>2024</v>
      </c>
      <c r="G3" s="79" t="s">
        <v>141</v>
      </c>
    </row>
    <row r="4" ht="15.75" customHeight="1">
      <c r="A4" s="284"/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86">
        <v>75660.0</v>
      </c>
      <c r="C5" s="236">
        <v>70372.0</v>
      </c>
      <c r="D5" s="236">
        <v>88330.0</v>
      </c>
      <c r="E5" s="236">
        <v>118410.0</v>
      </c>
      <c r="F5" s="236">
        <v>141858.0</v>
      </c>
      <c r="G5" s="87">
        <f t="shared" ref="G5:G11" si="2">(F5/B5)^(1/5)-1</f>
        <v>0.1339593835</v>
      </c>
    </row>
    <row r="6" ht="15.75" customHeight="1">
      <c r="A6" s="85" t="s">
        <v>145</v>
      </c>
      <c r="B6" s="88">
        <v>7355.0</v>
      </c>
      <c r="C6" s="236">
        <v>5411.0</v>
      </c>
      <c r="D6" s="236">
        <v>5752.0</v>
      </c>
      <c r="E6" s="236">
        <v>13122.0</v>
      </c>
      <c r="F6" s="236">
        <v>18626.0</v>
      </c>
      <c r="G6" s="87">
        <f t="shared" si="2"/>
        <v>0.2042242937</v>
      </c>
    </row>
    <row r="7" ht="15.75" customHeight="1">
      <c r="A7" s="85" t="s">
        <v>19</v>
      </c>
      <c r="B7" s="371">
        <v>134.0</v>
      </c>
      <c r="C7" s="237">
        <v>102.0</v>
      </c>
      <c r="D7" s="237">
        <v>127.0</v>
      </c>
      <c r="E7" s="238">
        <v>252.0</v>
      </c>
      <c r="F7" s="237">
        <v>194.0</v>
      </c>
      <c r="G7" s="87">
        <f t="shared" si="2"/>
        <v>0.07681075935</v>
      </c>
    </row>
    <row r="8" ht="15.75" customHeight="1">
      <c r="A8" s="85" t="s">
        <v>146</v>
      </c>
      <c r="B8" s="88">
        <v>5676.0</v>
      </c>
      <c r="C8" s="236">
        <v>4389.0</v>
      </c>
      <c r="D8" s="236">
        <v>3880.0</v>
      </c>
      <c r="E8" s="236">
        <v>8264.0</v>
      </c>
      <c r="F8" s="236">
        <v>13488.0</v>
      </c>
      <c r="G8" s="87">
        <f t="shared" si="2"/>
        <v>0.1889977536</v>
      </c>
    </row>
    <row r="9" ht="15.75" customHeight="1">
      <c r="A9" s="85" t="s">
        <v>147</v>
      </c>
      <c r="B9" s="91">
        <v>0.0</v>
      </c>
      <c r="C9" s="239">
        <v>0.0</v>
      </c>
      <c r="D9" s="239">
        <v>0.0</v>
      </c>
      <c r="E9" s="239">
        <v>0.0</v>
      </c>
      <c r="F9" s="239">
        <v>0.0</v>
      </c>
      <c r="G9" s="87" t="str">
        <f t="shared" si="2"/>
        <v>#DIV/0!</v>
      </c>
    </row>
    <row r="10" ht="15.75" customHeight="1">
      <c r="A10" s="85" t="s">
        <v>148</v>
      </c>
      <c r="B10" s="91">
        <v>0.0</v>
      </c>
      <c r="C10" s="239">
        <v>0.0</v>
      </c>
      <c r="D10" s="239">
        <v>0.0</v>
      </c>
      <c r="E10" s="239">
        <v>0.0</v>
      </c>
      <c r="F10" s="239">
        <v>0.0</v>
      </c>
      <c r="G10" s="87" t="str">
        <f t="shared" si="2"/>
        <v>#DIV/0!</v>
      </c>
    </row>
    <row r="11" ht="15.75" customHeight="1">
      <c r="A11" s="85" t="s">
        <v>149</v>
      </c>
      <c r="B11" s="88">
        <v>3496.0</v>
      </c>
      <c r="C11" s="236">
        <v>8856.0</v>
      </c>
      <c r="D11" s="236">
        <v>1841.0</v>
      </c>
      <c r="E11" s="236">
        <v>10815.0</v>
      </c>
      <c r="F11" s="236">
        <v>16801.0</v>
      </c>
      <c r="G11" s="87">
        <f t="shared" si="2"/>
        <v>0.3688401701</v>
      </c>
    </row>
    <row r="12" ht="15.75" customHeight="1">
      <c r="A12" s="85"/>
      <c r="B12" s="92"/>
      <c r="C12" s="240"/>
      <c r="D12" s="240"/>
      <c r="E12" s="240"/>
      <c r="F12" s="240"/>
      <c r="G12" s="84"/>
    </row>
    <row r="13" ht="15.75" customHeight="1">
      <c r="A13" s="85" t="s">
        <v>150</v>
      </c>
      <c r="B13" s="88">
        <v>49413.0</v>
      </c>
      <c r="C13" s="236">
        <v>52501.0</v>
      </c>
      <c r="D13" s="236">
        <v>55334.0</v>
      </c>
      <c r="E13" s="236">
        <v>74600.0</v>
      </c>
      <c r="F13" s="236">
        <v>85636.0</v>
      </c>
      <c r="G13" s="87">
        <f t="shared" ref="G13:G15" si="3">(F13/B13)^(1/5)-1</f>
        <v>0.1162540056</v>
      </c>
    </row>
    <row r="14" ht="15.75" customHeight="1">
      <c r="A14" s="85" t="s">
        <v>151</v>
      </c>
      <c r="B14" s="88">
        <v>2890.0</v>
      </c>
      <c r="C14" s="236">
        <v>2662.0</v>
      </c>
      <c r="D14" s="236">
        <v>2157.0</v>
      </c>
      <c r="E14" s="236">
        <v>2739.0</v>
      </c>
      <c r="F14" s="236">
        <v>3716.0</v>
      </c>
      <c r="G14" s="87">
        <f t="shared" si="3"/>
        <v>0.05156366773</v>
      </c>
    </row>
    <row r="15" ht="15.75" customHeight="1">
      <c r="A15" s="85" t="s">
        <v>152</v>
      </c>
      <c r="B15" s="88">
        <v>15744.0</v>
      </c>
      <c r="C15" s="236">
        <v>14989.0</v>
      </c>
      <c r="D15" s="236">
        <v>13747.0</v>
      </c>
      <c r="E15" s="236">
        <v>27941.0</v>
      </c>
      <c r="F15" s="236">
        <v>27865.0</v>
      </c>
      <c r="G15" s="87">
        <f t="shared" si="3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</row>
    <row r="18" ht="15.75" customHeight="1">
      <c r="A18" s="77" t="s">
        <v>153</v>
      </c>
      <c r="B18" s="279">
        <f t="shared" ref="B18:F18" si="4">B6/B5</f>
        <v>0.09721120804</v>
      </c>
      <c r="C18" s="279">
        <f t="shared" si="4"/>
        <v>0.07689137725</v>
      </c>
      <c r="D18" s="279">
        <f t="shared" si="4"/>
        <v>0.06511943847</v>
      </c>
      <c r="E18" s="279">
        <f t="shared" si="4"/>
        <v>0.110818343</v>
      </c>
      <c r="F18" s="279">
        <f t="shared" si="4"/>
        <v>0.1313003144</v>
      </c>
      <c r="G18" s="95"/>
    </row>
    <row r="19" ht="15.75" customHeight="1">
      <c r="A19" s="85" t="s">
        <v>154</v>
      </c>
      <c r="B19" s="279">
        <f t="shared" ref="B19:F19" si="5">B8/B5</f>
        <v>0.07501982554</v>
      </c>
      <c r="C19" s="279">
        <f t="shared" si="5"/>
        <v>0.06236855568</v>
      </c>
      <c r="D19" s="279">
        <f t="shared" si="5"/>
        <v>0.04392618589</v>
      </c>
      <c r="E19" s="279">
        <f t="shared" si="5"/>
        <v>0.06979140275</v>
      </c>
      <c r="F19" s="279">
        <f t="shared" si="5"/>
        <v>0.09508099649</v>
      </c>
      <c r="G19" s="279"/>
    </row>
    <row r="20" ht="15.75" customHeight="1">
      <c r="A20" s="85" t="s">
        <v>155</v>
      </c>
      <c r="B20" s="315">
        <f t="shared" ref="B20:F20" si="6">B11/B7</f>
        <v>26.08955224</v>
      </c>
      <c r="C20" s="98">
        <f t="shared" si="6"/>
        <v>86.82352941</v>
      </c>
      <c r="D20" s="98">
        <f t="shared" si="6"/>
        <v>14.49606299</v>
      </c>
      <c r="E20" s="98">
        <f t="shared" si="6"/>
        <v>42.91666667</v>
      </c>
      <c r="F20" s="98">
        <f t="shared" si="6"/>
        <v>86.60309278</v>
      </c>
      <c r="G20" s="95"/>
    </row>
    <row r="21" ht="15.75" customHeight="1">
      <c r="A21" s="85" t="s">
        <v>156</v>
      </c>
      <c r="B21" s="98">
        <f t="shared" ref="B21:F21" si="7">B6/B7</f>
        <v>54.8880597</v>
      </c>
      <c r="C21" s="98">
        <f t="shared" si="7"/>
        <v>53.04901961</v>
      </c>
      <c r="D21" s="98">
        <f t="shared" si="7"/>
        <v>45.29133858</v>
      </c>
      <c r="E21" s="98">
        <f t="shared" si="7"/>
        <v>52.07142857</v>
      </c>
      <c r="F21" s="98">
        <f t="shared" si="7"/>
        <v>96.01030928</v>
      </c>
      <c r="G21" s="95"/>
    </row>
    <row r="22" ht="15.75" customHeight="1">
      <c r="A22" s="85" t="s">
        <v>157</v>
      </c>
      <c r="B22" s="279">
        <f t="shared" ref="B22:F22" si="8">B14/B13</f>
        <v>0.05848663307</v>
      </c>
      <c r="C22" s="279">
        <f t="shared" si="8"/>
        <v>0.05070379612</v>
      </c>
      <c r="D22" s="279">
        <f t="shared" si="8"/>
        <v>0.03898145805</v>
      </c>
      <c r="E22" s="279">
        <f t="shared" si="8"/>
        <v>0.03671581769</v>
      </c>
      <c r="F22" s="279">
        <f t="shared" si="8"/>
        <v>0.04339296558</v>
      </c>
      <c r="G22" s="95"/>
    </row>
    <row r="23" ht="15.75" customHeight="1">
      <c r="A23" s="85"/>
      <c r="C23" s="99"/>
      <c r="D23" s="99"/>
      <c r="E23" s="99"/>
      <c r="F23" s="99"/>
      <c r="G23" s="95"/>
    </row>
    <row r="24" ht="15.75" customHeight="1">
      <c r="A24" s="85" t="s">
        <v>158</v>
      </c>
      <c r="B24" s="98">
        <f t="shared" ref="B24:F24" si="9">B8/B13</f>
        <v>0.1148685569</v>
      </c>
      <c r="C24" s="98">
        <f t="shared" si="9"/>
        <v>0.08359840765</v>
      </c>
      <c r="D24" s="98">
        <f t="shared" si="9"/>
        <v>0.07011963711</v>
      </c>
      <c r="E24" s="98">
        <f t="shared" si="9"/>
        <v>0.1107774799</v>
      </c>
      <c r="F24" s="98">
        <f t="shared" si="9"/>
        <v>0.1575038535</v>
      </c>
      <c r="G24" s="95"/>
    </row>
    <row r="25" ht="15.75" customHeight="1">
      <c r="A25" s="85" t="s">
        <v>159</v>
      </c>
      <c r="B25" s="98">
        <f t="shared" ref="B25:F25" si="10">B6/SUM(B13:B14)</f>
        <v>0.1406229088</v>
      </c>
      <c r="C25" s="98">
        <f t="shared" si="10"/>
        <v>0.0980911118</v>
      </c>
      <c r="D25" s="98">
        <f t="shared" si="10"/>
        <v>0.1000504427</v>
      </c>
      <c r="E25" s="98">
        <f t="shared" si="10"/>
        <v>0.1696686019</v>
      </c>
      <c r="F25" s="98">
        <f t="shared" si="10"/>
        <v>0.2084564419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>
        <f t="shared" ref="B30:F30" si="11">B19</f>
        <v>0.07501982554</v>
      </c>
      <c r="C30" s="98">
        <f t="shared" si="11"/>
        <v>0.06236855568</v>
      </c>
      <c r="D30" s="98">
        <f t="shared" si="11"/>
        <v>0.04392618589</v>
      </c>
      <c r="E30" s="98">
        <f t="shared" si="11"/>
        <v>0.06979140275</v>
      </c>
      <c r="F30" s="98">
        <f t="shared" si="11"/>
        <v>0.09508099649</v>
      </c>
      <c r="G30" s="95"/>
    </row>
    <row r="31" ht="15.75" customHeight="1">
      <c r="A31" s="85" t="s">
        <v>162</v>
      </c>
      <c r="B31" s="98">
        <f t="shared" ref="B31:F31" si="12">B5/B15</f>
        <v>4.805640244</v>
      </c>
      <c r="C31" s="98">
        <f t="shared" si="12"/>
        <v>4.6949096</v>
      </c>
      <c r="D31" s="98">
        <f t="shared" si="12"/>
        <v>6.425401906</v>
      </c>
      <c r="E31" s="98">
        <f t="shared" si="12"/>
        <v>4.237858344</v>
      </c>
      <c r="F31" s="98">
        <f t="shared" si="12"/>
        <v>5.090902566</v>
      </c>
      <c r="G31" s="95"/>
    </row>
    <row r="32" ht="15.75" customHeight="1">
      <c r="A32" s="85" t="s">
        <v>163</v>
      </c>
      <c r="B32" s="98">
        <f t="shared" ref="B32:F32" si="13">B15/B13</f>
        <v>0.3186206059</v>
      </c>
      <c r="C32" s="98">
        <f t="shared" si="13"/>
        <v>0.2854993238</v>
      </c>
      <c r="D32" s="98">
        <f t="shared" si="13"/>
        <v>0.2484367658</v>
      </c>
      <c r="E32" s="98">
        <f t="shared" si="13"/>
        <v>0.3745442359</v>
      </c>
      <c r="F32" s="98">
        <f t="shared" si="13"/>
        <v>0.3253888552</v>
      </c>
      <c r="G32" s="95"/>
    </row>
    <row r="33" ht="15.75" customHeight="1">
      <c r="A33" s="85" t="s">
        <v>164</v>
      </c>
      <c r="B33" s="98">
        <f t="shared" ref="B33:F33" si="14">B30*B31*B32</f>
        <v>0.1148685569</v>
      </c>
      <c r="C33" s="98">
        <f t="shared" si="14"/>
        <v>0.08359840765</v>
      </c>
      <c r="D33" s="98">
        <f t="shared" si="14"/>
        <v>0.07011963711</v>
      </c>
      <c r="E33" s="98">
        <f t="shared" si="14"/>
        <v>0.1107774799</v>
      </c>
      <c r="F33" s="98">
        <f t="shared" si="14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88">
        <v>511639.0</v>
      </c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16037.2017</v>
      </c>
      <c r="C37" s="95"/>
      <c r="D37" s="95"/>
      <c r="E37" s="95"/>
      <c r="F37" s="95"/>
      <c r="G37" s="95"/>
    </row>
    <row r="38" ht="15.75" customHeight="1">
      <c r="A38" s="85" t="s">
        <v>168</v>
      </c>
      <c r="B38" s="88">
        <v>35.0</v>
      </c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246">
        <v>45.0</v>
      </c>
      <c r="C40" s="95"/>
      <c r="D40" s="95"/>
      <c r="E40" s="95"/>
      <c r="F40" s="95"/>
      <c r="G40" s="95"/>
    </row>
    <row r="41" ht="15.75" customHeight="1">
      <c r="A41" s="85" t="s">
        <v>170</v>
      </c>
      <c r="B41" s="105">
        <f>F5*(1+G41)^3</f>
        <v>215748.2858</v>
      </c>
      <c r="C41" s="95"/>
      <c r="D41" s="77" t="s">
        <v>171</v>
      </c>
      <c r="E41" s="106"/>
      <c r="F41" s="106"/>
      <c r="G41" s="247">
        <v>0.15</v>
      </c>
    </row>
    <row r="42" ht="15.75" customHeight="1">
      <c r="A42" s="85" t="s">
        <v>172</v>
      </c>
      <c r="B42" s="248">
        <v>0.1</v>
      </c>
      <c r="C42" s="95"/>
      <c r="D42" s="95"/>
      <c r="E42" s="95"/>
      <c r="F42" s="95"/>
      <c r="G42" s="95"/>
    </row>
    <row r="43" ht="15.75" customHeight="1">
      <c r="A43" s="85" t="s">
        <v>173</v>
      </c>
      <c r="B43" s="105">
        <f>B41*B42</f>
        <v>21574.82858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109">
        <f>B43*B40</f>
        <v>970867.2859</v>
      </c>
      <c r="C44" s="95"/>
      <c r="D44" s="95"/>
      <c r="E44" s="95"/>
      <c r="F44" s="95"/>
      <c r="G44" s="95"/>
    </row>
    <row r="45" ht="15.75" customHeight="1">
      <c r="A45" s="95"/>
      <c r="B45" s="95"/>
      <c r="C45" s="95"/>
      <c r="D45" s="95"/>
      <c r="E45" s="95"/>
      <c r="F45" s="95"/>
      <c r="G45" s="95"/>
    </row>
    <row r="46" ht="15.75" customHeight="1">
      <c r="A46" s="77" t="s">
        <v>175</v>
      </c>
      <c r="B46" s="110">
        <f>(B44/B36)-1</f>
        <v>0.897563098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5.88"/>
    <col customWidth="1" min="2" max="6" width="12.63"/>
  </cols>
  <sheetData>
    <row r="1" ht="15.75" customHeight="1">
      <c r="A1" s="75" t="s">
        <v>139</v>
      </c>
      <c r="B1" s="76" t="s">
        <v>140</v>
      </c>
      <c r="C1" s="15" t="s">
        <v>246</v>
      </c>
    </row>
    <row r="2" ht="15.75" customHeight="1">
      <c r="C2" s="35">
        <f t="shared" ref="C2:F2" si="1">C5/B5-1</f>
        <v>-0.06989162041</v>
      </c>
      <c r="D2" s="35">
        <f t="shared" si="1"/>
        <v>0.255186722</v>
      </c>
      <c r="E2" s="35">
        <f t="shared" si="1"/>
        <v>0.3310426809</v>
      </c>
      <c r="F2" s="35">
        <f t="shared" si="1"/>
        <v>0.2065730495</v>
      </c>
      <c r="G2" s="35"/>
    </row>
    <row r="3" ht="15.75" customHeight="1">
      <c r="A3" s="77"/>
      <c r="B3" s="78">
        <v>2020.0</v>
      </c>
      <c r="C3" s="78">
        <f t="shared" ref="C3:F3" si="2">B3+1</f>
        <v>2021</v>
      </c>
      <c r="D3" s="78">
        <f t="shared" si="2"/>
        <v>2022</v>
      </c>
      <c r="E3" s="78">
        <f t="shared" si="2"/>
        <v>2023</v>
      </c>
      <c r="F3" s="78">
        <f t="shared" si="2"/>
        <v>2024</v>
      </c>
      <c r="G3" s="79" t="s">
        <v>141</v>
      </c>
    </row>
    <row r="4" ht="15.75" customHeight="1">
      <c r="A4" s="80" t="s">
        <v>247</v>
      </c>
      <c r="B4" s="81" t="s">
        <v>143</v>
      </c>
      <c r="C4" s="82"/>
      <c r="D4" s="82"/>
      <c r="E4" s="82"/>
      <c r="F4" s="83"/>
      <c r="G4" s="84"/>
    </row>
    <row r="5" ht="15.75" customHeight="1">
      <c r="A5" s="85" t="s">
        <v>144</v>
      </c>
      <c r="B5" s="86">
        <v>75660.0</v>
      </c>
      <c r="C5" s="86">
        <v>70372.0</v>
      </c>
      <c r="D5" s="86">
        <v>88330.0</v>
      </c>
      <c r="E5" s="86">
        <v>117571.0</v>
      </c>
      <c r="F5" s="86">
        <v>141858.0</v>
      </c>
      <c r="G5" s="87">
        <f t="shared" ref="G5:G11" si="3">(F5/B5)^(1/5)-1</f>
        <v>0.1339593835</v>
      </c>
    </row>
    <row r="6" ht="15.75" customHeight="1">
      <c r="A6" s="85" t="s">
        <v>145</v>
      </c>
      <c r="B6" s="88">
        <v>7355.0</v>
      </c>
      <c r="C6" s="88">
        <v>5411.0</v>
      </c>
      <c r="D6" s="88">
        <v>5752.0</v>
      </c>
      <c r="E6" s="88">
        <v>11029.0</v>
      </c>
      <c r="F6" s="88">
        <v>18626.0</v>
      </c>
      <c r="G6" s="87">
        <f t="shared" si="3"/>
        <v>0.2042242937</v>
      </c>
    </row>
    <row r="7" ht="15.75" customHeight="1">
      <c r="A7" s="85" t="s">
        <v>19</v>
      </c>
      <c r="B7" s="89">
        <v>134.0</v>
      </c>
      <c r="C7" s="89">
        <v>102.0</v>
      </c>
      <c r="D7" s="89">
        <v>127.0</v>
      </c>
      <c r="E7" s="90">
        <v>187.0</v>
      </c>
      <c r="F7" s="89">
        <v>194.0</v>
      </c>
      <c r="G7" s="87">
        <f t="shared" si="3"/>
        <v>0.07681075935</v>
      </c>
    </row>
    <row r="8" ht="15.75" customHeight="1">
      <c r="A8" s="85" t="s">
        <v>146</v>
      </c>
      <c r="B8" s="88">
        <v>5678.0</v>
      </c>
      <c r="C8" s="88">
        <v>4389.0</v>
      </c>
      <c r="D8" s="88">
        <v>3880.0</v>
      </c>
      <c r="E8" s="88">
        <v>8211.0</v>
      </c>
      <c r="F8" s="88">
        <v>13488.0</v>
      </c>
      <c r="G8" s="87">
        <f t="shared" si="3"/>
        <v>0.1889139801</v>
      </c>
    </row>
    <row r="9" ht="15.75" customHeight="1">
      <c r="A9" s="85" t="s">
        <v>147</v>
      </c>
      <c r="B9" s="283" t="s">
        <v>218</v>
      </c>
      <c r="C9" s="283" t="s">
        <v>218</v>
      </c>
      <c r="D9" s="283" t="s">
        <v>218</v>
      </c>
      <c r="E9" s="283" t="s">
        <v>218</v>
      </c>
      <c r="F9" s="283" t="s">
        <v>218</v>
      </c>
      <c r="G9" s="87" t="str">
        <f t="shared" si="3"/>
        <v>#VALUE!</v>
      </c>
    </row>
    <row r="10" ht="15.75" customHeight="1">
      <c r="A10" s="85" t="s">
        <v>148</v>
      </c>
      <c r="B10" s="283" t="s">
        <v>218</v>
      </c>
      <c r="C10" s="283" t="s">
        <v>218</v>
      </c>
      <c r="D10" s="283" t="s">
        <v>218</v>
      </c>
      <c r="E10" s="283" t="s">
        <v>218</v>
      </c>
      <c r="F10" s="283" t="s">
        <v>218</v>
      </c>
      <c r="G10" s="87" t="str">
        <f t="shared" si="3"/>
        <v>#VALUE!</v>
      </c>
    </row>
    <row r="11" ht="15.75" customHeight="1">
      <c r="A11" s="85" t="s">
        <v>149</v>
      </c>
      <c r="B11" s="88">
        <v>3496.0</v>
      </c>
      <c r="C11" s="88">
        <v>8856.0</v>
      </c>
      <c r="D11" s="88">
        <v>1840.0</v>
      </c>
      <c r="E11" s="88">
        <v>9251.0</v>
      </c>
      <c r="F11" s="88">
        <v>16801.0</v>
      </c>
      <c r="G11" s="87">
        <f t="shared" si="3"/>
        <v>0.3688401701</v>
      </c>
    </row>
    <row r="12" ht="15.75" customHeight="1">
      <c r="A12" s="85"/>
      <c r="B12" s="92"/>
      <c r="C12" s="92"/>
      <c r="D12" s="92"/>
      <c r="E12" s="92"/>
      <c r="F12" s="92"/>
      <c r="G12" s="84"/>
    </row>
    <row r="13" ht="15.75" customHeight="1">
      <c r="A13" s="85" t="s">
        <v>150</v>
      </c>
      <c r="B13" s="88">
        <v>49413.0</v>
      </c>
      <c r="C13" s="88">
        <v>52501.0</v>
      </c>
      <c r="D13" s="88">
        <v>55334.0</v>
      </c>
      <c r="E13" s="88">
        <v>74600.0</v>
      </c>
      <c r="F13" s="88">
        <v>85636.0</v>
      </c>
      <c r="G13" s="87">
        <f t="shared" ref="G13:G15" si="4">(F13/B13)^(1/5)-1</f>
        <v>0.1162540056</v>
      </c>
    </row>
    <row r="14" ht="15.75" customHeight="1">
      <c r="A14" s="85" t="s">
        <v>151</v>
      </c>
      <c r="B14" s="88">
        <v>2890.0</v>
      </c>
      <c r="C14" s="88">
        <v>2662.0</v>
      </c>
      <c r="D14" s="88">
        <v>2157.0</v>
      </c>
      <c r="E14" s="88">
        <v>2739.0</v>
      </c>
      <c r="F14" s="88">
        <v>3716.0</v>
      </c>
      <c r="G14" s="87">
        <f t="shared" si="4"/>
        <v>0.05156366773</v>
      </c>
    </row>
    <row r="15" ht="15.75" customHeight="1">
      <c r="A15" s="85" t="s">
        <v>152</v>
      </c>
      <c r="B15" s="88">
        <v>15744.0</v>
      </c>
      <c r="C15" s="88">
        <v>14989.0</v>
      </c>
      <c r="D15" s="88">
        <v>13747.0</v>
      </c>
      <c r="E15" s="88">
        <v>27941.0</v>
      </c>
      <c r="F15" s="88">
        <v>27865.0</v>
      </c>
      <c r="G15" s="87">
        <f t="shared" si="4"/>
        <v>0.1209565868</v>
      </c>
    </row>
    <row r="16" ht="15.75" customHeight="1">
      <c r="A16" s="95"/>
      <c r="B16" s="96"/>
      <c r="C16" s="97"/>
      <c r="D16" s="95"/>
      <c r="E16" s="95"/>
      <c r="F16" s="95"/>
      <c r="G16" s="95"/>
    </row>
    <row r="17" ht="15.75" customHeight="1">
      <c r="A17" s="95"/>
      <c r="B17" s="95"/>
      <c r="C17" s="97"/>
      <c r="D17" s="95"/>
      <c r="E17" s="95"/>
      <c r="F17" s="95"/>
      <c r="G17" s="95"/>
      <c r="I17" s="15" t="s">
        <v>248</v>
      </c>
      <c r="J17" s="15">
        <v>1000.0</v>
      </c>
      <c r="K17" s="40">
        <v>1.0</v>
      </c>
    </row>
    <row r="18" ht="15.75" customHeight="1">
      <c r="A18" s="77" t="s">
        <v>153</v>
      </c>
      <c r="B18" s="279">
        <f t="shared" ref="B18:F18" si="5">B6/B5</f>
        <v>0.09721120804</v>
      </c>
      <c r="C18" s="279">
        <f t="shared" si="5"/>
        <v>0.07689137725</v>
      </c>
      <c r="D18" s="241">
        <f t="shared" si="5"/>
        <v>0.06511943847</v>
      </c>
      <c r="E18" s="279">
        <f t="shared" si="5"/>
        <v>0.09380714632</v>
      </c>
      <c r="F18" s="279">
        <f t="shared" si="5"/>
        <v>0.1313003144</v>
      </c>
      <c r="G18" s="95"/>
      <c r="I18" s="15" t="s">
        <v>249</v>
      </c>
      <c r="J18" s="15">
        <v>600.0</v>
      </c>
    </row>
    <row r="19" ht="15.75" customHeight="1">
      <c r="A19" s="85" t="s">
        <v>154</v>
      </c>
      <c r="B19" s="39">
        <f t="shared" ref="B19:F19" si="6">B8/B5</f>
        <v>0.07504625958</v>
      </c>
      <c r="C19" s="279">
        <f t="shared" si="6"/>
        <v>0.06236855568</v>
      </c>
      <c r="D19" s="279">
        <f t="shared" si="6"/>
        <v>0.04392618589</v>
      </c>
      <c r="E19" s="241">
        <f t="shared" si="6"/>
        <v>0.06983865069</v>
      </c>
      <c r="F19" s="241">
        <f t="shared" si="6"/>
        <v>0.09508099649</v>
      </c>
      <c r="G19" s="95"/>
      <c r="I19" s="15" t="s">
        <v>250</v>
      </c>
      <c r="J19" s="15">
        <v>400.0</v>
      </c>
      <c r="K19" s="26">
        <v>0.4</v>
      </c>
    </row>
    <row r="20" ht="15.75" customHeight="1">
      <c r="A20" s="85" t="s">
        <v>155</v>
      </c>
      <c r="B20" s="372">
        <f t="shared" ref="B20:F20" si="7">B11/B7</f>
        <v>26.08955224</v>
      </c>
      <c r="C20" s="372">
        <f t="shared" si="7"/>
        <v>86.82352941</v>
      </c>
      <c r="D20" s="372">
        <f t="shared" si="7"/>
        <v>14.48818898</v>
      </c>
      <c r="E20" s="98">
        <f t="shared" si="7"/>
        <v>49.47058824</v>
      </c>
      <c r="F20" s="98">
        <f t="shared" si="7"/>
        <v>86.60309278</v>
      </c>
      <c r="G20" s="95"/>
      <c r="I20" s="15" t="s">
        <v>251</v>
      </c>
      <c r="J20" s="15">
        <v>300.0</v>
      </c>
      <c r="K20" s="39"/>
    </row>
    <row r="21" ht="15.75" customHeight="1">
      <c r="A21" s="85" t="s">
        <v>156</v>
      </c>
      <c r="B21" s="372">
        <f t="shared" ref="B21:F21" si="8">B6/B7</f>
        <v>54.8880597</v>
      </c>
      <c r="C21" s="372">
        <f t="shared" si="8"/>
        <v>53.04901961</v>
      </c>
      <c r="D21" s="98">
        <f t="shared" si="8"/>
        <v>45.29133858</v>
      </c>
      <c r="E21" s="98">
        <f t="shared" si="8"/>
        <v>58.97860963</v>
      </c>
      <c r="F21" s="98">
        <f t="shared" si="8"/>
        <v>96.01030928</v>
      </c>
      <c r="G21" s="95"/>
      <c r="I21" s="15" t="s">
        <v>252</v>
      </c>
      <c r="J21" s="15">
        <v>100.0</v>
      </c>
      <c r="K21" s="15">
        <v>10.0</v>
      </c>
    </row>
    <row r="22" ht="15.75" customHeight="1">
      <c r="A22" s="85" t="s">
        <v>157</v>
      </c>
      <c r="B22" s="279">
        <f t="shared" ref="B22:F22" si="9">B14/B13</f>
        <v>0.05848663307</v>
      </c>
      <c r="C22" s="279">
        <f t="shared" si="9"/>
        <v>0.05070379612</v>
      </c>
      <c r="D22" s="279">
        <f t="shared" si="9"/>
        <v>0.03898145805</v>
      </c>
      <c r="E22" s="279">
        <f t="shared" si="9"/>
        <v>0.03671581769</v>
      </c>
      <c r="F22" s="279">
        <f t="shared" si="9"/>
        <v>0.04339296558</v>
      </c>
      <c r="G22" s="95"/>
      <c r="I22" s="15" t="s">
        <v>227</v>
      </c>
      <c r="J22" s="15">
        <v>35.0</v>
      </c>
    </row>
    <row r="23" ht="15.75" customHeight="1">
      <c r="A23" s="85"/>
      <c r="B23" s="99"/>
      <c r="C23" s="99"/>
      <c r="D23" s="99"/>
      <c r="E23" s="99"/>
      <c r="F23" s="99"/>
      <c r="G23" s="95"/>
      <c r="I23" s="15" t="s">
        <v>228</v>
      </c>
      <c r="J23" s="15">
        <v>65.0</v>
      </c>
      <c r="K23" s="15">
        <v>6.5</v>
      </c>
    </row>
    <row r="24" ht="15.75" customHeight="1">
      <c r="A24" s="85" t="s">
        <v>158</v>
      </c>
      <c r="B24" s="98">
        <f t="shared" ref="B24:F24" si="10">B8/B13</f>
        <v>0.114909032</v>
      </c>
      <c r="C24" s="98">
        <f t="shared" si="10"/>
        <v>0.08359840765</v>
      </c>
      <c r="D24" s="98">
        <f t="shared" si="10"/>
        <v>0.07011963711</v>
      </c>
      <c r="E24" s="98">
        <f t="shared" si="10"/>
        <v>0.1100670241</v>
      </c>
      <c r="F24" s="98">
        <f t="shared" si="10"/>
        <v>0.1575038535</v>
      </c>
      <c r="G24" s="95"/>
      <c r="J24" s="373"/>
    </row>
    <row r="25" ht="15.75" customHeight="1">
      <c r="A25" s="85" t="s">
        <v>159</v>
      </c>
      <c r="B25" s="98">
        <f t="shared" ref="B25:F25" si="11">B6/SUM(B13:B14)</f>
        <v>0.1406229088</v>
      </c>
      <c r="C25" s="98">
        <f t="shared" si="11"/>
        <v>0.0980911118</v>
      </c>
      <c r="D25" s="98">
        <f t="shared" si="11"/>
        <v>0.1000504427</v>
      </c>
      <c r="E25" s="98">
        <f t="shared" si="11"/>
        <v>0.1426059297</v>
      </c>
      <c r="F25" s="98">
        <f t="shared" si="11"/>
        <v>0.2084564419</v>
      </c>
      <c r="G25" s="95"/>
    </row>
    <row r="26" ht="15.75" customHeight="1">
      <c r="A26" s="85" t="s">
        <v>160</v>
      </c>
      <c r="B26" s="100">
        <v>0.0</v>
      </c>
      <c r="C26" s="100">
        <v>0.0</v>
      </c>
      <c r="D26" s="100">
        <v>0.0</v>
      </c>
      <c r="E26" s="100">
        <v>0.0</v>
      </c>
      <c r="F26" s="100">
        <v>0.0</v>
      </c>
      <c r="G26" s="95"/>
    </row>
    <row r="27" ht="15.75" customHeight="1">
      <c r="A27" s="85" t="s">
        <v>161</v>
      </c>
      <c r="B27" s="101">
        <v>0.0</v>
      </c>
      <c r="C27" s="101">
        <v>0.0</v>
      </c>
      <c r="D27" s="101">
        <v>0.0</v>
      </c>
      <c r="E27" s="101">
        <v>0.0</v>
      </c>
      <c r="F27" s="101">
        <v>0.0</v>
      </c>
      <c r="G27" s="95"/>
    </row>
    <row r="28" ht="15.75" customHeight="1">
      <c r="A28" s="85"/>
      <c r="B28" s="99"/>
      <c r="C28" s="99"/>
      <c r="D28" s="99"/>
      <c r="E28" s="99"/>
      <c r="F28" s="99"/>
      <c r="G28" s="95"/>
    </row>
    <row r="29" ht="15.75" customHeight="1">
      <c r="A29" s="85"/>
      <c r="B29" s="99"/>
      <c r="C29" s="99"/>
      <c r="D29" s="99"/>
      <c r="E29" s="99"/>
      <c r="F29" s="99"/>
      <c r="G29" s="95"/>
    </row>
    <row r="30" ht="15.75" customHeight="1">
      <c r="A30" s="85" t="s">
        <v>154</v>
      </c>
      <c r="B30" s="98">
        <f t="shared" ref="B30:F30" si="12">B19</f>
        <v>0.07504625958</v>
      </c>
      <c r="C30" s="98">
        <f t="shared" si="12"/>
        <v>0.06236855568</v>
      </c>
      <c r="D30" s="98">
        <f t="shared" si="12"/>
        <v>0.04392618589</v>
      </c>
      <c r="E30" s="98">
        <f t="shared" si="12"/>
        <v>0.06983865069</v>
      </c>
      <c r="F30" s="98">
        <f t="shared" si="12"/>
        <v>0.09508099649</v>
      </c>
      <c r="G30" s="95"/>
    </row>
    <row r="31" ht="15.75" customHeight="1">
      <c r="A31" s="85" t="s">
        <v>162</v>
      </c>
      <c r="B31" s="98">
        <f t="shared" ref="B31:F31" si="13">B5/B15</f>
        <v>4.805640244</v>
      </c>
      <c r="C31" s="98">
        <f t="shared" si="13"/>
        <v>4.6949096</v>
      </c>
      <c r="D31" s="98">
        <f t="shared" si="13"/>
        <v>6.425401906</v>
      </c>
      <c r="E31" s="98">
        <f t="shared" si="13"/>
        <v>4.207830786</v>
      </c>
      <c r="F31" s="98">
        <f t="shared" si="13"/>
        <v>5.090902566</v>
      </c>
      <c r="G31" s="95"/>
    </row>
    <row r="32" ht="15.75" customHeight="1">
      <c r="A32" s="85" t="s">
        <v>163</v>
      </c>
      <c r="B32" s="98">
        <f t="shared" ref="B32:F32" si="14">B15/B13</f>
        <v>0.3186206059</v>
      </c>
      <c r="C32" s="98">
        <f t="shared" si="14"/>
        <v>0.2854993238</v>
      </c>
      <c r="D32" s="98">
        <f t="shared" si="14"/>
        <v>0.2484367658</v>
      </c>
      <c r="E32" s="98">
        <f t="shared" si="14"/>
        <v>0.3745442359</v>
      </c>
      <c r="F32" s="98">
        <f t="shared" si="14"/>
        <v>0.3253888552</v>
      </c>
      <c r="G32" s="95"/>
    </row>
    <row r="33" ht="15.75" customHeight="1">
      <c r="A33" s="85" t="s">
        <v>164</v>
      </c>
      <c r="B33" s="98">
        <f t="shared" ref="B33:F33" si="15">B30*B31*B32</f>
        <v>0.114909032</v>
      </c>
      <c r="C33" s="98">
        <f t="shared" si="15"/>
        <v>0.08359840765</v>
      </c>
      <c r="D33" s="98">
        <f t="shared" si="15"/>
        <v>0.07011963711</v>
      </c>
      <c r="E33" s="98">
        <f t="shared" si="15"/>
        <v>0.1100670241</v>
      </c>
      <c r="F33" s="98">
        <f t="shared" si="15"/>
        <v>0.1575038535</v>
      </c>
      <c r="G33" s="95"/>
    </row>
    <row r="34" ht="15.75" customHeight="1">
      <c r="A34" s="95"/>
      <c r="B34" s="95"/>
      <c r="C34" s="95"/>
      <c r="D34" s="95"/>
      <c r="E34" s="95"/>
      <c r="F34" s="95"/>
      <c r="G34" s="95"/>
    </row>
    <row r="35" ht="15.75" customHeight="1">
      <c r="A35" s="77" t="s">
        <v>165</v>
      </c>
      <c r="B35" s="244">
        <v>5.0</v>
      </c>
      <c r="C35" s="95"/>
      <c r="D35" s="95"/>
      <c r="E35" s="95"/>
      <c r="F35" s="95"/>
      <c r="G35" s="95"/>
    </row>
    <row r="36" ht="15.75" customHeight="1">
      <c r="A36" s="85" t="s">
        <v>166</v>
      </c>
      <c r="B36" s="88">
        <v>511659.0</v>
      </c>
      <c r="C36" s="95"/>
      <c r="D36" s="95"/>
      <c r="E36" s="95"/>
      <c r="F36" s="95"/>
      <c r="G36" s="95"/>
    </row>
    <row r="37" ht="15.75" customHeight="1">
      <c r="A37" s="85" t="s">
        <v>167</v>
      </c>
      <c r="B37" s="103">
        <f>F8*(1+G8)</f>
        <v>16036.07176</v>
      </c>
      <c r="C37" s="245" t="s">
        <v>230</v>
      </c>
      <c r="D37" s="95"/>
      <c r="E37" s="95"/>
      <c r="F37" s="95"/>
      <c r="G37" s="95"/>
    </row>
    <row r="38" ht="15.75" customHeight="1">
      <c r="A38" s="85" t="s">
        <v>168</v>
      </c>
      <c r="B38" s="88">
        <v>35.0</v>
      </c>
      <c r="C38" s="95"/>
      <c r="D38" s="95"/>
      <c r="E38" s="95"/>
      <c r="F38" s="95"/>
      <c r="G38" s="95"/>
    </row>
    <row r="39" ht="15.75" customHeight="1">
      <c r="A39" s="85"/>
      <c r="B39" s="99"/>
      <c r="C39" s="95"/>
      <c r="D39" s="95"/>
      <c r="E39" s="95"/>
      <c r="F39" s="95"/>
      <c r="G39" s="95"/>
    </row>
    <row r="40" ht="15.75" customHeight="1">
      <c r="A40" s="85" t="s">
        <v>169</v>
      </c>
      <c r="B40" s="246">
        <v>45.0</v>
      </c>
      <c r="C40" s="95"/>
      <c r="D40" s="95"/>
      <c r="E40" s="95"/>
      <c r="F40" s="95"/>
      <c r="G40" s="95"/>
    </row>
    <row r="41" ht="15.75" customHeight="1">
      <c r="A41" s="85" t="s">
        <v>170</v>
      </c>
      <c r="B41" s="374">
        <v>215748.0</v>
      </c>
      <c r="C41" s="95"/>
      <c r="D41" s="77" t="s">
        <v>171</v>
      </c>
      <c r="E41" s="106"/>
      <c r="F41" s="106"/>
      <c r="G41" s="247">
        <v>0.15</v>
      </c>
    </row>
    <row r="42" ht="15.75" customHeight="1">
      <c r="A42" s="85" t="s">
        <v>172</v>
      </c>
      <c r="B42" s="248">
        <v>0.1</v>
      </c>
      <c r="C42" s="95"/>
      <c r="D42" s="95"/>
      <c r="E42" s="95"/>
      <c r="F42" s="95"/>
      <c r="G42" s="95"/>
    </row>
    <row r="43" ht="15.75" customHeight="1">
      <c r="A43" s="85" t="s">
        <v>173</v>
      </c>
      <c r="B43" s="316">
        <f>B41*B42</f>
        <v>21574.8</v>
      </c>
      <c r="C43" s="95"/>
      <c r="D43" s="95"/>
      <c r="E43" s="95"/>
      <c r="F43" s="95"/>
      <c r="G43" s="95"/>
    </row>
    <row r="44" ht="15.75" customHeight="1">
      <c r="A44" s="85" t="s">
        <v>174</v>
      </c>
      <c r="B44" s="22">
        <f>B43*B40</f>
        <v>970866</v>
      </c>
      <c r="C44" s="95"/>
      <c r="D44" s="95"/>
      <c r="E44" s="95"/>
      <c r="F44" s="95"/>
      <c r="G44" s="95"/>
    </row>
    <row r="45" ht="15.75" customHeight="1">
      <c r="A45" s="95"/>
      <c r="B45" s="245"/>
      <c r="C45" s="95"/>
      <c r="D45" s="95"/>
      <c r="E45" s="95"/>
      <c r="F45" s="95"/>
      <c r="G45" s="95"/>
    </row>
    <row r="46" ht="15.75" customHeight="1">
      <c r="A46" s="77" t="s">
        <v>175</v>
      </c>
      <c r="B46" s="375">
        <v>0.8975</v>
      </c>
      <c r="C46" s="106"/>
      <c r="D46" s="106"/>
      <c r="E46" s="106"/>
      <c r="F46" s="106"/>
      <c r="G46" s="106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F4"/>
  </mergeCells>
  <hyperlinks>
    <hyperlink r:id="rId1" location="profit-loss" ref="B1"/>
  </hyperlinks>
  <printOptions/>
  <pageMargins bottom="0.75" footer="0.0" header="0.0" left="0.7" right="0.7" top="0.75"/>
  <pageSetup orientation="landscape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2025-02-22T11:17:40Z</dcterms:created>
  <dc:creator>Admin</dc:creator>
</cp:coreProperties>
</file>