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ham\upGrad_ Financila Modelling Course\"/>
    </mc:Choice>
  </mc:AlternateContent>
  <xr:revisionPtr revIDLastSave="0" documentId="13_ncr:1_{7041CCBB-6898-48A5-A454-CFC276AAEAD1}" xr6:coauthVersionLast="47" xr6:coauthVersionMax="47" xr10:uidLastSave="{00000000-0000-0000-0000-000000000000}"/>
  <bookViews>
    <workbookView xWindow="-108" yWindow="-108" windowWidth="23256" windowHeight="12456" xr2:uid="{2CA6B3F8-89DB-4132-A0FC-503394B59410}"/>
  </bookViews>
  <sheets>
    <sheet name="Rent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F3" i="1"/>
  <c r="F6" i="1" s="1"/>
  <c r="G2" i="1" l="1"/>
  <c r="G3" i="1" s="1"/>
  <c r="F8" i="1"/>
  <c r="F10" i="1" s="1"/>
  <c r="F20" i="1" l="1"/>
  <c r="F12" i="1"/>
  <c r="F13" i="1" s="1"/>
  <c r="F16" i="1" s="1"/>
  <c r="G6" i="1"/>
  <c r="H2" i="1"/>
  <c r="G8" i="1"/>
  <c r="F21" i="1" l="1"/>
  <c r="G10" i="1"/>
  <c r="H3" i="1"/>
  <c r="H8" i="1"/>
  <c r="G20" i="1" l="1"/>
  <c r="G12" i="1"/>
  <c r="G13" i="1" s="1"/>
  <c r="G16" i="1" s="1"/>
  <c r="G21" i="1" s="1"/>
  <c r="I2" i="1"/>
  <c r="H6" i="1"/>
  <c r="H10" i="1"/>
  <c r="H20" i="1" s="1"/>
  <c r="H13" i="1" l="1"/>
  <c r="H16" i="1" s="1"/>
  <c r="H21" i="1" s="1"/>
  <c r="H12" i="1"/>
  <c r="I3" i="1"/>
  <c r="I8" i="1"/>
  <c r="J2" i="1" l="1"/>
  <c r="I6" i="1"/>
  <c r="I10" i="1" s="1"/>
  <c r="I12" i="1" l="1"/>
  <c r="I13" i="1" s="1"/>
  <c r="I16" i="1" s="1"/>
  <c r="I20" i="1"/>
  <c r="J3" i="1"/>
  <c r="J8" i="1"/>
  <c r="I21" i="1" l="1"/>
  <c r="K2" i="1"/>
  <c r="J6" i="1"/>
  <c r="J10" i="1" s="1"/>
  <c r="J12" i="1" l="1"/>
  <c r="J13" i="1" s="1"/>
  <c r="J16" i="1" s="1"/>
  <c r="J20" i="1"/>
  <c r="K3" i="1"/>
  <c r="K8" i="1"/>
  <c r="J21" i="1" l="1"/>
  <c r="L2" i="1"/>
  <c r="K6" i="1"/>
  <c r="K10" i="1" s="1"/>
  <c r="K12" i="1" l="1"/>
  <c r="K13" i="1" s="1"/>
  <c r="K16" i="1" s="1"/>
  <c r="K20" i="1"/>
  <c r="L3" i="1"/>
  <c r="L8" i="1"/>
  <c r="K21" i="1" l="1"/>
  <c r="M2" i="1"/>
  <c r="L6" i="1"/>
  <c r="L10" i="1" s="1"/>
  <c r="L12" i="1" l="1"/>
  <c r="L13" i="1" s="1"/>
  <c r="L16" i="1" s="1"/>
  <c r="L20" i="1"/>
  <c r="M3" i="1"/>
  <c r="M8" i="1"/>
  <c r="L21" i="1" l="1"/>
  <c r="N2" i="1"/>
  <c r="M6" i="1"/>
  <c r="M10" i="1"/>
  <c r="M20" i="1" s="1"/>
  <c r="M12" i="1" l="1"/>
  <c r="M13" i="1" s="1"/>
  <c r="M16" i="1" s="1"/>
  <c r="M21" i="1" s="1"/>
  <c r="N3" i="1"/>
  <c r="N8" i="1"/>
  <c r="O2" i="1" l="1"/>
  <c r="N6" i="1"/>
  <c r="N10" i="1" s="1"/>
  <c r="N20" i="1" s="1"/>
  <c r="N12" i="1" l="1"/>
  <c r="N13" i="1" s="1"/>
  <c r="N16" i="1" s="1"/>
  <c r="N21" i="1" s="1"/>
  <c r="O3" i="1"/>
  <c r="O8" i="1"/>
  <c r="P2" i="1" l="1"/>
  <c r="O6" i="1"/>
  <c r="O10" i="1" s="1"/>
  <c r="O20" i="1" s="1"/>
  <c r="O12" i="1" l="1"/>
  <c r="O13" i="1" s="1"/>
  <c r="O16" i="1" s="1"/>
  <c r="O21" i="1" s="1"/>
  <c r="P3" i="1"/>
  <c r="P8" i="1"/>
  <c r="Q2" i="1" l="1"/>
  <c r="P6" i="1"/>
  <c r="P10" i="1" s="1"/>
  <c r="P20" i="1" s="1"/>
  <c r="P12" i="1" l="1"/>
  <c r="P13" i="1" s="1"/>
  <c r="P16" i="1" s="1"/>
  <c r="P21" i="1" s="1"/>
  <c r="Q3" i="1"/>
  <c r="Q8" i="1"/>
  <c r="R2" i="1" l="1"/>
  <c r="Q6" i="1"/>
  <c r="Q10" i="1" s="1"/>
  <c r="Q20" i="1" s="1"/>
  <c r="Q12" i="1" l="1"/>
  <c r="Q13" i="1" s="1"/>
  <c r="Q16" i="1" s="1"/>
  <c r="Q21" i="1" s="1"/>
  <c r="R3" i="1"/>
  <c r="R8" i="1"/>
  <c r="S2" i="1" l="1"/>
  <c r="R6" i="1"/>
  <c r="R10" i="1" s="1"/>
  <c r="R20" i="1" s="1"/>
  <c r="R12" i="1" l="1"/>
  <c r="R13" i="1" s="1"/>
  <c r="R16" i="1" s="1"/>
  <c r="R21" i="1" s="1"/>
  <c r="S3" i="1"/>
  <c r="S8" i="1"/>
  <c r="T2" i="1" l="1"/>
  <c r="S6" i="1"/>
  <c r="S10" i="1" s="1"/>
  <c r="S20" i="1" s="1"/>
  <c r="S12" i="1" l="1"/>
  <c r="S13" i="1" s="1"/>
  <c r="S16" i="1" s="1"/>
  <c r="S21" i="1" s="1"/>
  <c r="T3" i="1"/>
  <c r="T8" i="1"/>
  <c r="U2" i="1" l="1"/>
  <c r="T6" i="1"/>
  <c r="T10" i="1" s="1"/>
  <c r="T12" i="1" l="1"/>
  <c r="T13" i="1" s="1"/>
  <c r="T16" i="1" s="1"/>
  <c r="T20" i="1"/>
  <c r="U3" i="1"/>
  <c r="U8" i="1"/>
  <c r="T21" i="1" l="1"/>
  <c r="V2" i="1"/>
  <c r="U6" i="1"/>
  <c r="U10" i="1" s="1"/>
  <c r="U20" i="1" s="1"/>
  <c r="U12" i="1" l="1"/>
  <c r="U13" i="1" s="1"/>
  <c r="U16" i="1" s="1"/>
  <c r="U21" i="1" s="1"/>
  <c r="V3" i="1"/>
  <c r="V8" i="1"/>
  <c r="W2" i="1" l="1"/>
  <c r="V6" i="1"/>
  <c r="V10" i="1" s="1"/>
  <c r="V20" i="1" s="1"/>
  <c r="V12" i="1" l="1"/>
  <c r="V13" i="1" s="1"/>
  <c r="V16" i="1" s="1"/>
  <c r="V21" i="1" s="1"/>
  <c r="W3" i="1"/>
  <c r="W8" i="1"/>
  <c r="X2" i="1" l="1"/>
  <c r="W6" i="1"/>
  <c r="W10" i="1" s="1"/>
  <c r="W20" i="1" s="1"/>
  <c r="W12" i="1" l="1"/>
  <c r="W13" i="1" s="1"/>
  <c r="W16" i="1" s="1"/>
  <c r="W21" i="1" s="1"/>
  <c r="X3" i="1"/>
  <c r="X8" i="1"/>
  <c r="Y2" i="1" l="1"/>
  <c r="X6" i="1"/>
  <c r="X10" i="1" s="1"/>
  <c r="X20" i="1" s="1"/>
  <c r="X12" i="1" l="1"/>
  <c r="X13" i="1" s="1"/>
  <c r="X16" i="1" s="1"/>
  <c r="X21" i="1" s="1"/>
  <c r="Y3" i="1"/>
  <c r="Y8" i="1"/>
  <c r="Z2" i="1" l="1"/>
  <c r="Y6" i="1"/>
  <c r="Y10" i="1" s="1"/>
  <c r="Y20" i="1" s="1"/>
  <c r="Y12" i="1" l="1"/>
  <c r="Y13" i="1" s="1"/>
  <c r="Y16" i="1" s="1"/>
  <c r="Y21" i="1" s="1"/>
  <c r="Z3" i="1"/>
  <c r="Z8" i="1"/>
  <c r="AA2" i="1" l="1"/>
  <c r="Z6" i="1"/>
  <c r="Z10" i="1" s="1"/>
  <c r="Z20" i="1" s="1"/>
  <c r="Z12" i="1" l="1"/>
  <c r="Z13" i="1" s="1"/>
  <c r="Z16" i="1" s="1"/>
  <c r="Z21" i="1" s="1"/>
  <c r="AA3" i="1"/>
  <c r="AA8" i="1"/>
  <c r="AB2" i="1" l="1"/>
  <c r="AA6" i="1"/>
  <c r="AA10" i="1" s="1"/>
  <c r="AA20" i="1" s="1"/>
  <c r="AA12" i="1" l="1"/>
  <c r="AA13" i="1" s="1"/>
  <c r="AA16" i="1" s="1"/>
  <c r="AA21" i="1" s="1"/>
  <c r="AB3" i="1"/>
  <c r="AB8" i="1"/>
  <c r="AC2" i="1" l="1"/>
  <c r="AB6" i="1"/>
  <c r="AB10" i="1" s="1"/>
  <c r="AB12" i="1" l="1"/>
  <c r="AB13" i="1" s="1"/>
  <c r="AB16" i="1" s="1"/>
  <c r="AB20" i="1"/>
  <c r="AC3" i="1"/>
  <c r="AC8" i="1"/>
  <c r="AB21" i="1" l="1"/>
  <c r="AD2" i="1"/>
  <c r="AC6" i="1"/>
  <c r="AC10" i="1" s="1"/>
  <c r="AC20" i="1" s="1"/>
  <c r="AC12" i="1" l="1"/>
  <c r="AC13" i="1" s="1"/>
  <c r="AC16" i="1" s="1"/>
  <c r="AC21" i="1" s="1"/>
  <c r="AD3" i="1"/>
  <c r="AD8" i="1"/>
  <c r="AE2" i="1" l="1"/>
  <c r="AD6" i="1"/>
  <c r="AD10" i="1" s="1"/>
  <c r="AD20" i="1" s="1"/>
  <c r="AD12" i="1" l="1"/>
  <c r="AD13" i="1" s="1"/>
  <c r="AD16" i="1" s="1"/>
  <c r="AD21" i="1" s="1"/>
  <c r="AE3" i="1"/>
  <c r="AE8" i="1"/>
  <c r="AF2" i="1" l="1"/>
  <c r="AE6" i="1"/>
  <c r="AE10" i="1" s="1"/>
  <c r="AE20" i="1" s="1"/>
  <c r="AE12" i="1" l="1"/>
  <c r="AE13" i="1" s="1"/>
  <c r="AE16" i="1" s="1"/>
  <c r="AE21" i="1" s="1"/>
  <c r="AF3" i="1"/>
  <c r="AF8" i="1"/>
  <c r="AG2" i="1" l="1"/>
  <c r="AF6" i="1"/>
  <c r="AF10" i="1"/>
  <c r="AF20" i="1" s="1"/>
  <c r="AF12" i="1" l="1"/>
  <c r="AF13" i="1" s="1"/>
  <c r="AF16" i="1" s="1"/>
  <c r="AF21" i="1" s="1"/>
  <c r="AG3" i="1"/>
  <c r="AG8" i="1"/>
  <c r="AH2" i="1" l="1"/>
  <c r="AG6" i="1"/>
  <c r="AG10" i="1"/>
  <c r="AG20" i="1" s="1"/>
  <c r="AG12" i="1" l="1"/>
  <c r="AG13" i="1" s="1"/>
  <c r="AG16" i="1" s="1"/>
  <c r="AG21" i="1" s="1"/>
  <c r="AH3" i="1"/>
  <c r="AH8" i="1"/>
  <c r="AI2" i="1" l="1"/>
  <c r="AH6" i="1"/>
  <c r="AH10" i="1" s="1"/>
  <c r="AH20" i="1" s="1"/>
  <c r="AH12" i="1" l="1"/>
  <c r="AH13" i="1" s="1"/>
  <c r="AH16" i="1" s="1"/>
  <c r="AH21" i="1" s="1"/>
  <c r="AI3" i="1"/>
  <c r="AI8" i="1"/>
  <c r="AJ2" i="1" l="1"/>
  <c r="AI6" i="1"/>
  <c r="AI10" i="1" s="1"/>
  <c r="AI20" i="1" s="1"/>
  <c r="AI12" i="1" l="1"/>
  <c r="AI13" i="1" s="1"/>
  <c r="AI16" i="1" s="1"/>
  <c r="AI21" i="1" s="1"/>
  <c r="AJ3" i="1"/>
  <c r="AJ8" i="1"/>
  <c r="AK2" i="1" l="1"/>
  <c r="AJ6" i="1"/>
  <c r="AJ10" i="1" s="1"/>
  <c r="AJ20" i="1" s="1"/>
  <c r="AJ12" i="1" l="1"/>
  <c r="AJ13" i="1" s="1"/>
  <c r="AJ16" i="1" s="1"/>
  <c r="AJ21" i="1" s="1"/>
  <c r="AK3" i="1"/>
  <c r="AK8" i="1"/>
  <c r="AL2" i="1" l="1"/>
  <c r="AK6" i="1"/>
  <c r="AK10" i="1" s="1"/>
  <c r="AK20" i="1" s="1"/>
  <c r="AK12" i="1" l="1"/>
  <c r="AK13" i="1" s="1"/>
  <c r="AK16" i="1" s="1"/>
  <c r="AK21" i="1" s="1"/>
  <c r="AL3" i="1"/>
  <c r="AL8" i="1"/>
  <c r="AM2" i="1" l="1"/>
  <c r="AL6" i="1"/>
  <c r="AL10" i="1" s="1"/>
  <c r="AL20" i="1" s="1"/>
  <c r="AL12" i="1" l="1"/>
  <c r="AL13" i="1" s="1"/>
  <c r="AL16" i="1" s="1"/>
  <c r="AL21" i="1" s="1"/>
  <c r="AM3" i="1"/>
  <c r="AM8" i="1"/>
  <c r="AN2" i="1" l="1"/>
  <c r="AM6" i="1"/>
  <c r="AM10" i="1" s="1"/>
  <c r="AM20" i="1" s="1"/>
  <c r="AM12" i="1" l="1"/>
  <c r="AM13" i="1" s="1"/>
  <c r="AM16" i="1" s="1"/>
  <c r="AM21" i="1" s="1"/>
  <c r="AN3" i="1"/>
  <c r="AN8" i="1"/>
  <c r="AO2" i="1" l="1"/>
  <c r="AN6" i="1"/>
  <c r="AN10" i="1" s="1"/>
  <c r="AN20" i="1" s="1"/>
  <c r="AN12" i="1" l="1"/>
  <c r="AN13" i="1" s="1"/>
  <c r="AN16" i="1" s="1"/>
  <c r="AN21" i="1" s="1"/>
  <c r="AO3" i="1"/>
  <c r="AO8" i="1"/>
  <c r="AP2" i="1" l="1"/>
  <c r="AO6" i="1"/>
  <c r="AO10" i="1" s="1"/>
  <c r="AO20" i="1" s="1"/>
  <c r="AO12" i="1" l="1"/>
  <c r="AO13" i="1" s="1"/>
  <c r="AO16" i="1" s="1"/>
  <c r="AO21" i="1" s="1"/>
  <c r="AP3" i="1"/>
  <c r="AP8" i="1"/>
  <c r="AQ2" i="1" l="1"/>
  <c r="AP6" i="1"/>
  <c r="AP10" i="1" s="1"/>
  <c r="AP20" i="1" s="1"/>
  <c r="AP12" i="1" l="1"/>
  <c r="AP13" i="1" s="1"/>
  <c r="AP16" i="1" s="1"/>
  <c r="AP21" i="1" s="1"/>
  <c r="AQ3" i="1"/>
  <c r="AQ8" i="1"/>
  <c r="AR2" i="1" l="1"/>
  <c r="AQ6" i="1"/>
  <c r="AQ10" i="1" s="1"/>
  <c r="AQ20" i="1" s="1"/>
  <c r="AQ12" i="1" l="1"/>
  <c r="AQ13" i="1" s="1"/>
  <c r="AQ16" i="1" s="1"/>
  <c r="AQ21" i="1" s="1"/>
  <c r="AR3" i="1"/>
  <c r="AR8" i="1"/>
  <c r="AS2" i="1" l="1"/>
  <c r="AR6" i="1"/>
  <c r="AR10" i="1" s="1"/>
  <c r="AR20" i="1" s="1"/>
  <c r="AR12" i="1" l="1"/>
  <c r="AR13" i="1" s="1"/>
  <c r="AR16" i="1" s="1"/>
  <c r="AR21" i="1" s="1"/>
  <c r="AS3" i="1"/>
  <c r="AS8" i="1"/>
  <c r="AT2" i="1" l="1"/>
  <c r="AS6" i="1"/>
  <c r="AS10" i="1" s="1"/>
  <c r="AS20" i="1" s="1"/>
  <c r="AS12" i="1" l="1"/>
  <c r="AS13" i="1" s="1"/>
  <c r="AS16" i="1" s="1"/>
  <c r="AS21" i="1" s="1"/>
  <c r="AT3" i="1"/>
  <c r="AT8" i="1"/>
  <c r="AU2" i="1" l="1"/>
  <c r="AT6" i="1"/>
  <c r="AT10" i="1" s="1"/>
  <c r="AT20" i="1" s="1"/>
  <c r="AT12" i="1" l="1"/>
  <c r="AT13" i="1" s="1"/>
  <c r="AT16" i="1" s="1"/>
  <c r="AT21" i="1" s="1"/>
  <c r="AU3" i="1"/>
  <c r="AU8" i="1"/>
  <c r="AV2" i="1" l="1"/>
  <c r="AU6" i="1"/>
  <c r="AU10" i="1" s="1"/>
  <c r="AU12" i="1" l="1"/>
  <c r="AU13" i="1" s="1"/>
  <c r="AU16" i="1" s="1"/>
  <c r="AU21" i="1" s="1"/>
  <c r="AU20" i="1"/>
  <c r="AV3" i="1"/>
  <c r="AV8" i="1"/>
  <c r="AW2" i="1" l="1"/>
  <c r="AV6" i="1"/>
  <c r="AV10" i="1" s="1"/>
  <c r="AV20" i="1" s="1"/>
  <c r="AV12" i="1" l="1"/>
  <c r="AV13" i="1" s="1"/>
  <c r="AV16" i="1" s="1"/>
  <c r="AV21" i="1" s="1"/>
  <c r="AW3" i="1"/>
  <c r="AW8" i="1"/>
  <c r="AX2" i="1" l="1"/>
  <c r="AW6" i="1"/>
  <c r="AW10" i="1" s="1"/>
  <c r="AW20" i="1" s="1"/>
  <c r="AW12" i="1" l="1"/>
  <c r="AW13" i="1" s="1"/>
  <c r="AW16" i="1" s="1"/>
  <c r="AW21" i="1" s="1"/>
  <c r="AX3" i="1"/>
  <c r="AX8" i="1"/>
  <c r="AY2" i="1" l="1"/>
  <c r="AX6" i="1"/>
  <c r="AX10" i="1" s="1"/>
  <c r="AX20" i="1" s="1"/>
  <c r="AX12" i="1" l="1"/>
  <c r="AX13" i="1" s="1"/>
  <c r="AX16" i="1" s="1"/>
  <c r="AX21" i="1" s="1"/>
  <c r="AY3" i="1"/>
  <c r="AY8" i="1"/>
  <c r="AZ2" i="1" l="1"/>
  <c r="AY6" i="1"/>
  <c r="AY10" i="1" s="1"/>
  <c r="AY20" i="1" s="1"/>
  <c r="AY12" i="1" l="1"/>
  <c r="AY13" i="1" s="1"/>
  <c r="AY16" i="1" s="1"/>
  <c r="AY21" i="1" s="1"/>
  <c r="AZ3" i="1"/>
  <c r="AZ8" i="1"/>
  <c r="BA2" i="1" l="1"/>
  <c r="AZ6" i="1"/>
  <c r="AZ10" i="1" s="1"/>
  <c r="AZ20" i="1" s="1"/>
  <c r="AZ12" i="1" l="1"/>
  <c r="AZ13" i="1" s="1"/>
  <c r="AZ16" i="1" s="1"/>
  <c r="AZ21" i="1" s="1"/>
  <c r="BA3" i="1"/>
  <c r="BA8" i="1"/>
  <c r="BB2" i="1" l="1"/>
  <c r="BA6" i="1"/>
  <c r="BA10" i="1" s="1"/>
  <c r="BA20" i="1" s="1"/>
  <c r="BA12" i="1" l="1"/>
  <c r="BA13" i="1" s="1"/>
  <c r="BA16" i="1" s="1"/>
  <c r="BA21" i="1" s="1"/>
  <c r="BB3" i="1"/>
  <c r="BB8" i="1"/>
  <c r="BC2" i="1" l="1"/>
  <c r="BB6" i="1"/>
  <c r="BB10" i="1" s="1"/>
  <c r="BB20" i="1" s="1"/>
  <c r="BB12" i="1" l="1"/>
  <c r="BB13" i="1" s="1"/>
  <c r="BB16" i="1" s="1"/>
  <c r="BB21" i="1" s="1"/>
  <c r="BC3" i="1"/>
  <c r="BC8" i="1"/>
  <c r="BD2" i="1" l="1"/>
  <c r="BC6" i="1"/>
  <c r="BC10" i="1" s="1"/>
  <c r="BC20" i="1" s="1"/>
  <c r="BC12" i="1" l="1"/>
  <c r="BC13" i="1" s="1"/>
  <c r="BC16" i="1" s="1"/>
  <c r="BC21" i="1" s="1"/>
  <c r="BD3" i="1"/>
  <c r="BD8" i="1"/>
  <c r="BE2" i="1" l="1"/>
  <c r="BD6" i="1"/>
  <c r="BD10" i="1" s="1"/>
  <c r="BD20" i="1" s="1"/>
  <c r="BD12" i="1" l="1"/>
  <c r="BD13" i="1" s="1"/>
  <c r="BD16" i="1" s="1"/>
  <c r="BD21" i="1" s="1"/>
  <c r="BE3" i="1"/>
  <c r="BE8" i="1"/>
  <c r="BF2" i="1" l="1"/>
  <c r="BE6" i="1"/>
  <c r="BE10" i="1" s="1"/>
  <c r="BE20" i="1" s="1"/>
  <c r="BE12" i="1" l="1"/>
  <c r="BE13" i="1" s="1"/>
  <c r="BE16" i="1" s="1"/>
  <c r="BE21" i="1" s="1"/>
  <c r="BF3" i="1"/>
  <c r="BF8" i="1"/>
  <c r="BG2" i="1" l="1"/>
  <c r="BF6" i="1"/>
  <c r="BF10" i="1" s="1"/>
  <c r="BF20" i="1" s="1"/>
  <c r="BF12" i="1" l="1"/>
  <c r="BF13" i="1" s="1"/>
  <c r="BF16" i="1" s="1"/>
  <c r="BF21" i="1" s="1"/>
  <c r="BG3" i="1"/>
  <c r="BG8" i="1"/>
  <c r="BH2" i="1" l="1"/>
  <c r="BG6" i="1"/>
  <c r="BG10" i="1" s="1"/>
  <c r="BG20" i="1" s="1"/>
  <c r="BG12" i="1" l="1"/>
  <c r="BG13" i="1" s="1"/>
  <c r="BG16" i="1" s="1"/>
  <c r="BG21" i="1" s="1"/>
  <c r="BH3" i="1"/>
  <c r="BH8" i="1"/>
  <c r="BI2" i="1" l="1"/>
  <c r="BH6" i="1"/>
  <c r="BH10" i="1" s="1"/>
  <c r="BH20" i="1" s="1"/>
  <c r="BH12" i="1" l="1"/>
  <c r="BH13" i="1" s="1"/>
  <c r="BH16" i="1" s="1"/>
  <c r="BH21" i="1" s="1"/>
  <c r="BI3" i="1"/>
  <c r="BI8" i="1"/>
  <c r="BJ2" i="1" l="1"/>
  <c r="BI6" i="1"/>
  <c r="BI10" i="1" s="1"/>
  <c r="BI20" i="1" s="1"/>
  <c r="BI12" i="1" l="1"/>
  <c r="BI13" i="1" s="1"/>
  <c r="BI16" i="1" s="1"/>
  <c r="BI21" i="1" s="1"/>
  <c r="BJ3" i="1"/>
  <c r="BJ8" i="1"/>
  <c r="BK2" i="1" l="1"/>
  <c r="BJ6" i="1"/>
  <c r="BJ10" i="1" s="1"/>
  <c r="BJ20" i="1" s="1"/>
  <c r="BJ12" i="1" l="1"/>
  <c r="BJ13" i="1" s="1"/>
  <c r="BJ16" i="1" s="1"/>
  <c r="BJ21" i="1" s="1"/>
  <c r="BK3" i="1"/>
  <c r="BK8" i="1"/>
  <c r="BL2" i="1" l="1"/>
  <c r="BK6" i="1"/>
  <c r="BK10" i="1" s="1"/>
  <c r="BK12" i="1" l="1"/>
  <c r="BK13" i="1" s="1"/>
  <c r="BK16" i="1" s="1"/>
  <c r="BK20" i="1"/>
  <c r="BL3" i="1"/>
  <c r="BL8" i="1"/>
  <c r="BK21" i="1" l="1"/>
  <c r="BM2" i="1"/>
  <c r="BL6" i="1"/>
  <c r="BL10" i="1" s="1"/>
  <c r="BL20" i="1" s="1"/>
  <c r="BL12" i="1" l="1"/>
  <c r="BL13" i="1" s="1"/>
  <c r="BL16" i="1" s="1"/>
  <c r="BL21" i="1" s="1"/>
  <c r="BM3" i="1"/>
  <c r="BM8" i="1"/>
  <c r="BN2" i="1" l="1"/>
  <c r="BM6" i="1"/>
  <c r="BM10" i="1" s="1"/>
  <c r="BM20" i="1" s="1"/>
  <c r="BM12" i="1" l="1"/>
  <c r="BM13" i="1" s="1"/>
  <c r="BM16" i="1" s="1"/>
  <c r="BM21" i="1" s="1"/>
  <c r="BN3" i="1"/>
  <c r="BN8" i="1"/>
  <c r="BO2" i="1" l="1"/>
  <c r="BN6" i="1"/>
  <c r="BN10" i="1" s="1"/>
  <c r="BN20" i="1" s="1"/>
  <c r="BN12" i="1" l="1"/>
  <c r="BN13" i="1" s="1"/>
  <c r="BN16" i="1" s="1"/>
  <c r="BN21" i="1" s="1"/>
  <c r="BO3" i="1"/>
  <c r="BO8" i="1"/>
  <c r="BP2" i="1" l="1"/>
  <c r="BO6" i="1"/>
  <c r="BO10" i="1" s="1"/>
  <c r="BO20" i="1" s="1"/>
  <c r="BO12" i="1" l="1"/>
  <c r="BO13" i="1" s="1"/>
  <c r="BO16" i="1" s="1"/>
  <c r="BO21" i="1" s="1"/>
  <c r="BP3" i="1"/>
  <c r="BP8" i="1"/>
  <c r="BQ2" i="1" l="1"/>
  <c r="BP6" i="1"/>
  <c r="BP10" i="1" s="1"/>
  <c r="BP20" i="1" s="1"/>
  <c r="BP12" i="1" l="1"/>
  <c r="BP13" i="1" s="1"/>
  <c r="BP16" i="1" s="1"/>
  <c r="BP21" i="1" s="1"/>
  <c r="BQ3" i="1"/>
  <c r="BQ8" i="1"/>
  <c r="BR2" i="1" l="1"/>
  <c r="BQ6" i="1"/>
  <c r="BQ10" i="1" s="1"/>
  <c r="BQ20" i="1" s="1"/>
  <c r="BQ12" i="1" l="1"/>
  <c r="BQ13" i="1" s="1"/>
  <c r="BQ16" i="1" s="1"/>
  <c r="BQ21" i="1" s="1"/>
  <c r="BR3" i="1"/>
  <c r="BR8" i="1"/>
  <c r="BS2" i="1" l="1"/>
  <c r="BR6" i="1"/>
  <c r="BR10" i="1" s="1"/>
  <c r="BR20" i="1" s="1"/>
  <c r="BR12" i="1" l="1"/>
  <c r="BR13" i="1" s="1"/>
  <c r="BR16" i="1" s="1"/>
  <c r="BR21" i="1" s="1"/>
  <c r="BS3" i="1"/>
  <c r="BS8" i="1"/>
  <c r="BT2" i="1" l="1"/>
  <c r="BS6" i="1"/>
  <c r="BS10" i="1" s="1"/>
  <c r="BS20" i="1" s="1"/>
  <c r="BS12" i="1" l="1"/>
  <c r="BS13" i="1" s="1"/>
  <c r="BS16" i="1" s="1"/>
  <c r="BS21" i="1" s="1"/>
  <c r="BT3" i="1"/>
  <c r="BT8" i="1"/>
  <c r="BU2" i="1" l="1"/>
  <c r="BT6" i="1"/>
  <c r="BT10" i="1" s="1"/>
  <c r="BT20" i="1" s="1"/>
  <c r="BT12" i="1" l="1"/>
  <c r="BT13" i="1" s="1"/>
  <c r="BT16" i="1" s="1"/>
  <c r="BT21" i="1" s="1"/>
  <c r="BU3" i="1"/>
  <c r="BU8" i="1"/>
  <c r="BV2" i="1" l="1"/>
  <c r="BU6" i="1"/>
  <c r="BU10" i="1" s="1"/>
  <c r="BU20" i="1" s="1"/>
  <c r="BU12" i="1" l="1"/>
  <c r="BU13" i="1" s="1"/>
  <c r="BU16" i="1" s="1"/>
  <c r="BU21" i="1" s="1"/>
  <c r="BV3" i="1"/>
  <c r="BV8" i="1"/>
  <c r="BW2" i="1" l="1"/>
  <c r="BV6" i="1"/>
  <c r="BV10" i="1" s="1"/>
  <c r="BV20" i="1" s="1"/>
  <c r="BV12" i="1" l="1"/>
  <c r="BV13" i="1" s="1"/>
  <c r="BV16" i="1" s="1"/>
  <c r="BV21" i="1" s="1"/>
  <c r="BW3" i="1"/>
  <c r="BW8" i="1"/>
  <c r="BX2" i="1" l="1"/>
  <c r="BW6" i="1"/>
  <c r="BW10" i="1" s="1"/>
  <c r="BW20" i="1" s="1"/>
  <c r="BW12" i="1" l="1"/>
  <c r="BW13" i="1" s="1"/>
  <c r="BW16" i="1" s="1"/>
  <c r="BW21" i="1" s="1"/>
  <c r="BX3" i="1"/>
  <c r="BX8" i="1"/>
  <c r="BY2" i="1" l="1"/>
  <c r="BX6" i="1"/>
  <c r="BX10" i="1" s="1"/>
  <c r="BX20" i="1" s="1"/>
  <c r="BX12" i="1" l="1"/>
  <c r="BX13" i="1" s="1"/>
  <c r="BX16" i="1" s="1"/>
  <c r="BX21" i="1" s="1"/>
  <c r="BY3" i="1"/>
  <c r="BY6" i="1" s="1"/>
  <c r="BY8" i="1"/>
  <c r="BY10" i="1" l="1"/>
  <c r="D10" i="1"/>
  <c r="BY12" i="1" l="1"/>
  <c r="BY13" i="1" s="1"/>
  <c r="BY16" i="1" s="1"/>
  <c r="BY20" i="1"/>
  <c r="BY21" i="1" l="1"/>
  <c r="D21" i="1" s="1"/>
  <c r="D16" i="1"/>
</calcChain>
</file>

<file path=xl/sharedStrings.xml><?xml version="1.0" encoding="utf-8"?>
<sst xmlns="http://schemas.openxmlformats.org/spreadsheetml/2006/main" count="26" uniqueCount="21">
  <si>
    <t>Labels</t>
  </si>
  <si>
    <t>Unit</t>
  </si>
  <si>
    <t>Values</t>
  </si>
  <si>
    <t>Rent Start Date</t>
  </si>
  <si>
    <t>Date</t>
  </si>
  <si>
    <t>Start Date</t>
  </si>
  <si>
    <t>End Date</t>
  </si>
  <si>
    <t>Years</t>
  </si>
  <si>
    <t>Duration</t>
  </si>
  <si>
    <t>Rent Exit Date</t>
  </si>
  <si>
    <t>No. of months</t>
  </si>
  <si>
    <t>Rent Per Month</t>
  </si>
  <si>
    <t>INR</t>
  </si>
  <si>
    <t>Rent Collected</t>
  </si>
  <si>
    <t>Tenant Stay period</t>
  </si>
  <si>
    <t>Agreement renewal</t>
  </si>
  <si>
    <t>Rent Escalation</t>
  </si>
  <si>
    <t>%</t>
  </si>
  <si>
    <t>Risk free (Cash Discount)</t>
  </si>
  <si>
    <t>Present Value</t>
  </si>
  <si>
    <t>Period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</si>
</sst>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15" fontId="0" fillId="2" borderId="0" xfId="0" applyNumberFormat="1" applyFill="1"/>
    <xf numFmtId="0" fontId="0" fillId="2" borderId="0" xfId="0" applyFill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9" fontId="0" fillId="2" borderId="0" xfId="0" applyNumberFormat="1" applyFill="1"/>
    <xf numFmtId="8" fontId="0" fillId="0" borderId="0" xfId="0" applyNumberFormat="1"/>
    <xf numFmtId="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CDAA-8684-407A-9EA9-C0F7BC6B1450}">
  <dimension ref="B2:DC21"/>
  <sheetViews>
    <sheetView tabSelected="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defaultColWidth="11.77734375" defaultRowHeight="14.4" x14ac:dyDescent="0.3"/>
  <cols>
    <col min="1" max="1" width="3.88671875" customWidth="1"/>
    <col min="2" max="2" width="26.6640625" customWidth="1"/>
    <col min="3" max="3" width="8.88671875" customWidth="1"/>
    <col min="4" max="4" width="13.109375" bestFit="1" customWidth="1"/>
    <col min="5" max="5" width="9.33203125" customWidth="1"/>
  </cols>
  <sheetData>
    <row r="2" spans="2:107" x14ac:dyDescent="0.3">
      <c r="E2" t="s">
        <v>5</v>
      </c>
      <c r="F2" s="2">
        <v>45658</v>
      </c>
      <c r="G2" s="1">
        <f>F3+1</f>
        <v>45689</v>
      </c>
      <c r="H2" s="1">
        <f t="shared" ref="H2:BS2" si="0">G3+1</f>
        <v>45717</v>
      </c>
      <c r="I2" s="1">
        <f t="shared" si="0"/>
        <v>45748</v>
      </c>
      <c r="J2" s="1">
        <f t="shared" si="0"/>
        <v>45778</v>
      </c>
      <c r="K2" s="1">
        <f t="shared" si="0"/>
        <v>45809</v>
      </c>
      <c r="L2" s="1">
        <f t="shared" si="0"/>
        <v>45839</v>
      </c>
      <c r="M2" s="1">
        <f t="shared" si="0"/>
        <v>45870</v>
      </c>
      <c r="N2" s="1">
        <f t="shared" si="0"/>
        <v>45901</v>
      </c>
      <c r="O2" s="1">
        <f t="shared" si="0"/>
        <v>45931</v>
      </c>
      <c r="P2" s="1">
        <f t="shared" si="0"/>
        <v>45962</v>
      </c>
      <c r="Q2" s="1">
        <f t="shared" si="0"/>
        <v>45992</v>
      </c>
      <c r="R2" s="1">
        <f t="shared" si="0"/>
        <v>46023</v>
      </c>
      <c r="S2" s="1">
        <f t="shared" si="0"/>
        <v>46054</v>
      </c>
      <c r="T2" s="1">
        <f t="shared" si="0"/>
        <v>46082</v>
      </c>
      <c r="U2" s="1">
        <f t="shared" si="0"/>
        <v>46113</v>
      </c>
      <c r="V2" s="1">
        <f t="shared" si="0"/>
        <v>46143</v>
      </c>
      <c r="W2" s="1">
        <f t="shared" si="0"/>
        <v>46174</v>
      </c>
      <c r="X2" s="1">
        <f t="shared" si="0"/>
        <v>46204</v>
      </c>
      <c r="Y2" s="1">
        <f t="shared" si="0"/>
        <v>46235</v>
      </c>
      <c r="Z2" s="1">
        <f t="shared" si="0"/>
        <v>46266</v>
      </c>
      <c r="AA2" s="1">
        <f t="shared" si="0"/>
        <v>46296</v>
      </c>
      <c r="AB2" s="1">
        <f t="shared" si="0"/>
        <v>46327</v>
      </c>
      <c r="AC2" s="1">
        <f t="shared" si="0"/>
        <v>46357</v>
      </c>
      <c r="AD2" s="1">
        <f t="shared" si="0"/>
        <v>46388</v>
      </c>
      <c r="AE2" s="1">
        <f t="shared" si="0"/>
        <v>46419</v>
      </c>
      <c r="AF2" s="1">
        <f t="shared" si="0"/>
        <v>46447</v>
      </c>
      <c r="AG2" s="1">
        <f t="shared" si="0"/>
        <v>46478</v>
      </c>
      <c r="AH2" s="1">
        <f t="shared" si="0"/>
        <v>46508</v>
      </c>
      <c r="AI2" s="1">
        <f t="shared" si="0"/>
        <v>46539</v>
      </c>
      <c r="AJ2" s="1">
        <f t="shared" si="0"/>
        <v>46569</v>
      </c>
      <c r="AK2" s="1">
        <f t="shared" si="0"/>
        <v>46600</v>
      </c>
      <c r="AL2" s="1">
        <f t="shared" si="0"/>
        <v>46631</v>
      </c>
      <c r="AM2" s="1">
        <f t="shared" si="0"/>
        <v>46661</v>
      </c>
      <c r="AN2" s="1">
        <f t="shared" si="0"/>
        <v>46692</v>
      </c>
      <c r="AO2" s="1">
        <f t="shared" si="0"/>
        <v>46722</v>
      </c>
      <c r="AP2" s="1">
        <f t="shared" si="0"/>
        <v>46753</v>
      </c>
      <c r="AQ2" s="1">
        <f t="shared" si="0"/>
        <v>46784</v>
      </c>
      <c r="AR2" s="1">
        <f t="shared" si="0"/>
        <v>46813</v>
      </c>
      <c r="AS2" s="1">
        <f t="shared" si="0"/>
        <v>46844</v>
      </c>
      <c r="AT2" s="1">
        <f t="shared" si="0"/>
        <v>46874</v>
      </c>
      <c r="AU2" s="1">
        <f t="shared" si="0"/>
        <v>46905</v>
      </c>
      <c r="AV2" s="1">
        <f t="shared" si="0"/>
        <v>46935</v>
      </c>
      <c r="AW2" s="1">
        <f t="shared" si="0"/>
        <v>46966</v>
      </c>
      <c r="AX2" s="1">
        <f t="shared" si="0"/>
        <v>46997</v>
      </c>
      <c r="AY2" s="1">
        <f t="shared" si="0"/>
        <v>47027</v>
      </c>
      <c r="AZ2" s="1">
        <f t="shared" si="0"/>
        <v>47058</v>
      </c>
      <c r="BA2" s="1">
        <f t="shared" si="0"/>
        <v>47088</v>
      </c>
      <c r="BB2" s="1">
        <f t="shared" si="0"/>
        <v>47119</v>
      </c>
      <c r="BC2" s="1">
        <f t="shared" si="0"/>
        <v>47150</v>
      </c>
      <c r="BD2" s="1">
        <f t="shared" si="0"/>
        <v>47178</v>
      </c>
      <c r="BE2" s="1">
        <f t="shared" si="0"/>
        <v>47209</v>
      </c>
      <c r="BF2" s="1">
        <f t="shared" si="0"/>
        <v>47239</v>
      </c>
      <c r="BG2" s="1">
        <f t="shared" si="0"/>
        <v>47270</v>
      </c>
      <c r="BH2" s="1">
        <f t="shared" si="0"/>
        <v>47300</v>
      </c>
      <c r="BI2" s="1">
        <f t="shared" si="0"/>
        <v>47331</v>
      </c>
      <c r="BJ2" s="1">
        <f t="shared" si="0"/>
        <v>47362</v>
      </c>
      <c r="BK2" s="1">
        <f t="shared" si="0"/>
        <v>47392</v>
      </c>
      <c r="BL2" s="1">
        <f t="shared" si="0"/>
        <v>47423</v>
      </c>
      <c r="BM2" s="1">
        <f t="shared" si="0"/>
        <v>47453</v>
      </c>
      <c r="BN2" s="1">
        <f t="shared" si="0"/>
        <v>47484</v>
      </c>
      <c r="BO2" s="1">
        <f t="shared" si="0"/>
        <v>47515</v>
      </c>
      <c r="BP2" s="1">
        <f t="shared" si="0"/>
        <v>47543</v>
      </c>
      <c r="BQ2" s="1">
        <f t="shared" si="0"/>
        <v>47574</v>
      </c>
      <c r="BR2" s="1">
        <f t="shared" si="0"/>
        <v>47604</v>
      </c>
      <c r="BS2" s="1">
        <f t="shared" si="0"/>
        <v>47635</v>
      </c>
      <c r="BT2" s="1">
        <f t="shared" ref="BT2:BY2" si="1">BS3+1</f>
        <v>47665</v>
      </c>
      <c r="BU2" s="1">
        <f t="shared" si="1"/>
        <v>47696</v>
      </c>
      <c r="BV2" s="1">
        <f t="shared" si="1"/>
        <v>47727</v>
      </c>
      <c r="BW2" s="1">
        <f t="shared" si="1"/>
        <v>47757</v>
      </c>
      <c r="BX2" s="1">
        <f t="shared" si="1"/>
        <v>47788</v>
      </c>
      <c r="BY2" s="1">
        <f t="shared" si="1"/>
        <v>47818</v>
      </c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2:107" x14ac:dyDescent="0.3">
      <c r="E3" t="s">
        <v>6</v>
      </c>
      <c r="F3" s="1">
        <f>EOMONTH(F2,0)</f>
        <v>45688</v>
      </c>
      <c r="G3" s="1">
        <f>EOMONTH(G2,0)</f>
        <v>45716</v>
      </c>
      <c r="H3" s="1">
        <f t="shared" ref="H3:AJ3" si="2">EOMONTH(H2,0)</f>
        <v>45747</v>
      </c>
      <c r="I3" s="1">
        <f t="shared" si="2"/>
        <v>45777</v>
      </c>
      <c r="J3" s="1">
        <f t="shared" si="2"/>
        <v>45808</v>
      </c>
      <c r="K3" s="1">
        <f t="shared" si="2"/>
        <v>45838</v>
      </c>
      <c r="L3" s="1">
        <f t="shared" si="2"/>
        <v>45869</v>
      </c>
      <c r="M3" s="1">
        <f t="shared" si="2"/>
        <v>45900</v>
      </c>
      <c r="N3" s="1">
        <f t="shared" si="2"/>
        <v>45930</v>
      </c>
      <c r="O3" s="1">
        <f t="shared" si="2"/>
        <v>45961</v>
      </c>
      <c r="P3" s="1">
        <f t="shared" si="2"/>
        <v>45991</v>
      </c>
      <c r="Q3" s="1">
        <f t="shared" si="2"/>
        <v>46022</v>
      </c>
      <c r="R3" s="1">
        <f t="shared" si="2"/>
        <v>46053</v>
      </c>
      <c r="S3" s="1">
        <f t="shared" si="2"/>
        <v>46081</v>
      </c>
      <c r="T3" s="1">
        <f t="shared" si="2"/>
        <v>46112</v>
      </c>
      <c r="U3" s="1">
        <f t="shared" si="2"/>
        <v>46142</v>
      </c>
      <c r="V3" s="1">
        <f t="shared" si="2"/>
        <v>46173</v>
      </c>
      <c r="W3" s="1">
        <f t="shared" si="2"/>
        <v>46203</v>
      </c>
      <c r="X3" s="1">
        <f t="shared" si="2"/>
        <v>46234</v>
      </c>
      <c r="Y3" s="1">
        <f t="shared" si="2"/>
        <v>46265</v>
      </c>
      <c r="Z3" s="1">
        <f t="shared" si="2"/>
        <v>46295</v>
      </c>
      <c r="AA3" s="1">
        <f t="shared" si="2"/>
        <v>46326</v>
      </c>
      <c r="AB3" s="1">
        <f t="shared" si="2"/>
        <v>46356</v>
      </c>
      <c r="AC3" s="1">
        <f t="shared" si="2"/>
        <v>46387</v>
      </c>
      <c r="AD3" s="1">
        <f t="shared" si="2"/>
        <v>46418</v>
      </c>
      <c r="AE3" s="1">
        <f t="shared" si="2"/>
        <v>46446</v>
      </c>
      <c r="AF3" s="1">
        <f t="shared" si="2"/>
        <v>46477</v>
      </c>
      <c r="AG3" s="1">
        <f t="shared" si="2"/>
        <v>46507</v>
      </c>
      <c r="AH3" s="1">
        <f t="shared" si="2"/>
        <v>46538</v>
      </c>
      <c r="AI3" s="1">
        <f t="shared" si="2"/>
        <v>46568</v>
      </c>
      <c r="AJ3" s="1">
        <f t="shared" si="2"/>
        <v>46599</v>
      </c>
      <c r="AK3" s="1">
        <f t="shared" ref="AK3" si="3">EOMONTH(AK2,0)</f>
        <v>46630</v>
      </c>
      <c r="AL3" s="1">
        <f t="shared" ref="AL3" si="4">EOMONTH(AL2,0)</f>
        <v>46660</v>
      </c>
      <c r="AM3" s="1">
        <f t="shared" ref="AM3" si="5">EOMONTH(AM2,0)</f>
        <v>46691</v>
      </c>
      <c r="AN3" s="1">
        <f t="shared" ref="AN3" si="6">EOMONTH(AN2,0)</f>
        <v>46721</v>
      </c>
      <c r="AO3" s="1">
        <f t="shared" ref="AO3" si="7">EOMONTH(AO2,0)</f>
        <v>46752</v>
      </c>
      <c r="AP3" s="1">
        <f t="shared" ref="AP3" si="8">EOMONTH(AP2,0)</f>
        <v>46783</v>
      </c>
      <c r="AQ3" s="1">
        <f t="shared" ref="AQ3" si="9">EOMONTH(AQ2,0)</f>
        <v>46812</v>
      </c>
      <c r="AR3" s="1">
        <f t="shared" ref="AR3" si="10">EOMONTH(AR2,0)</f>
        <v>46843</v>
      </c>
      <c r="AS3" s="1">
        <f t="shared" ref="AS3" si="11">EOMONTH(AS2,0)</f>
        <v>46873</v>
      </c>
      <c r="AT3" s="1">
        <f t="shared" ref="AT3" si="12">EOMONTH(AT2,0)</f>
        <v>46904</v>
      </c>
      <c r="AU3" s="1">
        <f t="shared" ref="AU3" si="13">EOMONTH(AU2,0)</f>
        <v>46934</v>
      </c>
      <c r="AV3" s="1">
        <f t="shared" ref="AV3" si="14">EOMONTH(AV2,0)</f>
        <v>46965</v>
      </c>
      <c r="AW3" s="1">
        <f t="shared" ref="AW3" si="15">EOMONTH(AW2,0)</f>
        <v>46996</v>
      </c>
      <c r="AX3" s="1">
        <f t="shared" ref="AX3" si="16">EOMONTH(AX2,0)</f>
        <v>47026</v>
      </c>
      <c r="AY3" s="1">
        <f t="shared" ref="AY3" si="17">EOMONTH(AY2,0)</f>
        <v>47057</v>
      </c>
      <c r="AZ3" s="1">
        <f t="shared" ref="AZ3" si="18">EOMONTH(AZ2,0)</f>
        <v>47087</v>
      </c>
      <c r="BA3" s="1">
        <f t="shared" ref="BA3" si="19">EOMONTH(BA2,0)</f>
        <v>47118</v>
      </c>
      <c r="BB3" s="1">
        <f t="shared" ref="BB3" si="20">EOMONTH(BB2,0)</f>
        <v>47149</v>
      </c>
      <c r="BC3" s="1">
        <f t="shared" ref="BC3" si="21">EOMONTH(BC2,0)</f>
        <v>47177</v>
      </c>
      <c r="BD3" s="1">
        <f t="shared" ref="BD3" si="22">EOMONTH(BD2,0)</f>
        <v>47208</v>
      </c>
      <c r="BE3" s="1">
        <f t="shared" ref="BE3" si="23">EOMONTH(BE2,0)</f>
        <v>47238</v>
      </c>
      <c r="BF3" s="1">
        <f t="shared" ref="BF3" si="24">EOMONTH(BF2,0)</f>
        <v>47269</v>
      </c>
      <c r="BG3" s="1">
        <f t="shared" ref="BG3" si="25">EOMONTH(BG2,0)</f>
        <v>47299</v>
      </c>
      <c r="BH3" s="1">
        <f t="shared" ref="BH3" si="26">EOMONTH(BH2,0)</f>
        <v>47330</v>
      </c>
      <c r="BI3" s="1">
        <f t="shared" ref="BI3" si="27">EOMONTH(BI2,0)</f>
        <v>47361</v>
      </c>
      <c r="BJ3" s="1">
        <f t="shared" ref="BJ3" si="28">EOMONTH(BJ2,0)</f>
        <v>47391</v>
      </c>
      <c r="BK3" s="1">
        <f t="shared" ref="BK3" si="29">EOMONTH(BK2,0)</f>
        <v>47422</v>
      </c>
      <c r="BL3" s="1">
        <f t="shared" ref="BL3" si="30">EOMONTH(BL2,0)</f>
        <v>47452</v>
      </c>
      <c r="BM3" s="1">
        <f t="shared" ref="BM3" si="31">EOMONTH(BM2,0)</f>
        <v>47483</v>
      </c>
      <c r="BN3" s="1">
        <f t="shared" ref="BN3" si="32">EOMONTH(BN2,0)</f>
        <v>47514</v>
      </c>
      <c r="BO3" s="1">
        <f t="shared" ref="BO3" si="33">EOMONTH(BO2,0)</f>
        <v>47542</v>
      </c>
      <c r="BP3" s="1">
        <f t="shared" ref="BP3" si="34">EOMONTH(BP2,0)</f>
        <v>47573</v>
      </c>
      <c r="BQ3" s="1">
        <f t="shared" ref="BQ3" si="35">EOMONTH(BQ2,0)</f>
        <v>47603</v>
      </c>
      <c r="BR3" s="1">
        <f t="shared" ref="BR3" si="36">EOMONTH(BR2,0)</f>
        <v>47634</v>
      </c>
      <c r="BS3" s="1">
        <f t="shared" ref="BS3" si="37">EOMONTH(BS2,0)</f>
        <v>47664</v>
      </c>
      <c r="BT3" s="1">
        <f t="shared" ref="BT3" si="38">EOMONTH(BT2,0)</f>
        <v>47695</v>
      </c>
      <c r="BU3" s="1">
        <f t="shared" ref="BU3" si="39">EOMONTH(BU2,0)</f>
        <v>47726</v>
      </c>
      <c r="BV3" s="1">
        <f t="shared" ref="BV3" si="40">EOMONTH(BV2,0)</f>
        <v>47756</v>
      </c>
      <c r="BW3" s="1">
        <f t="shared" ref="BW3" si="41">EOMONTH(BW2,0)</f>
        <v>47787</v>
      </c>
      <c r="BX3" s="1">
        <f t="shared" ref="BX3" si="42">EOMONTH(BX2,0)</f>
        <v>47817</v>
      </c>
      <c r="BY3" s="1">
        <f t="shared" ref="BY3" si="43">EOMONTH(BY2,0)</f>
        <v>47848</v>
      </c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2:107" x14ac:dyDescent="0.3">
      <c r="B4" t="s">
        <v>0</v>
      </c>
      <c r="C4" t="s">
        <v>1</v>
      </c>
      <c r="D4" t="s">
        <v>2</v>
      </c>
    </row>
    <row r="6" spans="2:107" x14ac:dyDescent="0.3">
      <c r="B6" t="s">
        <v>3</v>
      </c>
      <c r="C6" t="s">
        <v>4</v>
      </c>
      <c r="D6" s="2">
        <v>45731</v>
      </c>
      <c r="F6" s="4">
        <f>IF(F$3&gt;=$D6,1,0)</f>
        <v>0</v>
      </c>
      <c r="G6" s="4">
        <f t="shared" ref="G6:BR6" si="44">IF(G$3&gt;=$D6,1,0)</f>
        <v>0</v>
      </c>
      <c r="H6" s="4">
        <f t="shared" si="44"/>
        <v>1</v>
      </c>
      <c r="I6" s="4">
        <f t="shared" si="44"/>
        <v>1</v>
      </c>
      <c r="J6" s="4">
        <f t="shared" si="44"/>
        <v>1</v>
      </c>
      <c r="K6" s="4">
        <f t="shared" si="44"/>
        <v>1</v>
      </c>
      <c r="L6" s="4">
        <f t="shared" si="44"/>
        <v>1</v>
      </c>
      <c r="M6" s="4">
        <f t="shared" si="44"/>
        <v>1</v>
      </c>
      <c r="N6" s="4">
        <f t="shared" si="44"/>
        <v>1</v>
      </c>
      <c r="O6" s="4">
        <f t="shared" si="44"/>
        <v>1</v>
      </c>
      <c r="P6" s="4">
        <f t="shared" si="44"/>
        <v>1</v>
      </c>
      <c r="Q6" s="4">
        <f t="shared" si="44"/>
        <v>1</v>
      </c>
      <c r="R6" s="4">
        <f t="shared" si="44"/>
        <v>1</v>
      </c>
      <c r="S6" s="4">
        <f t="shared" si="44"/>
        <v>1</v>
      </c>
      <c r="T6" s="4">
        <f t="shared" si="44"/>
        <v>1</v>
      </c>
      <c r="U6" s="4">
        <f t="shared" si="44"/>
        <v>1</v>
      </c>
      <c r="V6" s="4">
        <f t="shared" si="44"/>
        <v>1</v>
      </c>
      <c r="W6" s="4">
        <f t="shared" si="44"/>
        <v>1</v>
      </c>
      <c r="X6" s="4">
        <f t="shared" si="44"/>
        <v>1</v>
      </c>
      <c r="Y6" s="4">
        <f t="shared" si="44"/>
        <v>1</v>
      </c>
      <c r="Z6" s="4">
        <f t="shared" si="44"/>
        <v>1</v>
      </c>
      <c r="AA6" s="4">
        <f t="shared" si="44"/>
        <v>1</v>
      </c>
      <c r="AB6" s="4">
        <f t="shared" si="44"/>
        <v>1</v>
      </c>
      <c r="AC6" s="4">
        <f t="shared" si="44"/>
        <v>1</v>
      </c>
      <c r="AD6" s="4">
        <f t="shared" si="44"/>
        <v>1</v>
      </c>
      <c r="AE6" s="4">
        <f t="shared" si="44"/>
        <v>1</v>
      </c>
      <c r="AF6" s="4">
        <f t="shared" si="44"/>
        <v>1</v>
      </c>
      <c r="AG6" s="4">
        <f t="shared" si="44"/>
        <v>1</v>
      </c>
      <c r="AH6" s="4">
        <f t="shared" si="44"/>
        <v>1</v>
      </c>
      <c r="AI6" s="4">
        <f t="shared" si="44"/>
        <v>1</v>
      </c>
      <c r="AJ6" s="4">
        <f t="shared" si="44"/>
        <v>1</v>
      </c>
      <c r="AK6" s="4">
        <f t="shared" si="44"/>
        <v>1</v>
      </c>
      <c r="AL6" s="4">
        <f t="shared" si="44"/>
        <v>1</v>
      </c>
      <c r="AM6" s="4">
        <f t="shared" si="44"/>
        <v>1</v>
      </c>
      <c r="AN6" s="4">
        <f t="shared" si="44"/>
        <v>1</v>
      </c>
      <c r="AO6" s="4">
        <f t="shared" si="44"/>
        <v>1</v>
      </c>
      <c r="AP6" s="4">
        <f t="shared" si="44"/>
        <v>1</v>
      </c>
      <c r="AQ6" s="4">
        <f t="shared" si="44"/>
        <v>1</v>
      </c>
      <c r="AR6" s="4">
        <f t="shared" si="44"/>
        <v>1</v>
      </c>
      <c r="AS6" s="4">
        <f t="shared" si="44"/>
        <v>1</v>
      </c>
      <c r="AT6" s="4">
        <f t="shared" si="44"/>
        <v>1</v>
      </c>
      <c r="AU6" s="4">
        <f t="shared" si="44"/>
        <v>1</v>
      </c>
      <c r="AV6" s="4">
        <f t="shared" si="44"/>
        <v>1</v>
      </c>
      <c r="AW6" s="4">
        <f t="shared" si="44"/>
        <v>1</v>
      </c>
      <c r="AX6" s="4">
        <f t="shared" si="44"/>
        <v>1</v>
      </c>
      <c r="AY6" s="4">
        <f t="shared" si="44"/>
        <v>1</v>
      </c>
      <c r="AZ6" s="4">
        <f t="shared" si="44"/>
        <v>1</v>
      </c>
      <c r="BA6" s="4">
        <f t="shared" si="44"/>
        <v>1</v>
      </c>
      <c r="BB6" s="4">
        <f t="shared" si="44"/>
        <v>1</v>
      </c>
      <c r="BC6" s="4">
        <f t="shared" si="44"/>
        <v>1</v>
      </c>
      <c r="BD6" s="4">
        <f t="shared" si="44"/>
        <v>1</v>
      </c>
      <c r="BE6" s="4">
        <f t="shared" si="44"/>
        <v>1</v>
      </c>
      <c r="BF6" s="4">
        <f t="shared" si="44"/>
        <v>1</v>
      </c>
      <c r="BG6" s="4">
        <f t="shared" si="44"/>
        <v>1</v>
      </c>
      <c r="BH6" s="4">
        <f t="shared" si="44"/>
        <v>1</v>
      </c>
      <c r="BI6" s="4">
        <f t="shared" si="44"/>
        <v>1</v>
      </c>
      <c r="BJ6" s="4">
        <f t="shared" si="44"/>
        <v>1</v>
      </c>
      <c r="BK6" s="4">
        <f t="shared" si="44"/>
        <v>1</v>
      </c>
      <c r="BL6" s="4">
        <f t="shared" si="44"/>
        <v>1</v>
      </c>
      <c r="BM6" s="4">
        <f t="shared" si="44"/>
        <v>1</v>
      </c>
      <c r="BN6" s="4">
        <f t="shared" si="44"/>
        <v>1</v>
      </c>
      <c r="BO6" s="4">
        <f t="shared" si="44"/>
        <v>1</v>
      </c>
      <c r="BP6" s="4">
        <f t="shared" si="44"/>
        <v>1</v>
      </c>
      <c r="BQ6" s="4">
        <f t="shared" si="44"/>
        <v>1</v>
      </c>
      <c r="BR6" s="4">
        <f t="shared" si="44"/>
        <v>1</v>
      </c>
      <c r="BS6" s="4">
        <f t="shared" ref="BS6:BY6" si="45">IF(BS$3&gt;=$D6,1,0)</f>
        <v>1</v>
      </c>
      <c r="BT6" s="4">
        <f t="shared" si="45"/>
        <v>1</v>
      </c>
      <c r="BU6" s="4">
        <f t="shared" si="45"/>
        <v>1</v>
      </c>
      <c r="BV6" s="4">
        <f t="shared" si="45"/>
        <v>1</v>
      </c>
      <c r="BW6" s="4">
        <f t="shared" si="45"/>
        <v>1</v>
      </c>
      <c r="BX6" s="4">
        <f t="shared" si="45"/>
        <v>1</v>
      </c>
      <c r="BY6" s="4">
        <f t="shared" si="45"/>
        <v>1</v>
      </c>
    </row>
    <row r="7" spans="2:107" x14ac:dyDescent="0.3">
      <c r="B7" t="s">
        <v>8</v>
      </c>
      <c r="C7" t="s">
        <v>7</v>
      </c>
      <c r="D7" s="3">
        <v>5</v>
      </c>
    </row>
    <row r="8" spans="2:107" x14ac:dyDescent="0.3">
      <c r="B8" t="s">
        <v>9</v>
      </c>
      <c r="C8" t="s">
        <v>4</v>
      </c>
      <c r="D8" s="1">
        <f>EDATE(D6,D7*12)-1</f>
        <v>47556</v>
      </c>
      <c r="F8" s="4">
        <f>IF(F$2&lt;=$D8,1,0)</f>
        <v>1</v>
      </c>
      <c r="G8" s="4">
        <f t="shared" ref="G8:BR8" si="46">IF(G$2&lt;=$D8,1,0)</f>
        <v>1</v>
      </c>
      <c r="H8" s="4">
        <f t="shared" si="46"/>
        <v>1</v>
      </c>
      <c r="I8" s="4">
        <f t="shared" si="46"/>
        <v>1</v>
      </c>
      <c r="J8" s="4">
        <f t="shared" si="46"/>
        <v>1</v>
      </c>
      <c r="K8" s="4">
        <f t="shared" si="46"/>
        <v>1</v>
      </c>
      <c r="L8" s="4">
        <f t="shared" si="46"/>
        <v>1</v>
      </c>
      <c r="M8" s="4">
        <f t="shared" si="46"/>
        <v>1</v>
      </c>
      <c r="N8" s="4">
        <f t="shared" si="46"/>
        <v>1</v>
      </c>
      <c r="O8" s="4">
        <f t="shared" si="46"/>
        <v>1</v>
      </c>
      <c r="P8" s="4">
        <f t="shared" si="46"/>
        <v>1</v>
      </c>
      <c r="Q8" s="4">
        <f t="shared" si="46"/>
        <v>1</v>
      </c>
      <c r="R8" s="4">
        <f t="shared" si="46"/>
        <v>1</v>
      </c>
      <c r="S8" s="4">
        <f t="shared" si="46"/>
        <v>1</v>
      </c>
      <c r="T8" s="4">
        <f t="shared" si="46"/>
        <v>1</v>
      </c>
      <c r="U8" s="4">
        <f t="shared" si="46"/>
        <v>1</v>
      </c>
      <c r="V8" s="4">
        <f t="shared" si="46"/>
        <v>1</v>
      </c>
      <c r="W8" s="4">
        <f t="shared" si="46"/>
        <v>1</v>
      </c>
      <c r="X8" s="4">
        <f t="shared" si="46"/>
        <v>1</v>
      </c>
      <c r="Y8" s="4">
        <f t="shared" si="46"/>
        <v>1</v>
      </c>
      <c r="Z8" s="4">
        <f t="shared" si="46"/>
        <v>1</v>
      </c>
      <c r="AA8" s="4">
        <f t="shared" si="46"/>
        <v>1</v>
      </c>
      <c r="AB8" s="4">
        <f t="shared" si="46"/>
        <v>1</v>
      </c>
      <c r="AC8" s="4">
        <f t="shared" si="46"/>
        <v>1</v>
      </c>
      <c r="AD8" s="4">
        <f t="shared" si="46"/>
        <v>1</v>
      </c>
      <c r="AE8" s="4">
        <f t="shared" si="46"/>
        <v>1</v>
      </c>
      <c r="AF8" s="4">
        <f t="shared" si="46"/>
        <v>1</v>
      </c>
      <c r="AG8" s="4">
        <f t="shared" si="46"/>
        <v>1</v>
      </c>
      <c r="AH8" s="4">
        <f t="shared" si="46"/>
        <v>1</v>
      </c>
      <c r="AI8" s="4">
        <f t="shared" si="46"/>
        <v>1</v>
      </c>
      <c r="AJ8" s="4">
        <f t="shared" si="46"/>
        <v>1</v>
      </c>
      <c r="AK8" s="4">
        <f t="shared" si="46"/>
        <v>1</v>
      </c>
      <c r="AL8" s="4">
        <f t="shared" si="46"/>
        <v>1</v>
      </c>
      <c r="AM8" s="4">
        <f t="shared" si="46"/>
        <v>1</v>
      </c>
      <c r="AN8" s="4">
        <f t="shared" si="46"/>
        <v>1</v>
      </c>
      <c r="AO8" s="4">
        <f t="shared" si="46"/>
        <v>1</v>
      </c>
      <c r="AP8" s="4">
        <f t="shared" si="46"/>
        <v>1</v>
      </c>
      <c r="AQ8" s="4">
        <f t="shared" si="46"/>
        <v>1</v>
      </c>
      <c r="AR8" s="4">
        <f t="shared" si="46"/>
        <v>1</v>
      </c>
      <c r="AS8" s="4">
        <f t="shared" si="46"/>
        <v>1</v>
      </c>
      <c r="AT8" s="4">
        <f t="shared" si="46"/>
        <v>1</v>
      </c>
      <c r="AU8" s="4">
        <f t="shared" si="46"/>
        <v>1</v>
      </c>
      <c r="AV8" s="4">
        <f t="shared" si="46"/>
        <v>1</v>
      </c>
      <c r="AW8" s="4">
        <f t="shared" si="46"/>
        <v>1</v>
      </c>
      <c r="AX8" s="4">
        <f t="shared" si="46"/>
        <v>1</v>
      </c>
      <c r="AY8" s="4">
        <f t="shared" si="46"/>
        <v>1</v>
      </c>
      <c r="AZ8" s="4">
        <f t="shared" si="46"/>
        <v>1</v>
      </c>
      <c r="BA8" s="4">
        <f t="shared" si="46"/>
        <v>1</v>
      </c>
      <c r="BB8" s="4">
        <f t="shared" si="46"/>
        <v>1</v>
      </c>
      <c r="BC8" s="4">
        <f t="shared" si="46"/>
        <v>1</v>
      </c>
      <c r="BD8" s="4">
        <f t="shared" si="46"/>
        <v>1</v>
      </c>
      <c r="BE8" s="4">
        <f t="shared" si="46"/>
        <v>1</v>
      </c>
      <c r="BF8" s="4">
        <f t="shared" si="46"/>
        <v>1</v>
      </c>
      <c r="BG8" s="4">
        <f t="shared" si="46"/>
        <v>1</v>
      </c>
      <c r="BH8" s="4">
        <f t="shared" si="46"/>
        <v>1</v>
      </c>
      <c r="BI8" s="4">
        <f t="shared" si="46"/>
        <v>1</v>
      </c>
      <c r="BJ8" s="4">
        <f t="shared" si="46"/>
        <v>1</v>
      </c>
      <c r="BK8" s="4">
        <f t="shared" si="46"/>
        <v>1</v>
      </c>
      <c r="BL8" s="4">
        <f t="shared" si="46"/>
        <v>1</v>
      </c>
      <c r="BM8" s="4">
        <f t="shared" si="46"/>
        <v>1</v>
      </c>
      <c r="BN8" s="4">
        <f t="shared" si="46"/>
        <v>1</v>
      </c>
      <c r="BO8" s="4">
        <f t="shared" si="46"/>
        <v>1</v>
      </c>
      <c r="BP8" s="4">
        <f t="shared" si="46"/>
        <v>1</v>
      </c>
      <c r="BQ8" s="4">
        <f t="shared" si="46"/>
        <v>0</v>
      </c>
      <c r="BR8" s="4">
        <f t="shared" si="46"/>
        <v>0</v>
      </c>
      <c r="BS8" s="4">
        <f t="shared" ref="BS8:BY8" si="47">IF(BS$2&lt;=$D8,1,0)</f>
        <v>0</v>
      </c>
      <c r="BT8" s="4">
        <f t="shared" si="47"/>
        <v>0</v>
      </c>
      <c r="BU8" s="4">
        <f t="shared" si="47"/>
        <v>0</v>
      </c>
      <c r="BV8" s="4">
        <f t="shared" si="47"/>
        <v>0</v>
      </c>
      <c r="BW8" s="4">
        <f t="shared" si="47"/>
        <v>0</v>
      </c>
      <c r="BX8" s="4">
        <f t="shared" si="47"/>
        <v>0</v>
      </c>
      <c r="BY8" s="4">
        <f t="shared" si="47"/>
        <v>0</v>
      </c>
    </row>
    <row r="10" spans="2:107" x14ac:dyDescent="0.3">
      <c r="B10" t="s">
        <v>14</v>
      </c>
      <c r="C10" t="s">
        <v>10</v>
      </c>
      <c r="D10">
        <f>SUM(F10:BY10)</f>
        <v>61</v>
      </c>
      <c r="F10">
        <f>F8*F6</f>
        <v>0</v>
      </c>
      <c r="G10">
        <f t="shared" ref="G10:BR10" si="48">G8*G6</f>
        <v>0</v>
      </c>
      <c r="H10">
        <f t="shared" si="48"/>
        <v>1</v>
      </c>
      <c r="I10">
        <f t="shared" si="48"/>
        <v>1</v>
      </c>
      <c r="J10">
        <f t="shared" si="48"/>
        <v>1</v>
      </c>
      <c r="K10">
        <f t="shared" si="48"/>
        <v>1</v>
      </c>
      <c r="L10">
        <f t="shared" si="48"/>
        <v>1</v>
      </c>
      <c r="M10">
        <f t="shared" si="48"/>
        <v>1</v>
      </c>
      <c r="N10">
        <f t="shared" si="48"/>
        <v>1</v>
      </c>
      <c r="O10">
        <f t="shared" si="48"/>
        <v>1</v>
      </c>
      <c r="P10">
        <f t="shared" si="48"/>
        <v>1</v>
      </c>
      <c r="Q10">
        <f t="shared" si="48"/>
        <v>1</v>
      </c>
      <c r="R10">
        <f t="shared" si="48"/>
        <v>1</v>
      </c>
      <c r="S10">
        <f t="shared" si="48"/>
        <v>1</v>
      </c>
      <c r="T10">
        <f t="shared" si="48"/>
        <v>1</v>
      </c>
      <c r="U10">
        <f t="shared" si="48"/>
        <v>1</v>
      </c>
      <c r="V10">
        <f t="shared" si="48"/>
        <v>1</v>
      </c>
      <c r="W10">
        <f t="shared" si="48"/>
        <v>1</v>
      </c>
      <c r="X10">
        <f t="shared" si="48"/>
        <v>1</v>
      </c>
      <c r="Y10">
        <f t="shared" si="48"/>
        <v>1</v>
      </c>
      <c r="Z10">
        <f t="shared" si="48"/>
        <v>1</v>
      </c>
      <c r="AA10">
        <f t="shared" si="48"/>
        <v>1</v>
      </c>
      <c r="AB10">
        <f t="shared" si="48"/>
        <v>1</v>
      </c>
      <c r="AC10">
        <f t="shared" si="48"/>
        <v>1</v>
      </c>
      <c r="AD10">
        <f t="shared" si="48"/>
        <v>1</v>
      </c>
      <c r="AE10">
        <f t="shared" si="48"/>
        <v>1</v>
      </c>
      <c r="AF10">
        <f t="shared" si="48"/>
        <v>1</v>
      </c>
      <c r="AG10">
        <f t="shared" si="48"/>
        <v>1</v>
      </c>
      <c r="AH10">
        <f t="shared" si="48"/>
        <v>1</v>
      </c>
      <c r="AI10">
        <f t="shared" si="48"/>
        <v>1</v>
      </c>
      <c r="AJ10">
        <f t="shared" si="48"/>
        <v>1</v>
      </c>
      <c r="AK10">
        <f t="shared" si="48"/>
        <v>1</v>
      </c>
      <c r="AL10">
        <f t="shared" si="48"/>
        <v>1</v>
      </c>
      <c r="AM10">
        <f t="shared" si="48"/>
        <v>1</v>
      </c>
      <c r="AN10">
        <f t="shared" si="48"/>
        <v>1</v>
      </c>
      <c r="AO10">
        <f t="shared" si="48"/>
        <v>1</v>
      </c>
      <c r="AP10">
        <f t="shared" si="48"/>
        <v>1</v>
      </c>
      <c r="AQ10">
        <f t="shared" si="48"/>
        <v>1</v>
      </c>
      <c r="AR10">
        <f t="shared" si="48"/>
        <v>1</v>
      </c>
      <c r="AS10">
        <f t="shared" si="48"/>
        <v>1</v>
      </c>
      <c r="AT10">
        <f t="shared" si="48"/>
        <v>1</v>
      </c>
      <c r="AU10">
        <f t="shared" si="48"/>
        <v>1</v>
      </c>
      <c r="AV10">
        <f t="shared" si="48"/>
        <v>1</v>
      </c>
      <c r="AW10">
        <f t="shared" si="48"/>
        <v>1</v>
      </c>
      <c r="AX10">
        <f t="shared" si="48"/>
        <v>1</v>
      </c>
      <c r="AY10">
        <f t="shared" si="48"/>
        <v>1</v>
      </c>
      <c r="AZ10">
        <f t="shared" si="48"/>
        <v>1</v>
      </c>
      <c r="BA10">
        <f t="shared" si="48"/>
        <v>1</v>
      </c>
      <c r="BB10">
        <f t="shared" si="48"/>
        <v>1</v>
      </c>
      <c r="BC10">
        <f t="shared" si="48"/>
        <v>1</v>
      </c>
      <c r="BD10">
        <f t="shared" si="48"/>
        <v>1</v>
      </c>
      <c r="BE10">
        <f t="shared" si="48"/>
        <v>1</v>
      </c>
      <c r="BF10">
        <f t="shared" si="48"/>
        <v>1</v>
      </c>
      <c r="BG10">
        <f t="shared" si="48"/>
        <v>1</v>
      </c>
      <c r="BH10">
        <f t="shared" si="48"/>
        <v>1</v>
      </c>
      <c r="BI10">
        <f t="shared" si="48"/>
        <v>1</v>
      </c>
      <c r="BJ10">
        <f t="shared" si="48"/>
        <v>1</v>
      </c>
      <c r="BK10">
        <f t="shared" si="48"/>
        <v>1</v>
      </c>
      <c r="BL10">
        <f t="shared" si="48"/>
        <v>1</v>
      </c>
      <c r="BM10">
        <f t="shared" si="48"/>
        <v>1</v>
      </c>
      <c r="BN10">
        <f t="shared" si="48"/>
        <v>1</v>
      </c>
      <c r="BO10">
        <f t="shared" si="48"/>
        <v>1</v>
      </c>
      <c r="BP10">
        <f t="shared" si="48"/>
        <v>1</v>
      </c>
      <c r="BQ10">
        <f t="shared" si="48"/>
        <v>0</v>
      </c>
      <c r="BR10">
        <f t="shared" si="48"/>
        <v>0</v>
      </c>
      <c r="BS10">
        <f t="shared" ref="BS10:BY10" si="49">BS8*BS6</f>
        <v>0</v>
      </c>
      <c r="BT10">
        <f t="shared" si="49"/>
        <v>0</v>
      </c>
      <c r="BU10">
        <f t="shared" si="49"/>
        <v>0</v>
      </c>
      <c r="BV10">
        <f t="shared" si="49"/>
        <v>0</v>
      </c>
      <c r="BW10">
        <f t="shared" si="49"/>
        <v>0</v>
      </c>
      <c r="BX10">
        <f t="shared" si="49"/>
        <v>0</v>
      </c>
      <c r="BY10">
        <f t="shared" si="49"/>
        <v>0</v>
      </c>
    </row>
    <row r="12" spans="2:107" x14ac:dyDescent="0.3">
      <c r="B12" t="s">
        <v>15</v>
      </c>
      <c r="C12" t="s">
        <v>10</v>
      </c>
      <c r="D12" s="3">
        <v>11</v>
      </c>
      <c r="F12">
        <f>IF(F10+E12&gt;$D$12,1,F10+E12)*F10</f>
        <v>0</v>
      </c>
      <c r="G12">
        <f t="shared" ref="G12:BR12" si="50">IF(G10+F12&gt;$D$12,1,G10+F12)*G10</f>
        <v>0</v>
      </c>
      <c r="H12">
        <f t="shared" si="50"/>
        <v>1</v>
      </c>
      <c r="I12">
        <f t="shared" si="50"/>
        <v>2</v>
      </c>
      <c r="J12">
        <f t="shared" si="50"/>
        <v>3</v>
      </c>
      <c r="K12">
        <f t="shared" si="50"/>
        <v>4</v>
      </c>
      <c r="L12">
        <f t="shared" si="50"/>
        <v>5</v>
      </c>
      <c r="M12">
        <f t="shared" si="50"/>
        <v>6</v>
      </c>
      <c r="N12">
        <f t="shared" si="50"/>
        <v>7</v>
      </c>
      <c r="O12">
        <f t="shared" si="50"/>
        <v>8</v>
      </c>
      <c r="P12">
        <f t="shared" si="50"/>
        <v>9</v>
      </c>
      <c r="Q12">
        <f t="shared" si="50"/>
        <v>10</v>
      </c>
      <c r="R12">
        <f t="shared" si="50"/>
        <v>11</v>
      </c>
      <c r="S12">
        <f t="shared" si="50"/>
        <v>1</v>
      </c>
      <c r="T12">
        <f t="shared" si="50"/>
        <v>2</v>
      </c>
      <c r="U12">
        <f t="shared" si="50"/>
        <v>3</v>
      </c>
      <c r="V12">
        <f t="shared" si="50"/>
        <v>4</v>
      </c>
      <c r="W12">
        <f t="shared" si="50"/>
        <v>5</v>
      </c>
      <c r="X12">
        <f t="shared" si="50"/>
        <v>6</v>
      </c>
      <c r="Y12">
        <f t="shared" si="50"/>
        <v>7</v>
      </c>
      <c r="Z12">
        <f t="shared" si="50"/>
        <v>8</v>
      </c>
      <c r="AA12">
        <f t="shared" si="50"/>
        <v>9</v>
      </c>
      <c r="AB12">
        <f t="shared" si="50"/>
        <v>10</v>
      </c>
      <c r="AC12">
        <f t="shared" si="50"/>
        <v>11</v>
      </c>
      <c r="AD12">
        <f t="shared" si="50"/>
        <v>1</v>
      </c>
      <c r="AE12">
        <f t="shared" si="50"/>
        <v>2</v>
      </c>
      <c r="AF12">
        <f t="shared" si="50"/>
        <v>3</v>
      </c>
      <c r="AG12">
        <f t="shared" si="50"/>
        <v>4</v>
      </c>
      <c r="AH12">
        <f t="shared" si="50"/>
        <v>5</v>
      </c>
      <c r="AI12">
        <f t="shared" si="50"/>
        <v>6</v>
      </c>
      <c r="AJ12">
        <f t="shared" si="50"/>
        <v>7</v>
      </c>
      <c r="AK12">
        <f t="shared" si="50"/>
        <v>8</v>
      </c>
      <c r="AL12">
        <f t="shared" si="50"/>
        <v>9</v>
      </c>
      <c r="AM12">
        <f t="shared" si="50"/>
        <v>10</v>
      </c>
      <c r="AN12">
        <f t="shared" si="50"/>
        <v>11</v>
      </c>
      <c r="AO12">
        <f t="shared" si="50"/>
        <v>1</v>
      </c>
      <c r="AP12">
        <f t="shared" si="50"/>
        <v>2</v>
      </c>
      <c r="AQ12">
        <f t="shared" si="50"/>
        <v>3</v>
      </c>
      <c r="AR12">
        <f t="shared" si="50"/>
        <v>4</v>
      </c>
      <c r="AS12">
        <f t="shared" si="50"/>
        <v>5</v>
      </c>
      <c r="AT12">
        <f t="shared" si="50"/>
        <v>6</v>
      </c>
      <c r="AU12">
        <f t="shared" si="50"/>
        <v>7</v>
      </c>
      <c r="AV12">
        <f t="shared" si="50"/>
        <v>8</v>
      </c>
      <c r="AW12">
        <f t="shared" si="50"/>
        <v>9</v>
      </c>
      <c r="AX12">
        <f t="shared" si="50"/>
        <v>10</v>
      </c>
      <c r="AY12">
        <f t="shared" si="50"/>
        <v>11</v>
      </c>
      <c r="AZ12">
        <f t="shared" si="50"/>
        <v>1</v>
      </c>
      <c r="BA12">
        <f t="shared" si="50"/>
        <v>2</v>
      </c>
      <c r="BB12">
        <f t="shared" si="50"/>
        <v>3</v>
      </c>
      <c r="BC12">
        <f t="shared" si="50"/>
        <v>4</v>
      </c>
      <c r="BD12">
        <f t="shared" si="50"/>
        <v>5</v>
      </c>
      <c r="BE12">
        <f t="shared" si="50"/>
        <v>6</v>
      </c>
      <c r="BF12">
        <f t="shared" si="50"/>
        <v>7</v>
      </c>
      <c r="BG12">
        <f t="shared" si="50"/>
        <v>8</v>
      </c>
      <c r="BH12">
        <f t="shared" si="50"/>
        <v>9</v>
      </c>
      <c r="BI12">
        <f t="shared" si="50"/>
        <v>10</v>
      </c>
      <c r="BJ12">
        <f t="shared" si="50"/>
        <v>11</v>
      </c>
      <c r="BK12">
        <f t="shared" si="50"/>
        <v>1</v>
      </c>
      <c r="BL12">
        <f t="shared" si="50"/>
        <v>2</v>
      </c>
      <c r="BM12">
        <f t="shared" si="50"/>
        <v>3</v>
      </c>
      <c r="BN12">
        <f t="shared" si="50"/>
        <v>4</v>
      </c>
      <c r="BO12">
        <f t="shared" si="50"/>
        <v>5</v>
      </c>
      <c r="BP12">
        <f t="shared" si="50"/>
        <v>6</v>
      </c>
      <c r="BQ12">
        <f t="shared" si="50"/>
        <v>0</v>
      </c>
      <c r="BR12">
        <f t="shared" si="50"/>
        <v>0</v>
      </c>
      <c r="BS12">
        <f t="shared" ref="BS12:BY12" si="51">IF(BS10+BR12&gt;$D$12,1,BS10+BR12)*BS10</f>
        <v>0</v>
      </c>
      <c r="BT12">
        <f t="shared" si="51"/>
        <v>0</v>
      </c>
      <c r="BU12">
        <f t="shared" si="51"/>
        <v>0</v>
      </c>
      <c r="BV12">
        <f t="shared" si="51"/>
        <v>0</v>
      </c>
      <c r="BW12">
        <f t="shared" si="51"/>
        <v>0</v>
      </c>
      <c r="BX12">
        <f t="shared" si="51"/>
        <v>0</v>
      </c>
      <c r="BY12">
        <f t="shared" si="51"/>
        <v>0</v>
      </c>
    </row>
    <row r="13" spans="2:107" x14ac:dyDescent="0.3">
      <c r="B13" t="s">
        <v>16</v>
      </c>
      <c r="C13" t="s">
        <v>17</v>
      </c>
      <c r="D13" s="7">
        <v>0.1</v>
      </c>
      <c r="F13">
        <f>IF(SUM($E$10:F10)=1,0,IF(F12=1,$D$13,0))</f>
        <v>0</v>
      </c>
      <c r="G13">
        <f>IF(SUM($E$10:G10)=1,0,IF(G12=1,$D$13,0))</f>
        <v>0</v>
      </c>
      <c r="H13">
        <f>IF(SUM($E$10:H10)=1,0,IF(H12=1,$D$13,0))</f>
        <v>0</v>
      </c>
      <c r="I13">
        <f>IF(SUM($E$10:I10)=1,0,IF(I12=1,$D$13,0))</f>
        <v>0</v>
      </c>
      <c r="J13">
        <f>IF(SUM($E$10:J10)=1,0,IF(J12=1,$D$13,0))</f>
        <v>0</v>
      </c>
      <c r="K13">
        <f>IF(SUM($E$10:K10)=1,0,IF(K12=1,$D$13,0))</f>
        <v>0</v>
      </c>
      <c r="L13">
        <f>IF(SUM($E$10:L10)=1,0,IF(L12=1,$D$13,0))</f>
        <v>0</v>
      </c>
      <c r="M13">
        <f>IF(SUM($E$10:M10)=1,0,IF(M12=1,$D$13,0))</f>
        <v>0</v>
      </c>
      <c r="N13">
        <f>IF(SUM($E$10:N10)=1,0,IF(N12=1,$D$13,0))</f>
        <v>0</v>
      </c>
      <c r="O13">
        <f>IF(SUM($E$10:O10)=1,0,IF(O12=1,$D$13,0))</f>
        <v>0</v>
      </c>
      <c r="P13">
        <f>IF(SUM($E$10:P10)=1,0,IF(P12=1,$D$13,0))</f>
        <v>0</v>
      </c>
      <c r="Q13">
        <f>IF(SUM($E$10:Q10)=1,0,IF(Q12=1,$D$13,0))</f>
        <v>0</v>
      </c>
      <c r="R13">
        <f>IF(SUM($E$10:R10)=1,0,IF(R12=1,$D$13,0))</f>
        <v>0</v>
      </c>
      <c r="S13">
        <f>IF(SUM($E$10:S10)=1,0,IF(S12=1,$D$13,0))</f>
        <v>0.1</v>
      </c>
      <c r="T13">
        <f>IF(SUM($E$10:T10)=1,0,IF(T12=1,$D$13,0))</f>
        <v>0</v>
      </c>
      <c r="U13">
        <f>IF(SUM($E$10:U10)=1,0,IF(U12=1,$D$13,0))</f>
        <v>0</v>
      </c>
      <c r="V13">
        <f>IF(SUM($E$10:V10)=1,0,IF(V12=1,$D$13,0))</f>
        <v>0</v>
      </c>
      <c r="W13">
        <f>IF(SUM($E$10:W10)=1,0,IF(W12=1,$D$13,0))</f>
        <v>0</v>
      </c>
      <c r="X13">
        <f>IF(SUM($E$10:X10)=1,0,IF(X12=1,$D$13,0))</f>
        <v>0</v>
      </c>
      <c r="Y13">
        <f>IF(SUM($E$10:Y10)=1,0,IF(Y12=1,$D$13,0))</f>
        <v>0</v>
      </c>
      <c r="Z13">
        <f>IF(SUM($E$10:Z10)=1,0,IF(Z12=1,$D$13,0))</f>
        <v>0</v>
      </c>
      <c r="AA13">
        <f>IF(SUM($E$10:AA10)=1,0,IF(AA12=1,$D$13,0))</f>
        <v>0</v>
      </c>
      <c r="AB13">
        <f>IF(SUM($E$10:AB10)=1,0,IF(AB12=1,$D$13,0))</f>
        <v>0</v>
      </c>
      <c r="AC13">
        <f>IF(SUM($E$10:AC10)=1,0,IF(AC12=1,$D$13,0))</f>
        <v>0</v>
      </c>
      <c r="AD13">
        <f>IF(SUM($E$10:AD10)=1,0,IF(AD12=1,$D$13,0))</f>
        <v>0.1</v>
      </c>
      <c r="AE13">
        <f>IF(SUM($E$10:AE10)=1,0,IF(AE12=1,$D$13,0))</f>
        <v>0</v>
      </c>
      <c r="AF13">
        <f>IF(SUM($E$10:AF10)=1,0,IF(AF12=1,$D$13,0))</f>
        <v>0</v>
      </c>
      <c r="AG13">
        <f>IF(SUM($E$10:AG10)=1,0,IF(AG12=1,$D$13,0))</f>
        <v>0</v>
      </c>
      <c r="AH13">
        <f>IF(SUM($E$10:AH10)=1,0,IF(AH12=1,$D$13,0))</f>
        <v>0</v>
      </c>
      <c r="AI13">
        <f>IF(SUM($E$10:AI10)=1,0,IF(AI12=1,$D$13,0))</f>
        <v>0</v>
      </c>
      <c r="AJ13">
        <f>IF(SUM($E$10:AJ10)=1,0,IF(AJ12=1,$D$13,0))</f>
        <v>0</v>
      </c>
      <c r="AK13">
        <f>IF(SUM($E$10:AK10)=1,0,IF(AK12=1,$D$13,0))</f>
        <v>0</v>
      </c>
      <c r="AL13">
        <f>IF(SUM($E$10:AL10)=1,0,IF(AL12=1,$D$13,0))</f>
        <v>0</v>
      </c>
      <c r="AM13">
        <f>IF(SUM($E$10:AM10)=1,0,IF(AM12=1,$D$13,0))</f>
        <v>0</v>
      </c>
      <c r="AN13">
        <f>IF(SUM($E$10:AN10)=1,0,IF(AN12=1,$D$13,0))</f>
        <v>0</v>
      </c>
      <c r="AO13">
        <f>IF(SUM($E$10:AO10)=1,0,IF(AO12=1,$D$13,0))</f>
        <v>0.1</v>
      </c>
      <c r="AP13">
        <f>IF(SUM($E$10:AP10)=1,0,IF(AP12=1,$D$13,0))</f>
        <v>0</v>
      </c>
      <c r="AQ13">
        <f>IF(SUM($E$10:AQ10)=1,0,IF(AQ12=1,$D$13,0))</f>
        <v>0</v>
      </c>
      <c r="AR13">
        <f>IF(SUM($E$10:AR10)=1,0,IF(AR12=1,$D$13,0))</f>
        <v>0</v>
      </c>
      <c r="AS13">
        <f>IF(SUM($E$10:AS10)=1,0,IF(AS12=1,$D$13,0))</f>
        <v>0</v>
      </c>
      <c r="AT13">
        <f>IF(SUM($E$10:AT10)=1,0,IF(AT12=1,$D$13,0))</f>
        <v>0</v>
      </c>
      <c r="AU13">
        <f>IF(SUM($E$10:AU10)=1,0,IF(AU12=1,$D$13,0))</f>
        <v>0</v>
      </c>
      <c r="AV13">
        <f>IF(SUM($E$10:AV10)=1,0,IF(AV12=1,$D$13,0))</f>
        <v>0</v>
      </c>
      <c r="AW13">
        <f>IF(SUM($E$10:AW10)=1,0,IF(AW12=1,$D$13,0))</f>
        <v>0</v>
      </c>
      <c r="AX13">
        <f>IF(SUM($E$10:AX10)=1,0,IF(AX12=1,$D$13,0))</f>
        <v>0</v>
      </c>
      <c r="AY13">
        <f>IF(SUM($E$10:AY10)=1,0,IF(AY12=1,$D$13,0))</f>
        <v>0</v>
      </c>
      <c r="AZ13">
        <f>IF(SUM($E$10:AZ10)=1,0,IF(AZ12=1,$D$13,0))</f>
        <v>0.1</v>
      </c>
      <c r="BA13">
        <f>IF(SUM($E$10:BA10)=1,0,IF(BA12=1,$D$13,0))</f>
        <v>0</v>
      </c>
      <c r="BB13">
        <f>IF(SUM($E$10:BB10)=1,0,IF(BB12=1,$D$13,0))</f>
        <v>0</v>
      </c>
      <c r="BC13">
        <f>IF(SUM($E$10:BC10)=1,0,IF(BC12=1,$D$13,0))</f>
        <v>0</v>
      </c>
      <c r="BD13">
        <f>IF(SUM($E$10:BD10)=1,0,IF(BD12=1,$D$13,0))</f>
        <v>0</v>
      </c>
      <c r="BE13">
        <f>IF(SUM($E$10:BE10)=1,0,IF(BE12=1,$D$13,0))</f>
        <v>0</v>
      </c>
      <c r="BF13">
        <f>IF(SUM($E$10:BF10)=1,0,IF(BF12=1,$D$13,0))</f>
        <v>0</v>
      </c>
      <c r="BG13">
        <f>IF(SUM($E$10:BG10)=1,0,IF(BG12=1,$D$13,0))</f>
        <v>0</v>
      </c>
      <c r="BH13">
        <f>IF(SUM($E$10:BH10)=1,0,IF(BH12=1,$D$13,0))</f>
        <v>0</v>
      </c>
      <c r="BI13">
        <f>IF(SUM($E$10:BI10)=1,0,IF(BI12=1,$D$13,0))</f>
        <v>0</v>
      </c>
      <c r="BJ13">
        <f>IF(SUM($E$10:BJ10)=1,0,IF(BJ12=1,$D$13,0))</f>
        <v>0</v>
      </c>
      <c r="BK13">
        <f>IF(SUM($E$10:BK10)=1,0,IF(BK12=1,$D$13,0))</f>
        <v>0.1</v>
      </c>
      <c r="BL13">
        <f>IF(SUM($E$10:BL10)=1,0,IF(BL12=1,$D$13,0))</f>
        <v>0</v>
      </c>
      <c r="BM13">
        <f>IF(SUM($E$10:BM10)=1,0,IF(BM12=1,$D$13,0))</f>
        <v>0</v>
      </c>
      <c r="BN13">
        <f>IF(SUM($E$10:BN10)=1,0,IF(BN12=1,$D$13,0))</f>
        <v>0</v>
      </c>
      <c r="BO13">
        <f>IF(SUM($E$10:BO10)=1,0,IF(BO12=1,$D$13,0))</f>
        <v>0</v>
      </c>
      <c r="BP13">
        <f>IF(SUM($E$10:BP10)=1,0,IF(BP12=1,$D$13,0))</f>
        <v>0</v>
      </c>
      <c r="BQ13">
        <f>IF(SUM($E$10:BQ10)=1,0,IF(BQ12=1,$D$13,0))</f>
        <v>0</v>
      </c>
      <c r="BR13">
        <f>IF(SUM($E$10:BR10)=1,0,IF(BR12=1,$D$13,0))</f>
        <v>0</v>
      </c>
      <c r="BS13">
        <f>IF(SUM($E$10:BS10)=1,0,IF(BS12=1,$D$13,0))</f>
        <v>0</v>
      </c>
      <c r="BT13">
        <f>IF(SUM($E$10:BT10)=1,0,IF(BT12=1,$D$13,0))</f>
        <v>0</v>
      </c>
      <c r="BU13">
        <f>IF(SUM($E$10:BU10)=1,0,IF(BU12=1,$D$13,0))</f>
        <v>0</v>
      </c>
      <c r="BV13">
        <f>IF(SUM($E$10:BV10)=1,0,IF(BV12=1,$D$13,0))</f>
        <v>0</v>
      </c>
      <c r="BW13">
        <f>IF(SUM($E$10:BW10)=1,0,IF(BW12=1,$D$13,0))</f>
        <v>0</v>
      </c>
      <c r="BX13">
        <f>IF(SUM($E$10:BX10)=1,0,IF(BX12=1,$D$13,0))</f>
        <v>0</v>
      </c>
      <c r="BY13">
        <f>IF(SUM($E$10:BY10)=1,0,IF(BY12=1,$D$13,0))</f>
        <v>0</v>
      </c>
    </row>
    <row r="15" spans="2:107" x14ac:dyDescent="0.3">
      <c r="B15" t="s">
        <v>11</v>
      </c>
      <c r="C15" t="s">
        <v>12</v>
      </c>
      <c r="D15" s="3">
        <v>45000</v>
      </c>
    </row>
    <row r="16" spans="2:107" x14ac:dyDescent="0.3">
      <c r="B16" t="s">
        <v>13</v>
      </c>
      <c r="C16" t="s">
        <v>12</v>
      </c>
      <c r="D16" s="5">
        <f>SUM(F16:BY16)</f>
        <v>3456862.2000000011</v>
      </c>
      <c r="F16" s="4">
        <f>IF(SUM($E$10:F10)=1,$D$15,E16*(1+F13))*F10</f>
        <v>0</v>
      </c>
      <c r="G16" s="4">
        <f>IF(SUM($E$10:G10)=1,$D$15,F16*(1+G13))*G10</f>
        <v>0</v>
      </c>
      <c r="H16" s="4">
        <f>IF(SUM($E$10:H10)=1,$D$15,G16*(1+H13))*H10</f>
        <v>45000</v>
      </c>
      <c r="I16" s="4">
        <f>IF(SUM($E$10:I10)=1,$D$15,H16*(1+I13))*I10</f>
        <v>45000</v>
      </c>
      <c r="J16" s="4">
        <f>IF(SUM($E$10:J10)=1,$D$15,I16*(1+J13))*J10</f>
        <v>45000</v>
      </c>
      <c r="K16" s="4">
        <f>IF(SUM($E$10:K10)=1,$D$15,J16*(1+K13))*K10</f>
        <v>45000</v>
      </c>
      <c r="L16" s="4">
        <f>IF(SUM($E$10:L10)=1,$D$15,K16*(1+L13))*L10</f>
        <v>45000</v>
      </c>
      <c r="M16" s="4">
        <f>IF(SUM($E$10:M10)=1,$D$15,L16*(1+M13))*M10</f>
        <v>45000</v>
      </c>
      <c r="N16" s="4">
        <f>IF(SUM($E$10:N10)=1,$D$15,M16*(1+N13))*N10</f>
        <v>45000</v>
      </c>
      <c r="O16" s="4">
        <f>IF(SUM($E$10:O10)=1,$D$15,N16*(1+O13))*O10</f>
        <v>45000</v>
      </c>
      <c r="P16" s="4">
        <f>IF(SUM($E$10:P10)=1,$D$15,O16*(1+P13))*P10</f>
        <v>45000</v>
      </c>
      <c r="Q16" s="4">
        <f>IF(SUM($E$10:Q10)=1,$D$15,P16*(1+Q13))*Q10</f>
        <v>45000</v>
      </c>
      <c r="R16" s="4">
        <f>IF(SUM($E$10:R10)=1,$D$15,Q16*(1+R13))*R10</f>
        <v>45000</v>
      </c>
      <c r="S16" s="4">
        <f>IF(SUM($E$10:S10)=1,$D$15,R16*(1+S13))*S10</f>
        <v>49500.000000000007</v>
      </c>
      <c r="T16" s="4">
        <f>IF(SUM($E$10:T10)=1,$D$15,S16*(1+T13))*T10</f>
        <v>49500.000000000007</v>
      </c>
      <c r="U16" s="4">
        <f>IF(SUM($E$10:U10)=1,$D$15,T16*(1+U13))*U10</f>
        <v>49500.000000000007</v>
      </c>
      <c r="V16" s="4">
        <f>IF(SUM($E$10:V10)=1,$D$15,U16*(1+V13))*V10</f>
        <v>49500.000000000007</v>
      </c>
      <c r="W16" s="4">
        <f>IF(SUM($E$10:W10)=1,$D$15,V16*(1+W13))*W10</f>
        <v>49500.000000000007</v>
      </c>
      <c r="X16" s="4">
        <f>IF(SUM($E$10:X10)=1,$D$15,W16*(1+X13))*X10</f>
        <v>49500.000000000007</v>
      </c>
      <c r="Y16" s="4">
        <f>IF(SUM($E$10:Y10)=1,$D$15,X16*(1+Y13))*Y10</f>
        <v>49500.000000000007</v>
      </c>
      <c r="Z16" s="4">
        <f>IF(SUM($E$10:Z10)=1,$D$15,Y16*(1+Z13))*Z10</f>
        <v>49500.000000000007</v>
      </c>
      <c r="AA16" s="4">
        <f>IF(SUM($E$10:AA10)=1,$D$15,Z16*(1+AA13))*AA10</f>
        <v>49500.000000000007</v>
      </c>
      <c r="AB16" s="4">
        <f>IF(SUM($E$10:AB10)=1,$D$15,AA16*(1+AB13))*AB10</f>
        <v>49500.000000000007</v>
      </c>
      <c r="AC16" s="4">
        <f>IF(SUM($E$10:AC10)=1,$D$15,AB16*(1+AC13))*AC10</f>
        <v>49500.000000000007</v>
      </c>
      <c r="AD16" s="4">
        <f>IF(SUM($E$10:AD10)=1,$D$15,AC16*(1+AD13))*AD10</f>
        <v>54450.000000000015</v>
      </c>
      <c r="AE16" s="4">
        <f>IF(SUM($E$10:AE10)=1,$D$15,AD16*(1+AE13))*AE10</f>
        <v>54450.000000000015</v>
      </c>
      <c r="AF16" s="4">
        <f>IF(SUM($E$10:AF10)=1,$D$15,AE16*(1+AF13))*AF10</f>
        <v>54450.000000000015</v>
      </c>
      <c r="AG16" s="4">
        <f>IF(SUM($E$10:AG10)=1,$D$15,AF16*(1+AG13))*AG10</f>
        <v>54450.000000000015</v>
      </c>
      <c r="AH16" s="4">
        <f>IF(SUM($E$10:AH10)=1,$D$15,AG16*(1+AH13))*AH10</f>
        <v>54450.000000000015</v>
      </c>
      <c r="AI16" s="4">
        <f>IF(SUM($E$10:AI10)=1,$D$15,AH16*(1+AI13))*AI10</f>
        <v>54450.000000000015</v>
      </c>
      <c r="AJ16" s="4">
        <f>IF(SUM($E$10:AJ10)=1,$D$15,AI16*(1+AJ13))*AJ10</f>
        <v>54450.000000000015</v>
      </c>
      <c r="AK16" s="4">
        <f>IF(SUM($E$10:AK10)=1,$D$15,AJ16*(1+AK13))*AK10</f>
        <v>54450.000000000015</v>
      </c>
      <c r="AL16" s="4">
        <f>IF(SUM($E$10:AL10)=1,$D$15,AK16*(1+AL13))*AL10</f>
        <v>54450.000000000015</v>
      </c>
      <c r="AM16" s="4">
        <f>IF(SUM($E$10:AM10)=1,$D$15,AL16*(1+AM13))*AM10</f>
        <v>54450.000000000015</v>
      </c>
      <c r="AN16" s="4">
        <f>IF(SUM($E$10:AN10)=1,$D$15,AM16*(1+AN13))*AN10</f>
        <v>54450.000000000015</v>
      </c>
      <c r="AO16" s="4">
        <f>IF(SUM($E$10:AO10)=1,$D$15,AN16*(1+AO13))*AO10</f>
        <v>59895.000000000022</v>
      </c>
      <c r="AP16" s="4">
        <f>IF(SUM($E$10:AP10)=1,$D$15,AO16*(1+AP13))*AP10</f>
        <v>59895.000000000022</v>
      </c>
      <c r="AQ16" s="4">
        <f>IF(SUM($E$10:AQ10)=1,$D$15,AP16*(1+AQ13))*AQ10</f>
        <v>59895.000000000022</v>
      </c>
      <c r="AR16" s="4">
        <f>IF(SUM($E$10:AR10)=1,$D$15,AQ16*(1+AR13))*AR10</f>
        <v>59895.000000000022</v>
      </c>
      <c r="AS16" s="4">
        <f>IF(SUM($E$10:AS10)=1,$D$15,AR16*(1+AS13))*AS10</f>
        <v>59895.000000000022</v>
      </c>
      <c r="AT16" s="4">
        <f>IF(SUM($E$10:AT10)=1,$D$15,AS16*(1+AT13))*AT10</f>
        <v>59895.000000000022</v>
      </c>
      <c r="AU16" s="4">
        <f>IF(SUM($E$10:AU10)=1,$D$15,AT16*(1+AU13))*AU10</f>
        <v>59895.000000000022</v>
      </c>
      <c r="AV16" s="4">
        <f>IF(SUM($E$10:AV10)=1,$D$15,AU16*(1+AV13))*AV10</f>
        <v>59895.000000000022</v>
      </c>
      <c r="AW16" s="4">
        <f>IF(SUM($E$10:AW10)=1,$D$15,AV16*(1+AW13))*AW10</f>
        <v>59895.000000000022</v>
      </c>
      <c r="AX16" s="4">
        <f>IF(SUM($E$10:AX10)=1,$D$15,AW16*(1+AX13))*AX10</f>
        <v>59895.000000000022</v>
      </c>
      <c r="AY16" s="4">
        <f>IF(SUM($E$10:AY10)=1,$D$15,AX16*(1+AY13))*AY10</f>
        <v>59895.000000000022</v>
      </c>
      <c r="AZ16" s="4">
        <f>IF(SUM($E$10:AZ10)=1,$D$15,AY16*(1+AZ13))*AZ10</f>
        <v>65884.500000000029</v>
      </c>
      <c r="BA16" s="4">
        <f>IF(SUM($E$10:BA10)=1,$D$15,AZ16*(1+BA13))*BA10</f>
        <v>65884.500000000029</v>
      </c>
      <c r="BB16" s="4">
        <f>IF(SUM($E$10:BB10)=1,$D$15,BA16*(1+BB13))*BB10</f>
        <v>65884.500000000029</v>
      </c>
      <c r="BC16" s="4">
        <f>IF(SUM($E$10:BC10)=1,$D$15,BB16*(1+BC13))*BC10</f>
        <v>65884.500000000029</v>
      </c>
      <c r="BD16" s="4">
        <f>IF(SUM($E$10:BD10)=1,$D$15,BC16*(1+BD13))*BD10</f>
        <v>65884.500000000029</v>
      </c>
      <c r="BE16" s="4">
        <f>IF(SUM($E$10:BE10)=1,$D$15,BD16*(1+BE13))*BE10</f>
        <v>65884.500000000029</v>
      </c>
      <c r="BF16" s="4">
        <f>IF(SUM($E$10:BF10)=1,$D$15,BE16*(1+BF13))*BF10</f>
        <v>65884.500000000029</v>
      </c>
      <c r="BG16" s="4">
        <f>IF(SUM($E$10:BG10)=1,$D$15,BF16*(1+BG13))*BG10</f>
        <v>65884.500000000029</v>
      </c>
      <c r="BH16" s="4">
        <f>IF(SUM($E$10:BH10)=1,$D$15,BG16*(1+BH13))*BH10</f>
        <v>65884.500000000029</v>
      </c>
      <c r="BI16" s="4">
        <f>IF(SUM($E$10:BI10)=1,$D$15,BH16*(1+BI13))*BI10</f>
        <v>65884.500000000029</v>
      </c>
      <c r="BJ16" s="4">
        <f>IF(SUM($E$10:BJ10)=1,$D$15,BI16*(1+BJ13))*BJ10</f>
        <v>65884.500000000029</v>
      </c>
      <c r="BK16" s="4">
        <f>IF(SUM($E$10:BK10)=1,$D$15,BJ16*(1+BK13))*BK10</f>
        <v>72472.950000000041</v>
      </c>
      <c r="BL16" s="4">
        <f>IF(SUM($E$10:BL10)=1,$D$15,BK16*(1+BL13))*BL10</f>
        <v>72472.950000000041</v>
      </c>
      <c r="BM16" s="4">
        <f>IF(SUM($E$10:BM10)=1,$D$15,BL16*(1+BM13))*BM10</f>
        <v>72472.950000000041</v>
      </c>
      <c r="BN16" s="4">
        <f>IF(SUM($E$10:BN10)=1,$D$15,BM16*(1+BN13))*BN10</f>
        <v>72472.950000000041</v>
      </c>
      <c r="BO16" s="4">
        <f>IF(SUM($E$10:BO10)=1,$D$15,BN16*(1+BO13))*BO10</f>
        <v>72472.950000000041</v>
      </c>
      <c r="BP16" s="4">
        <f>IF(SUM($E$10:BP10)=1,$D$15,BO16*(1+BP13))*BP10</f>
        <v>72472.950000000041</v>
      </c>
      <c r="BQ16" s="4">
        <f>IF(SUM($E$10:BQ10)=1,$D$15,BP16*(1+BQ13))*BQ10</f>
        <v>0</v>
      </c>
      <c r="BR16" s="4">
        <f>IF(SUM($E$10:BR10)=1,$D$15,BQ16*(1+BR13))*BR10</f>
        <v>0</v>
      </c>
      <c r="BS16" s="4">
        <f>IF(SUM($E$10:BS10)=1,$D$15,BR16*(1+BS13))*BS10</f>
        <v>0</v>
      </c>
      <c r="BT16" s="4">
        <f>IF(SUM($E$10:BT10)=1,$D$15,BS16*(1+BT13))*BT10</f>
        <v>0</v>
      </c>
      <c r="BU16" s="4">
        <f>IF(SUM($E$10:BU10)=1,$D$15,BT16*(1+BU13))*BU10</f>
        <v>0</v>
      </c>
      <c r="BV16" s="4">
        <f>IF(SUM($E$10:BV10)=1,$D$15,BU16*(1+BV13))*BV10</f>
        <v>0</v>
      </c>
      <c r="BW16" s="4">
        <f>IF(SUM($E$10:BW10)=1,$D$15,BV16*(1+BW13))*BW10</f>
        <v>0</v>
      </c>
      <c r="BX16" s="4">
        <f>IF(SUM($E$10:BX10)=1,$D$15,BW16*(1+BX13))*BX10</f>
        <v>0</v>
      </c>
      <c r="BY16" s="4">
        <f>IF(SUM($E$10:BY10)=1,$D$15,BX16*(1+BY13))*BY10</f>
        <v>0</v>
      </c>
    </row>
    <row r="18" spans="2:77" x14ac:dyDescent="0.3">
      <c r="B18" t="s">
        <v>18</v>
      </c>
      <c r="C18" t="s">
        <v>17</v>
      </c>
      <c r="D18" s="6">
        <v>7.0000000000000007E-2</v>
      </c>
    </row>
    <row r="20" spans="2:77" x14ac:dyDescent="0.3">
      <c r="B20" t="s">
        <v>20</v>
      </c>
      <c r="F20">
        <f>SUM($E$10:F10)*F10</f>
        <v>0</v>
      </c>
      <c r="G20">
        <f>SUM($E$10:G10)*G10</f>
        <v>0</v>
      </c>
      <c r="H20">
        <f>SUM($E$10:H10)*H10</f>
        <v>1</v>
      </c>
      <c r="I20">
        <f>SUM($E$10:I10)*I10</f>
        <v>2</v>
      </c>
      <c r="J20">
        <f>SUM($E$10:J10)*J10</f>
        <v>3</v>
      </c>
      <c r="K20">
        <f>SUM($E$10:K10)*K10</f>
        <v>4</v>
      </c>
      <c r="L20">
        <f>SUM($E$10:L10)*L10</f>
        <v>5</v>
      </c>
      <c r="M20">
        <f>SUM($E$10:M10)*M10</f>
        <v>6</v>
      </c>
      <c r="N20">
        <f>SUM($E$10:N10)*N10</f>
        <v>7</v>
      </c>
      <c r="O20">
        <f>SUM($E$10:O10)*O10</f>
        <v>8</v>
      </c>
      <c r="P20">
        <f>SUM($E$10:P10)*P10</f>
        <v>9</v>
      </c>
      <c r="Q20">
        <f>SUM($E$10:Q10)*Q10</f>
        <v>10</v>
      </c>
      <c r="R20">
        <f>SUM($E$10:R10)*R10</f>
        <v>11</v>
      </c>
      <c r="S20">
        <f>SUM($E$10:S10)*S10</f>
        <v>12</v>
      </c>
      <c r="T20">
        <f>SUM($E$10:T10)*T10</f>
        <v>13</v>
      </c>
      <c r="U20">
        <f>SUM($E$10:U10)*U10</f>
        <v>14</v>
      </c>
      <c r="V20">
        <f>SUM($E$10:V10)*V10</f>
        <v>15</v>
      </c>
      <c r="W20">
        <f>SUM($E$10:W10)*W10</f>
        <v>16</v>
      </c>
      <c r="X20">
        <f>SUM($E$10:X10)*X10</f>
        <v>17</v>
      </c>
      <c r="Y20">
        <f>SUM($E$10:Y10)*Y10</f>
        <v>18</v>
      </c>
      <c r="Z20">
        <f>SUM($E$10:Z10)*Z10</f>
        <v>19</v>
      </c>
      <c r="AA20">
        <f>SUM($E$10:AA10)*AA10</f>
        <v>20</v>
      </c>
      <c r="AB20">
        <f>SUM($E$10:AB10)*AB10</f>
        <v>21</v>
      </c>
      <c r="AC20">
        <f>SUM($E$10:AC10)*AC10</f>
        <v>22</v>
      </c>
      <c r="AD20">
        <f>SUM($E$10:AD10)*AD10</f>
        <v>23</v>
      </c>
      <c r="AE20">
        <f>SUM($E$10:AE10)*AE10</f>
        <v>24</v>
      </c>
      <c r="AF20">
        <f>SUM($E$10:AF10)*AF10</f>
        <v>25</v>
      </c>
      <c r="AG20">
        <f>SUM($E$10:AG10)*AG10</f>
        <v>26</v>
      </c>
      <c r="AH20">
        <f>SUM($E$10:AH10)*AH10</f>
        <v>27</v>
      </c>
      <c r="AI20">
        <f>SUM($E$10:AI10)*AI10</f>
        <v>28</v>
      </c>
      <c r="AJ20">
        <f>SUM($E$10:AJ10)*AJ10</f>
        <v>29</v>
      </c>
      <c r="AK20">
        <f>SUM($E$10:AK10)*AK10</f>
        <v>30</v>
      </c>
      <c r="AL20">
        <f>SUM($E$10:AL10)*AL10</f>
        <v>31</v>
      </c>
      <c r="AM20">
        <f>SUM($E$10:AM10)*AM10</f>
        <v>32</v>
      </c>
      <c r="AN20">
        <f>SUM($E$10:AN10)*AN10</f>
        <v>33</v>
      </c>
      <c r="AO20">
        <f>SUM($E$10:AO10)*AO10</f>
        <v>34</v>
      </c>
      <c r="AP20">
        <f>SUM($E$10:AP10)*AP10</f>
        <v>35</v>
      </c>
      <c r="AQ20">
        <f>SUM($E$10:AQ10)*AQ10</f>
        <v>36</v>
      </c>
      <c r="AR20">
        <f>SUM($E$10:AR10)*AR10</f>
        <v>37</v>
      </c>
      <c r="AS20">
        <f>SUM($E$10:AS10)*AS10</f>
        <v>38</v>
      </c>
      <c r="AT20">
        <f>SUM($E$10:AT10)*AT10</f>
        <v>39</v>
      </c>
      <c r="AU20">
        <f>SUM($E$10:AU10)*AU10</f>
        <v>40</v>
      </c>
      <c r="AV20">
        <f>SUM($E$10:AV10)*AV10</f>
        <v>41</v>
      </c>
      <c r="AW20">
        <f>SUM($E$10:AW10)*AW10</f>
        <v>42</v>
      </c>
      <c r="AX20">
        <f>SUM($E$10:AX10)*AX10</f>
        <v>43</v>
      </c>
      <c r="AY20">
        <f>SUM($E$10:AY10)*AY10</f>
        <v>44</v>
      </c>
      <c r="AZ20">
        <f>SUM($E$10:AZ10)*AZ10</f>
        <v>45</v>
      </c>
      <c r="BA20">
        <f>SUM($E$10:BA10)*BA10</f>
        <v>46</v>
      </c>
      <c r="BB20">
        <f>SUM($E$10:BB10)*BB10</f>
        <v>47</v>
      </c>
      <c r="BC20">
        <f>SUM($E$10:BC10)*BC10</f>
        <v>48</v>
      </c>
      <c r="BD20">
        <f>SUM($E$10:BD10)*BD10</f>
        <v>49</v>
      </c>
      <c r="BE20">
        <f>SUM($E$10:BE10)*BE10</f>
        <v>50</v>
      </c>
      <c r="BF20">
        <f>SUM($E$10:BF10)*BF10</f>
        <v>51</v>
      </c>
      <c r="BG20">
        <f>SUM($E$10:BG10)*BG10</f>
        <v>52</v>
      </c>
      <c r="BH20">
        <f>SUM($E$10:BH10)*BH10</f>
        <v>53</v>
      </c>
      <c r="BI20">
        <f>SUM($E$10:BI10)*BI10</f>
        <v>54</v>
      </c>
      <c r="BJ20">
        <f>SUM($E$10:BJ10)*BJ10</f>
        <v>55</v>
      </c>
      <c r="BK20">
        <f>SUM($E$10:BK10)*BK10</f>
        <v>56</v>
      </c>
      <c r="BL20">
        <f>SUM($E$10:BL10)*BL10</f>
        <v>57</v>
      </c>
      <c r="BM20">
        <f>SUM($E$10:BM10)*BM10</f>
        <v>58</v>
      </c>
      <c r="BN20">
        <f>SUM($E$10:BN10)*BN10</f>
        <v>59</v>
      </c>
      <c r="BO20">
        <f>SUM($E$10:BO10)*BO10</f>
        <v>60</v>
      </c>
      <c r="BP20">
        <f>SUM($E$10:BP10)*BP10</f>
        <v>61</v>
      </c>
      <c r="BQ20">
        <f>SUM($E$10:BQ10)*BQ10</f>
        <v>0</v>
      </c>
      <c r="BR20">
        <f>SUM($E$10:BR10)*BR10</f>
        <v>0</v>
      </c>
      <c r="BS20">
        <f>SUM($E$10:BS10)*BS10</f>
        <v>0</v>
      </c>
      <c r="BT20">
        <f>SUM($E$10:BT10)*BT10</f>
        <v>0</v>
      </c>
      <c r="BU20">
        <f>SUM($E$10:BU10)*BU10</f>
        <v>0</v>
      </c>
      <c r="BV20">
        <f>SUM($E$10:BV10)*BV10</f>
        <v>0</v>
      </c>
      <c r="BW20">
        <f>SUM($E$10:BW10)*BW10</f>
        <v>0</v>
      </c>
      <c r="BX20">
        <f>SUM($E$10:BX10)*BX10</f>
        <v>0</v>
      </c>
      <c r="BY20">
        <f>SUM($E$10:BY10)*BY10</f>
        <v>0</v>
      </c>
    </row>
    <row r="21" spans="2:77" x14ac:dyDescent="0.3">
      <c r="B21" t="s">
        <v>19</v>
      </c>
      <c r="C21" t="s">
        <v>12</v>
      </c>
      <c r="D21" s="9">
        <f>SUM(F21:BY21)</f>
        <v>2857041.685234881</v>
      </c>
      <c r="F21" s="8">
        <f>-PV($D$18/12,F20,0,F16)</f>
        <v>0</v>
      </c>
      <c r="G21" s="8">
        <f t="shared" ref="G21:BR21" si="52">-PV($D$18/12,G20,0,G16)</f>
        <v>0</v>
      </c>
      <c r="H21" s="8">
        <f t="shared" si="52"/>
        <v>44739.022369511185</v>
      </c>
      <c r="I21" s="8">
        <f t="shared" si="52"/>
        <v>44479.558279547156</v>
      </c>
      <c r="J21" s="8">
        <f t="shared" si="52"/>
        <v>44221.598952325257</v>
      </c>
      <c r="K21" s="8">
        <f t="shared" si="52"/>
        <v>43965.135660969601</v>
      </c>
      <c r="L21" s="8">
        <f t="shared" si="52"/>
        <v>43710.15972921584</v>
      </c>
      <c r="M21" s="8">
        <f t="shared" si="52"/>
        <v>43456.662531117654</v>
      </c>
      <c r="N21" s="8">
        <f t="shared" si="52"/>
        <v>43204.635490754918</v>
      </c>
      <c r="O21" s="8">
        <f t="shared" si="52"/>
        <v>42954.070081943581</v>
      </c>
      <c r="P21" s="8">
        <f t="shared" si="52"/>
        <v>42704.957827947219</v>
      </c>
      <c r="Q21" s="8">
        <f t="shared" si="52"/>
        <v>42457.290301190274</v>
      </c>
      <c r="R21" s="8">
        <f t="shared" si="52"/>
        <v>42211.059122972933</v>
      </c>
      <c r="S21" s="8">
        <f t="shared" si="52"/>
        <v>46162.881559506444</v>
      </c>
      <c r="T21" s="8">
        <f t="shared" si="52"/>
        <v>45895.159794041196</v>
      </c>
      <c r="U21" s="8">
        <f t="shared" si="52"/>
        <v>45628.990681731098</v>
      </c>
      <c r="V21" s="8">
        <f t="shared" si="52"/>
        <v>45364.365217959676</v>
      </c>
      <c r="W21" s="8">
        <f t="shared" si="52"/>
        <v>45101.274450332727</v>
      </c>
      <c r="X21" s="8">
        <f t="shared" si="52"/>
        <v>44839.709478375531</v>
      </c>
      <c r="Y21" s="8">
        <f t="shared" si="52"/>
        <v>44579.661453231682</v>
      </c>
      <c r="Z21" s="8">
        <f t="shared" si="52"/>
        <v>44321.121577363723</v>
      </c>
      <c r="AA21" s="8">
        <f t="shared" si="52"/>
        <v>44064.081104255572</v>
      </c>
      <c r="AB21" s="8">
        <f t="shared" si="52"/>
        <v>43808.531338116554</v>
      </c>
      <c r="AC21" s="8">
        <f t="shared" si="52"/>
        <v>43554.463633587293</v>
      </c>
      <c r="AD21" s="8">
        <f t="shared" si="52"/>
        <v>47632.05633499191</v>
      </c>
      <c r="AE21" s="8">
        <f t="shared" si="52"/>
        <v>47355.814086156002</v>
      </c>
      <c r="AF21" s="8">
        <f t="shared" si="52"/>
        <v>47081.173905043244</v>
      </c>
      <c r="AG21" s="8">
        <f t="shared" si="52"/>
        <v>46808.126500457249</v>
      </c>
      <c r="AH21" s="8">
        <f t="shared" si="52"/>
        <v>46536.662635085908</v>
      </c>
      <c r="AI21" s="8">
        <f t="shared" si="52"/>
        <v>46266.773125188971</v>
      </c>
      <c r="AJ21" s="8">
        <f t="shared" si="52"/>
        <v>45998.448840287296</v>
      </c>
      <c r="AK21" s="8">
        <f t="shared" si="52"/>
        <v>45731.680702853977</v>
      </c>
      <c r="AL21" s="8">
        <f t="shared" si="52"/>
        <v>45466.459688007279</v>
      </c>
      <c r="AM21" s="8">
        <f t="shared" si="52"/>
        <v>45202.77682320524</v>
      </c>
      <c r="AN21" s="8">
        <f t="shared" si="52"/>
        <v>44940.623187942248</v>
      </c>
      <c r="AO21" s="8">
        <f t="shared" si="52"/>
        <v>49147.988904791855</v>
      </c>
      <c r="AP21" s="8">
        <f t="shared" si="52"/>
        <v>48862.955000621565</v>
      </c>
      <c r="AQ21" s="8">
        <f t="shared" si="52"/>
        <v>48579.574151405031</v>
      </c>
      <c r="AR21" s="8">
        <f t="shared" si="52"/>
        <v>48297.836770245267</v>
      </c>
      <c r="AS21" s="8">
        <f t="shared" si="52"/>
        <v>48017.7333258445</v>
      </c>
      <c r="AT21" s="8">
        <f t="shared" si="52"/>
        <v>47739.254342181783</v>
      </c>
      <c r="AU21" s="8">
        <f t="shared" si="52"/>
        <v>47462.390398192314</v>
      </c>
      <c r="AV21" s="8">
        <f t="shared" si="52"/>
        <v>47187.132127448858</v>
      </c>
      <c r="AW21" s="8">
        <f t="shared" si="52"/>
        <v>46913.470217844777</v>
      </c>
      <c r="AX21" s="8">
        <f t="shared" si="52"/>
        <v>46641.39541127898</v>
      </c>
      <c r="AY21" s="8">
        <f t="shared" si="52"/>
        <v>46370.898503342811</v>
      </c>
      <c r="AZ21" s="8">
        <f t="shared" si="52"/>
        <v>50712.167377309444</v>
      </c>
      <c r="BA21" s="8">
        <f t="shared" si="52"/>
        <v>50418.062015552059</v>
      </c>
      <c r="BB21" s="8">
        <f t="shared" si="52"/>
        <v>50125.66231869303</v>
      </c>
      <c r="BC21" s="8">
        <f t="shared" si="52"/>
        <v>49834.958394723806</v>
      </c>
      <c r="BD21" s="8">
        <f t="shared" si="52"/>
        <v>49545.940409004601</v>
      </c>
      <c r="BE21" s="8">
        <f t="shared" si="52"/>
        <v>49258.598583931664</v>
      </c>
      <c r="BF21" s="8">
        <f t="shared" si="52"/>
        <v>48972.923198606462</v>
      </c>
      <c r="BG21" s="8">
        <f t="shared" si="52"/>
        <v>48688.904588506841</v>
      </c>
      <c r="BH21" s="8">
        <f t="shared" si="52"/>
        <v>48406.533145160072</v>
      </c>
      <c r="BI21" s="8">
        <f t="shared" si="52"/>
        <v>48125.799315817792</v>
      </c>
      <c r="BJ21" s="8">
        <f t="shared" si="52"/>
        <v>47846.693603132859</v>
      </c>
      <c r="BK21" s="8">
        <f t="shared" si="52"/>
        <v>52326.127221321774</v>
      </c>
      <c r="BL21" s="8">
        <f t="shared" si="52"/>
        <v>52022.661694768947</v>
      </c>
      <c r="BM21" s="8">
        <f t="shared" si="52"/>
        <v>51720.95611741735</v>
      </c>
      <c r="BN21" s="8">
        <f t="shared" si="52"/>
        <v>51421.000282436464</v>
      </c>
      <c r="BO21" s="8">
        <f t="shared" si="52"/>
        <v>51122.78404219036</v>
      </c>
      <c r="BP21" s="8">
        <f t="shared" si="52"/>
        <v>50826.297307894303</v>
      </c>
      <c r="BQ21" s="8">
        <f t="shared" si="52"/>
        <v>0</v>
      </c>
      <c r="BR21" s="8">
        <f t="shared" si="52"/>
        <v>0</v>
      </c>
      <c r="BS21" s="8">
        <f t="shared" ref="BS21:BY21" si="53">-PV($D$18/12,BS20,0,BS16)</f>
        <v>0</v>
      </c>
      <c r="BT21" s="8">
        <f t="shared" si="53"/>
        <v>0</v>
      </c>
      <c r="BU21" s="8">
        <f t="shared" si="53"/>
        <v>0</v>
      </c>
      <c r="BV21" s="8">
        <f t="shared" si="53"/>
        <v>0</v>
      </c>
      <c r="BW21" s="8">
        <f t="shared" si="53"/>
        <v>0</v>
      </c>
      <c r="BX21" s="8">
        <f t="shared" si="53"/>
        <v>0</v>
      </c>
      <c r="BY21" s="8">
        <f t="shared" si="5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Kumari</dc:creator>
  <cp:lastModifiedBy>Rashmi Kumari</cp:lastModifiedBy>
  <dcterms:created xsi:type="dcterms:W3CDTF">2025-10-13T10:27:29Z</dcterms:created>
  <dcterms:modified xsi:type="dcterms:W3CDTF">2025-10-18T15:12:18Z</dcterms:modified>
</cp:coreProperties>
</file>