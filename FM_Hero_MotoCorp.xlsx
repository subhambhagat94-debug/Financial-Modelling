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Subham\upGrad_ Financila Modelling Course\Projects\Module 3\"/>
    </mc:Choice>
  </mc:AlternateContent>
  <xr:revisionPtr revIDLastSave="0" documentId="13_ncr:1_{B77B3C6E-1DA5-481E-AC7E-7F0991C37940}" xr6:coauthVersionLast="47" xr6:coauthVersionMax="47" xr10:uidLastSave="{00000000-0000-0000-0000-000000000000}"/>
  <bookViews>
    <workbookView xWindow="-108" yWindow="-108" windowWidth="23256" windowHeight="12456" activeTab="1" xr2:uid="{00000000-000D-0000-FFFF-FFFF00000000}"/>
  </bookViews>
  <sheets>
    <sheet name="Model" sheetId="1" r:id="rId1"/>
    <sheet name="Notes and Assump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5" i="1" l="1"/>
  <c r="U210" i="1"/>
  <c r="B222" i="1" l="1"/>
  <c r="K193" i="1"/>
  <c r="J205" i="1"/>
  <c r="I205" i="1"/>
  <c r="H205" i="1"/>
  <c r="G205" i="1"/>
  <c r="F205" i="1"/>
  <c r="E205" i="1"/>
  <c r="D205" i="1"/>
  <c r="C205" i="1"/>
  <c r="J202" i="1"/>
  <c r="I202" i="1"/>
  <c r="H202" i="1"/>
  <c r="G202" i="1"/>
  <c r="F202" i="1"/>
  <c r="E202" i="1"/>
  <c r="D202" i="1"/>
  <c r="C202" i="1"/>
  <c r="B205" i="1"/>
  <c r="B204" i="1"/>
  <c r="B202" i="1"/>
  <c r="L198" i="1"/>
  <c r="M198" i="1" s="1"/>
  <c r="N198" i="1" s="1"/>
  <c r="O198" i="1" s="1"/>
  <c r="P198" i="1" s="1"/>
  <c r="J197" i="1"/>
  <c r="K194" i="1" s="1"/>
  <c r="I197" i="1"/>
  <c r="H197" i="1"/>
  <c r="G197" i="1"/>
  <c r="F197" i="1"/>
  <c r="E197" i="1"/>
  <c r="D197" i="1"/>
  <c r="C197" i="1"/>
  <c r="B197" i="1"/>
  <c r="L191" i="1"/>
  <c r="J188" i="1"/>
  <c r="I188" i="1"/>
  <c r="H188" i="1"/>
  <c r="G188" i="1"/>
  <c r="F188" i="1"/>
  <c r="E188" i="1"/>
  <c r="D188" i="1"/>
  <c r="C188" i="1"/>
  <c r="J187" i="1"/>
  <c r="I187" i="1"/>
  <c r="H187" i="1"/>
  <c r="G187" i="1"/>
  <c r="F187" i="1"/>
  <c r="E187" i="1"/>
  <c r="D187" i="1"/>
  <c r="C187" i="1"/>
  <c r="B188" i="1"/>
  <c r="B187" i="1"/>
  <c r="K72" i="1"/>
  <c r="L72" i="1" s="1"/>
  <c r="M72" i="1" s="1"/>
  <c r="N72" i="1" s="1"/>
  <c r="O72" i="1" s="1"/>
  <c r="P72" i="1" s="1"/>
  <c r="K71" i="1"/>
  <c r="L71" i="1" s="1"/>
  <c r="M71" i="1" s="1"/>
  <c r="N71" i="1" s="1"/>
  <c r="O71" i="1" s="1"/>
  <c r="P71" i="1" s="1"/>
  <c r="K70" i="1"/>
  <c r="L70" i="1" s="1"/>
  <c r="M70" i="1" s="1"/>
  <c r="N70" i="1" s="1"/>
  <c r="O70" i="1" s="1"/>
  <c r="P70" i="1" s="1"/>
  <c r="K69" i="1"/>
  <c r="L69" i="1" s="1"/>
  <c r="K68" i="1"/>
  <c r="L68" i="1" s="1"/>
  <c r="M68" i="1" s="1"/>
  <c r="K48" i="1"/>
  <c r="L48" i="1" s="1"/>
  <c r="M48" i="1" s="1"/>
  <c r="N48" i="1" s="1"/>
  <c r="O48" i="1" s="1"/>
  <c r="P48" i="1" s="1"/>
  <c r="K47" i="1"/>
  <c r="L47" i="1" s="1"/>
  <c r="M47" i="1" s="1"/>
  <c r="N47" i="1" s="1"/>
  <c r="O47" i="1" s="1"/>
  <c r="P47" i="1" s="1"/>
  <c r="K46" i="1"/>
  <c r="L46" i="1" s="1"/>
  <c r="M46" i="1" s="1"/>
  <c r="N46" i="1" s="1"/>
  <c r="O46" i="1" s="1"/>
  <c r="P46" i="1" s="1"/>
  <c r="K45" i="1"/>
  <c r="L45" i="1" s="1"/>
  <c r="M45" i="1" s="1"/>
  <c r="N45" i="1" s="1"/>
  <c r="O45" i="1" s="1"/>
  <c r="P45" i="1" s="1"/>
  <c r="P203" i="1" s="1"/>
  <c r="K40" i="1"/>
  <c r="L40" i="1" s="1"/>
  <c r="M40" i="1" s="1"/>
  <c r="N40" i="1" s="1"/>
  <c r="O40" i="1" s="1"/>
  <c r="P40" i="1" s="1"/>
  <c r="L27" i="1"/>
  <c r="M27" i="1" s="1"/>
  <c r="N27" i="1" s="1"/>
  <c r="O27" i="1" s="1"/>
  <c r="P27" i="1" s="1"/>
  <c r="K4" i="1"/>
  <c r="L31" i="1"/>
  <c r="M31" i="1" s="1"/>
  <c r="N31" i="1" s="1"/>
  <c r="O31" i="1" s="1"/>
  <c r="P31" i="1" s="1"/>
  <c r="K24" i="1"/>
  <c r="L24" i="1" s="1"/>
  <c r="M24" i="1" s="1"/>
  <c r="N24" i="1" s="1"/>
  <c r="O24" i="1" s="1"/>
  <c r="P24" i="1" s="1"/>
  <c r="J123" i="1"/>
  <c r="I123" i="1"/>
  <c r="H123" i="1"/>
  <c r="G123" i="1"/>
  <c r="F123" i="1"/>
  <c r="E123" i="1"/>
  <c r="D123" i="1"/>
  <c r="C123" i="1"/>
  <c r="B123" i="1"/>
  <c r="J164" i="1"/>
  <c r="I164" i="1"/>
  <c r="H164" i="1"/>
  <c r="G164" i="1"/>
  <c r="F164" i="1"/>
  <c r="F176" i="1" s="1"/>
  <c r="E164" i="1"/>
  <c r="E176" i="1" s="1"/>
  <c r="D164" i="1"/>
  <c r="D176" i="1" s="1"/>
  <c r="C164" i="1"/>
  <c r="B164" i="1"/>
  <c r="B176" i="1" s="1"/>
  <c r="J162" i="1"/>
  <c r="I162" i="1"/>
  <c r="F162" i="1"/>
  <c r="E162" i="1"/>
  <c r="D162" i="1"/>
  <c r="C162" i="1"/>
  <c r="J161" i="1"/>
  <c r="I161" i="1"/>
  <c r="H161" i="1"/>
  <c r="G161" i="1"/>
  <c r="F161" i="1"/>
  <c r="E161" i="1"/>
  <c r="D161" i="1"/>
  <c r="C161" i="1"/>
  <c r="J160" i="1"/>
  <c r="I160" i="1"/>
  <c r="H160" i="1"/>
  <c r="G160" i="1"/>
  <c r="F160" i="1"/>
  <c r="E160" i="1"/>
  <c r="D160" i="1"/>
  <c r="C160" i="1"/>
  <c r="E159" i="1"/>
  <c r="D159" i="1"/>
  <c r="C159" i="1"/>
  <c r="J158" i="1"/>
  <c r="I158" i="1"/>
  <c r="H158" i="1"/>
  <c r="G158" i="1"/>
  <c r="F158" i="1"/>
  <c r="E158" i="1"/>
  <c r="D158" i="1"/>
  <c r="C158" i="1"/>
  <c r="B162" i="1"/>
  <c r="B161" i="1"/>
  <c r="B160" i="1"/>
  <c r="B179" i="1" s="1"/>
  <c r="B159" i="1"/>
  <c r="B158" i="1"/>
  <c r="J154" i="1"/>
  <c r="I154" i="1"/>
  <c r="H154" i="1"/>
  <c r="G154" i="1"/>
  <c r="F154" i="1"/>
  <c r="E154" i="1"/>
  <c r="D154" i="1"/>
  <c r="C154" i="1"/>
  <c r="J153" i="1"/>
  <c r="I153" i="1"/>
  <c r="H153" i="1"/>
  <c r="G153" i="1"/>
  <c r="F153" i="1"/>
  <c r="E153" i="1"/>
  <c r="D153" i="1"/>
  <c r="C153" i="1"/>
  <c r="J152" i="1"/>
  <c r="I152" i="1"/>
  <c r="H152" i="1"/>
  <c r="G152" i="1"/>
  <c r="F152" i="1"/>
  <c r="E152" i="1"/>
  <c r="D152" i="1"/>
  <c r="C152" i="1"/>
  <c r="J151" i="1"/>
  <c r="I151" i="1"/>
  <c r="H151" i="1"/>
  <c r="G151" i="1"/>
  <c r="F151" i="1"/>
  <c r="E151" i="1"/>
  <c r="D151" i="1"/>
  <c r="C151" i="1"/>
  <c r="J150" i="1"/>
  <c r="I150" i="1"/>
  <c r="H150" i="1"/>
  <c r="G150" i="1"/>
  <c r="F150" i="1"/>
  <c r="E150" i="1"/>
  <c r="D150" i="1"/>
  <c r="C150" i="1"/>
  <c r="J149" i="1"/>
  <c r="I149" i="1"/>
  <c r="H149" i="1"/>
  <c r="G149" i="1"/>
  <c r="F149" i="1"/>
  <c r="E149" i="1"/>
  <c r="D149" i="1"/>
  <c r="C149" i="1"/>
  <c r="B154" i="1"/>
  <c r="B153" i="1"/>
  <c r="B152" i="1"/>
  <c r="B151" i="1"/>
  <c r="B150" i="1"/>
  <c r="B149" i="1"/>
  <c r="B189" i="1" l="1"/>
  <c r="J177" i="1"/>
  <c r="D178" i="1"/>
  <c r="D189" i="1"/>
  <c r="D191" i="1" s="1"/>
  <c r="E170" i="1"/>
  <c r="E173" i="1"/>
  <c r="B171" i="1"/>
  <c r="D169" i="1"/>
  <c r="H148" i="1"/>
  <c r="D172" i="1"/>
  <c r="D181" i="1"/>
  <c r="B172" i="1"/>
  <c r="B173" i="1"/>
  <c r="C168" i="1"/>
  <c r="B156" i="1"/>
  <c r="C180" i="1"/>
  <c r="D168" i="1"/>
  <c r="B178" i="1"/>
  <c r="C178" i="1"/>
  <c r="D180" i="1"/>
  <c r="I171" i="1"/>
  <c r="B169" i="1"/>
  <c r="I168" i="1"/>
  <c r="B170" i="1"/>
  <c r="C169" i="1"/>
  <c r="C172" i="1"/>
  <c r="C181" i="1"/>
  <c r="F170" i="1"/>
  <c r="G170" i="1"/>
  <c r="K123" i="1"/>
  <c r="L123" i="1" s="1"/>
  <c r="M123" i="1" s="1"/>
  <c r="N123" i="1" s="1"/>
  <c r="O123" i="1" s="1"/>
  <c r="P123" i="1" s="1"/>
  <c r="C170" i="1"/>
  <c r="C173" i="1"/>
  <c r="C179" i="1"/>
  <c r="D170" i="1"/>
  <c r="D173" i="1"/>
  <c r="D179" i="1"/>
  <c r="F177" i="1"/>
  <c r="E169" i="1"/>
  <c r="G177" i="1"/>
  <c r="E181" i="1"/>
  <c r="E189" i="1"/>
  <c r="E191" i="1" s="1"/>
  <c r="F181" i="1"/>
  <c r="F189" i="1"/>
  <c r="F191" i="1" s="1"/>
  <c r="I181" i="1"/>
  <c r="P44" i="1"/>
  <c r="F171" i="1"/>
  <c r="E180" i="1"/>
  <c r="G168" i="1"/>
  <c r="G171" i="1"/>
  <c r="B180" i="1"/>
  <c r="E178" i="1"/>
  <c r="C171" i="1"/>
  <c r="E179" i="1"/>
  <c r="G179" i="1"/>
  <c r="E172" i="1"/>
  <c r="F172" i="1"/>
  <c r="H177" i="1"/>
  <c r="M203" i="1"/>
  <c r="G172" i="1"/>
  <c r="I177" i="1"/>
  <c r="N203" i="1"/>
  <c r="O203" i="1"/>
  <c r="H189" i="1"/>
  <c r="H191" i="1" s="1"/>
  <c r="F168" i="1"/>
  <c r="J172" i="1"/>
  <c r="H171" i="1"/>
  <c r="C189" i="1"/>
  <c r="C198" i="1" s="1"/>
  <c r="H179" i="1"/>
  <c r="H168" i="1"/>
  <c r="I179" i="1"/>
  <c r="J189" i="1"/>
  <c r="J191" i="1" s="1"/>
  <c r="C156" i="1"/>
  <c r="D156" i="1"/>
  <c r="L44" i="1"/>
  <c r="C148" i="1"/>
  <c r="E148" i="1"/>
  <c r="M44" i="1"/>
  <c r="I189" i="1"/>
  <c r="I191" i="1" s="1"/>
  <c r="I173" i="1"/>
  <c r="C176" i="1"/>
  <c r="K44" i="1"/>
  <c r="E156" i="1"/>
  <c r="C177" i="1"/>
  <c r="F148" i="1"/>
  <c r="N44" i="1"/>
  <c r="K203" i="1"/>
  <c r="D148" i="1"/>
  <c r="D171" i="1"/>
  <c r="H172" i="1"/>
  <c r="D177" i="1"/>
  <c r="E168" i="1"/>
  <c r="I169" i="1"/>
  <c r="E171" i="1"/>
  <c r="I172" i="1"/>
  <c r="G148" i="1"/>
  <c r="E177" i="1"/>
  <c r="G169" i="1"/>
  <c r="G176" i="1"/>
  <c r="O44" i="1"/>
  <c r="L203" i="1"/>
  <c r="B191" i="1"/>
  <c r="B198" i="1"/>
  <c r="J179" i="1"/>
  <c r="J168" i="1"/>
  <c r="I148" i="1"/>
  <c r="B148" i="1"/>
  <c r="B168" i="1"/>
  <c r="F173" i="1"/>
  <c r="H169" i="1"/>
  <c r="H180" i="1"/>
  <c r="H176" i="1"/>
  <c r="H170" i="1"/>
  <c r="G180" i="1"/>
  <c r="D198" i="1"/>
  <c r="J176" i="1"/>
  <c r="J180" i="1"/>
  <c r="J170" i="1"/>
  <c r="J173" i="1"/>
  <c r="J181" i="1"/>
  <c r="J169" i="1"/>
  <c r="J171" i="1"/>
  <c r="F179" i="1"/>
  <c r="F169" i="1"/>
  <c r="J148" i="1"/>
  <c r="F180" i="1"/>
  <c r="G173" i="1"/>
  <c r="H173" i="1"/>
  <c r="I180" i="1"/>
  <c r="I170" i="1"/>
  <c r="I176" i="1"/>
  <c r="B177" i="1"/>
  <c r="B181" i="1"/>
  <c r="M191" i="1"/>
  <c r="G189" i="1"/>
  <c r="G191" i="1" s="1"/>
  <c r="N68" i="1"/>
  <c r="M69" i="1"/>
  <c r="N69" i="1" s="1"/>
  <c r="O69" i="1" s="1"/>
  <c r="P69" i="1" s="1"/>
  <c r="J122" i="1"/>
  <c r="I122" i="1"/>
  <c r="H122" i="1"/>
  <c r="G122" i="1"/>
  <c r="F122" i="1"/>
  <c r="E122" i="1"/>
  <c r="D122" i="1"/>
  <c r="C122" i="1"/>
  <c r="B122" i="1"/>
  <c r="J121" i="1"/>
  <c r="I121" i="1"/>
  <c r="H121" i="1"/>
  <c r="G121" i="1"/>
  <c r="F121" i="1"/>
  <c r="E121" i="1"/>
  <c r="D121" i="1"/>
  <c r="C121" i="1"/>
  <c r="B121" i="1"/>
  <c r="J120" i="1"/>
  <c r="I120" i="1"/>
  <c r="H120" i="1"/>
  <c r="G120" i="1"/>
  <c r="F120" i="1"/>
  <c r="E120" i="1"/>
  <c r="D120" i="1"/>
  <c r="C120" i="1"/>
  <c r="B120" i="1"/>
  <c r="J119" i="1"/>
  <c r="I119" i="1"/>
  <c r="H119" i="1"/>
  <c r="G119" i="1"/>
  <c r="F119" i="1"/>
  <c r="E119" i="1"/>
  <c r="D119" i="1"/>
  <c r="C119" i="1"/>
  <c r="B119" i="1"/>
  <c r="L4" i="1"/>
  <c r="M4" i="1" s="1"/>
  <c r="J91" i="1"/>
  <c r="J92" i="1"/>
  <c r="I92" i="1"/>
  <c r="I91" i="1"/>
  <c r="D183" i="1" l="1"/>
  <c r="B183" i="1"/>
  <c r="C191" i="1"/>
  <c r="J198" i="1"/>
  <c r="K172" i="1"/>
  <c r="L172" i="1" s="1"/>
  <c r="M172" i="1" s="1"/>
  <c r="N172" i="1" s="1"/>
  <c r="O172" i="1" s="1"/>
  <c r="P172" i="1" s="1"/>
  <c r="H198" i="1"/>
  <c r="F198" i="1"/>
  <c r="K168" i="1"/>
  <c r="L168" i="1" s="1"/>
  <c r="M168" i="1" s="1"/>
  <c r="N168" i="1" s="1"/>
  <c r="O168" i="1" s="1"/>
  <c r="P168" i="1" s="1"/>
  <c r="E183" i="1"/>
  <c r="E184" i="1" s="1"/>
  <c r="E204" i="1" s="1"/>
  <c r="C183" i="1"/>
  <c r="D184" i="1" s="1"/>
  <c r="D204" i="1" s="1"/>
  <c r="K170" i="1"/>
  <c r="L170" i="1" s="1"/>
  <c r="M170" i="1" s="1"/>
  <c r="N170" i="1" s="1"/>
  <c r="O170" i="1" s="1"/>
  <c r="P170" i="1" s="1"/>
  <c r="I198" i="1"/>
  <c r="E198" i="1"/>
  <c r="K171" i="1"/>
  <c r="L171" i="1" s="1"/>
  <c r="M171" i="1" s="1"/>
  <c r="N171" i="1" s="1"/>
  <c r="O171" i="1" s="1"/>
  <c r="P171" i="1" s="1"/>
  <c r="K176" i="1"/>
  <c r="L176" i="1" s="1"/>
  <c r="M176" i="1" s="1"/>
  <c r="N176" i="1" s="1"/>
  <c r="O176" i="1" s="1"/>
  <c r="P176" i="1" s="1"/>
  <c r="K177" i="1"/>
  <c r="L177" i="1" s="1"/>
  <c r="M177" i="1" s="1"/>
  <c r="N177" i="1" s="1"/>
  <c r="O177" i="1" s="1"/>
  <c r="P177" i="1" s="1"/>
  <c r="K180" i="1"/>
  <c r="L180" i="1" s="1"/>
  <c r="M180" i="1" s="1"/>
  <c r="N180" i="1" s="1"/>
  <c r="O180" i="1" s="1"/>
  <c r="P180" i="1" s="1"/>
  <c r="K169" i="1"/>
  <c r="L169" i="1" s="1"/>
  <c r="M169" i="1" s="1"/>
  <c r="N169" i="1" s="1"/>
  <c r="O169" i="1" s="1"/>
  <c r="P169" i="1" s="1"/>
  <c r="K122" i="1"/>
  <c r="L122" i="1" s="1"/>
  <c r="M122" i="1" s="1"/>
  <c r="N122" i="1" s="1"/>
  <c r="O122" i="1" s="1"/>
  <c r="P122" i="1" s="1"/>
  <c r="K121" i="1"/>
  <c r="L121" i="1" s="1"/>
  <c r="M121" i="1" s="1"/>
  <c r="N121" i="1" s="1"/>
  <c r="O121" i="1" s="1"/>
  <c r="P121" i="1" s="1"/>
  <c r="K173" i="1"/>
  <c r="L173" i="1" s="1"/>
  <c r="M173" i="1" s="1"/>
  <c r="N173" i="1" s="1"/>
  <c r="O173" i="1" s="1"/>
  <c r="P173" i="1" s="1"/>
  <c r="N191" i="1"/>
  <c r="K119" i="1"/>
  <c r="L119" i="1" s="1"/>
  <c r="M119" i="1" s="1"/>
  <c r="N119" i="1" s="1"/>
  <c r="O119" i="1" s="1"/>
  <c r="P119" i="1" s="1"/>
  <c r="K120" i="1"/>
  <c r="L120" i="1" s="1"/>
  <c r="M120" i="1" s="1"/>
  <c r="N120" i="1" s="1"/>
  <c r="O120" i="1" s="1"/>
  <c r="P120" i="1" s="1"/>
  <c r="K179" i="1"/>
  <c r="L179" i="1" s="1"/>
  <c r="M179" i="1" s="1"/>
  <c r="N179" i="1" s="1"/>
  <c r="O179" i="1" s="1"/>
  <c r="P179" i="1" s="1"/>
  <c r="G198" i="1"/>
  <c r="O68" i="1"/>
  <c r="N4" i="1"/>
  <c r="J110" i="1"/>
  <c r="I110" i="1"/>
  <c r="H110" i="1"/>
  <c r="G110" i="1"/>
  <c r="F110" i="1"/>
  <c r="E110" i="1"/>
  <c r="D110" i="1"/>
  <c r="C110" i="1"/>
  <c r="B110" i="1"/>
  <c r="J109" i="1"/>
  <c r="I109" i="1"/>
  <c r="H109" i="1"/>
  <c r="G109" i="1"/>
  <c r="F109" i="1"/>
  <c r="E109" i="1"/>
  <c r="D109" i="1"/>
  <c r="C109" i="1"/>
  <c r="B109" i="1"/>
  <c r="J106" i="1"/>
  <c r="I106" i="1"/>
  <c r="H106" i="1"/>
  <c r="G106" i="1"/>
  <c r="F106" i="1"/>
  <c r="E106" i="1"/>
  <c r="D106" i="1"/>
  <c r="C106" i="1"/>
  <c r="J105" i="1"/>
  <c r="I105" i="1"/>
  <c r="H105" i="1"/>
  <c r="G105" i="1"/>
  <c r="F105" i="1"/>
  <c r="E105" i="1"/>
  <c r="D105" i="1"/>
  <c r="C105" i="1"/>
  <c r="J104" i="1"/>
  <c r="I104" i="1"/>
  <c r="H104" i="1"/>
  <c r="G104" i="1"/>
  <c r="F104" i="1"/>
  <c r="E104" i="1"/>
  <c r="D104" i="1"/>
  <c r="C104" i="1"/>
  <c r="B104" i="1"/>
  <c r="B93" i="1"/>
  <c r="G93" i="1"/>
  <c r="J98" i="1"/>
  <c r="I98" i="1"/>
  <c r="H98" i="1"/>
  <c r="G98" i="1"/>
  <c r="F98" i="1"/>
  <c r="E98" i="1"/>
  <c r="D98" i="1"/>
  <c r="J97" i="1"/>
  <c r="I97" i="1"/>
  <c r="H97" i="1"/>
  <c r="G97" i="1"/>
  <c r="F97" i="1"/>
  <c r="E97" i="1"/>
  <c r="D97" i="1"/>
  <c r="C97" i="1"/>
  <c r="J93" i="1"/>
  <c r="I93" i="1"/>
  <c r="I114" i="1" s="1"/>
  <c r="H93" i="1"/>
  <c r="H114" i="1" s="1"/>
  <c r="F93" i="1"/>
  <c r="E93" i="1"/>
  <c r="D93" i="1"/>
  <c r="C93" i="1"/>
  <c r="C114" i="1" s="1"/>
  <c r="C98" i="1"/>
  <c r="J89" i="1"/>
  <c r="I89" i="1"/>
  <c r="H89" i="1"/>
  <c r="G89" i="1"/>
  <c r="F89" i="1"/>
  <c r="E89" i="1"/>
  <c r="D89" i="1"/>
  <c r="C89" i="1"/>
  <c r="F53" i="1"/>
  <c r="H56" i="1"/>
  <c r="H162" i="1" s="1"/>
  <c r="H181" i="1" s="1"/>
  <c r="G56" i="1"/>
  <c r="G162" i="1" s="1"/>
  <c r="G181" i="1" s="1"/>
  <c r="K181" i="1" s="1"/>
  <c r="L181" i="1" s="1"/>
  <c r="M181" i="1" s="1"/>
  <c r="N181" i="1" s="1"/>
  <c r="O181" i="1" s="1"/>
  <c r="P181" i="1" s="1"/>
  <c r="I53" i="1"/>
  <c r="I78" i="1"/>
  <c r="I74" i="1" s="1"/>
  <c r="J53" i="1"/>
  <c r="H30" i="1"/>
  <c r="G30" i="1"/>
  <c r="H53" i="1"/>
  <c r="H159" i="1" s="1"/>
  <c r="G53" i="1"/>
  <c r="G159" i="1" s="1"/>
  <c r="H78" i="1"/>
  <c r="H74" i="1" s="1"/>
  <c r="G78" i="1"/>
  <c r="G74" i="1" s="1"/>
  <c r="F30" i="1"/>
  <c r="E30" i="1"/>
  <c r="F27" i="1"/>
  <c r="F78" i="1"/>
  <c r="F74" i="1" s="1"/>
  <c r="E78" i="1"/>
  <c r="E74" i="1" s="1"/>
  <c r="D30" i="1"/>
  <c r="C30" i="1"/>
  <c r="D78" i="1"/>
  <c r="D74" i="1" s="1"/>
  <c r="C78" i="1"/>
  <c r="C74" i="1" s="1"/>
  <c r="B6" i="1"/>
  <c r="J78" i="1"/>
  <c r="J74" i="1"/>
  <c r="B74" i="1"/>
  <c r="J61" i="1"/>
  <c r="I61" i="1"/>
  <c r="H61" i="1"/>
  <c r="G61" i="1"/>
  <c r="F61" i="1"/>
  <c r="E61" i="1"/>
  <c r="D61" i="1"/>
  <c r="C61" i="1"/>
  <c r="B61" i="1"/>
  <c r="E50" i="1"/>
  <c r="D50" i="1"/>
  <c r="C50" i="1"/>
  <c r="B50" i="1"/>
  <c r="J44" i="1"/>
  <c r="I44" i="1"/>
  <c r="H44" i="1"/>
  <c r="G44" i="1"/>
  <c r="F44" i="1"/>
  <c r="E44" i="1"/>
  <c r="D44" i="1"/>
  <c r="C44" i="1"/>
  <c r="B44" i="1"/>
  <c r="J42" i="1"/>
  <c r="I42" i="1"/>
  <c r="H42" i="1"/>
  <c r="G42" i="1"/>
  <c r="F42" i="1"/>
  <c r="E42" i="1"/>
  <c r="D42" i="1"/>
  <c r="C42" i="1"/>
  <c r="B42" i="1"/>
  <c r="J16" i="1"/>
  <c r="I16" i="1"/>
  <c r="H16" i="1"/>
  <c r="G16" i="1"/>
  <c r="F16" i="1"/>
  <c r="E16" i="1"/>
  <c r="D16" i="1"/>
  <c r="C16" i="1"/>
  <c r="B16" i="1"/>
  <c r="J6" i="1"/>
  <c r="I6" i="1"/>
  <c r="H6" i="1"/>
  <c r="G6" i="1"/>
  <c r="F6" i="1"/>
  <c r="E6" i="1"/>
  <c r="D6" i="1"/>
  <c r="C6" i="1"/>
  <c r="C1" i="1"/>
  <c r="D1" i="1" s="1"/>
  <c r="E1" i="1" s="1"/>
  <c r="F1" i="1" s="1"/>
  <c r="G1" i="1" s="1"/>
  <c r="H1" i="1" s="1"/>
  <c r="I1" i="1" s="1"/>
  <c r="J1" i="1" s="1"/>
  <c r="K1" i="1" s="1"/>
  <c r="L1" i="1" l="1"/>
  <c r="J209" i="1"/>
  <c r="K207" i="1" s="1"/>
  <c r="B220" i="1"/>
  <c r="C184" i="1"/>
  <c r="C204" i="1" s="1"/>
  <c r="K105" i="1"/>
  <c r="K102" i="1" s="1"/>
  <c r="J50" i="1"/>
  <c r="J57" i="1" s="1"/>
  <c r="J159" i="1"/>
  <c r="G95" i="1"/>
  <c r="G114" i="1"/>
  <c r="H115" i="1" s="1"/>
  <c r="I50" i="1"/>
  <c r="I57" i="1" s="1"/>
  <c r="I159" i="1"/>
  <c r="B95" i="1"/>
  <c r="B114" i="1"/>
  <c r="C115" i="1" s="1"/>
  <c r="D95" i="1"/>
  <c r="D114" i="1"/>
  <c r="D115" i="1" s="1"/>
  <c r="F50" i="1"/>
  <c r="F57" i="1" s="1"/>
  <c r="F159" i="1"/>
  <c r="E95" i="1"/>
  <c r="E114" i="1"/>
  <c r="F111" i="1"/>
  <c r="F114" i="1"/>
  <c r="G178" i="1"/>
  <c r="G156" i="1"/>
  <c r="G183" i="1" s="1"/>
  <c r="I115" i="1"/>
  <c r="G111" i="1"/>
  <c r="K106" i="1"/>
  <c r="H178" i="1"/>
  <c r="H156" i="1"/>
  <c r="H183" i="1" s="1"/>
  <c r="J95" i="1"/>
  <c r="J114" i="1"/>
  <c r="O191" i="1"/>
  <c r="P68" i="1"/>
  <c r="O4" i="1"/>
  <c r="B111" i="1"/>
  <c r="C111" i="1"/>
  <c r="D111" i="1"/>
  <c r="E111" i="1"/>
  <c r="H111" i="1"/>
  <c r="I111" i="1"/>
  <c r="J111" i="1"/>
  <c r="J99" i="1"/>
  <c r="B85" i="1"/>
  <c r="G99" i="1"/>
  <c r="I95" i="1"/>
  <c r="I99" i="1"/>
  <c r="H95" i="1"/>
  <c r="H99" i="1"/>
  <c r="F95" i="1"/>
  <c r="F99" i="1"/>
  <c r="D99" i="1"/>
  <c r="E99" i="1"/>
  <c r="C99" i="1"/>
  <c r="C95" i="1"/>
  <c r="I18" i="1"/>
  <c r="I22" i="1" s="1"/>
  <c r="I26" i="1" s="1"/>
  <c r="I28" i="1" s="1"/>
  <c r="I32" i="1" s="1"/>
  <c r="I35" i="1" s="1"/>
  <c r="I201" i="1" s="1"/>
  <c r="G50" i="1"/>
  <c r="G57" i="1" s="1"/>
  <c r="J85" i="1"/>
  <c r="J18" i="1"/>
  <c r="J22" i="1" s="1"/>
  <c r="J26" i="1" s="1"/>
  <c r="J28" i="1" s="1"/>
  <c r="J32" i="1" s="1"/>
  <c r="J35" i="1" s="1"/>
  <c r="J201" i="1" s="1"/>
  <c r="H18" i="1"/>
  <c r="H22" i="1" s="1"/>
  <c r="H26" i="1" s="1"/>
  <c r="H28" i="1" s="1"/>
  <c r="H32" i="1" s="1"/>
  <c r="H35" i="1" s="1"/>
  <c r="H201" i="1" s="1"/>
  <c r="G18" i="1"/>
  <c r="G22" i="1" s="1"/>
  <c r="G26" i="1" s="1"/>
  <c r="G28" i="1" s="1"/>
  <c r="G32" i="1" s="1"/>
  <c r="G35" i="1" s="1"/>
  <c r="G201" i="1" s="1"/>
  <c r="H50" i="1"/>
  <c r="H57" i="1" s="1"/>
  <c r="G85" i="1"/>
  <c r="F18" i="1"/>
  <c r="F22" i="1" s="1"/>
  <c r="F26" i="1" s="1"/>
  <c r="F28" i="1" s="1"/>
  <c r="F32" i="1" s="1"/>
  <c r="F35" i="1" s="1"/>
  <c r="F201" i="1" s="1"/>
  <c r="E57" i="1"/>
  <c r="F85" i="1"/>
  <c r="E85" i="1"/>
  <c r="E18" i="1"/>
  <c r="E22" i="1" s="1"/>
  <c r="E26" i="1" s="1"/>
  <c r="E28" i="1" s="1"/>
  <c r="E32" i="1" s="1"/>
  <c r="E35" i="1" s="1"/>
  <c r="E201" i="1" s="1"/>
  <c r="C18" i="1"/>
  <c r="C22" i="1" s="1"/>
  <c r="C26" i="1" s="1"/>
  <c r="C28" i="1" s="1"/>
  <c r="C32" i="1" s="1"/>
  <c r="C35" i="1" s="1"/>
  <c r="C201" i="1" s="1"/>
  <c r="D18" i="1"/>
  <c r="D22" i="1" s="1"/>
  <c r="D26" i="1" s="1"/>
  <c r="D28" i="1" s="1"/>
  <c r="D32" i="1" s="1"/>
  <c r="D35" i="1" s="1"/>
  <c r="D201" i="1" s="1"/>
  <c r="D57" i="1"/>
  <c r="C57" i="1"/>
  <c r="C85" i="1"/>
  <c r="H85" i="1"/>
  <c r="I85" i="1"/>
  <c r="D85" i="1"/>
  <c r="B18" i="1"/>
  <c r="B22" i="1" s="1"/>
  <c r="B26" i="1" s="1"/>
  <c r="B28" i="1" s="1"/>
  <c r="B32" i="1" s="1"/>
  <c r="B35" i="1" s="1"/>
  <c r="B201" i="1" s="1"/>
  <c r="B57" i="1"/>
  <c r="H184" i="1" l="1"/>
  <c r="H204" i="1" s="1"/>
  <c r="M1" i="1"/>
  <c r="L105" i="1"/>
  <c r="M105" i="1" s="1"/>
  <c r="N105" i="1" s="1"/>
  <c r="O105" i="1" s="1"/>
  <c r="P105" i="1" s="1"/>
  <c r="F115" i="1"/>
  <c r="B86" i="1"/>
  <c r="K111" i="1"/>
  <c r="L111" i="1" s="1"/>
  <c r="M111" i="1" s="1"/>
  <c r="N111" i="1" s="1"/>
  <c r="O111" i="1" s="1"/>
  <c r="P111" i="1" s="1"/>
  <c r="I178" i="1"/>
  <c r="I156" i="1"/>
  <c r="I183" i="1" s="1"/>
  <c r="L106" i="1"/>
  <c r="M106" i="1" s="1"/>
  <c r="N106" i="1" s="1"/>
  <c r="O106" i="1" s="1"/>
  <c r="P106" i="1" s="1"/>
  <c r="K103" i="1"/>
  <c r="P191" i="1"/>
  <c r="E115" i="1"/>
  <c r="J178" i="1"/>
  <c r="J156" i="1"/>
  <c r="J183" i="1" s="1"/>
  <c r="F178" i="1"/>
  <c r="F156" i="1"/>
  <c r="F183" i="1" s="1"/>
  <c r="F184" i="1" s="1"/>
  <c r="L102" i="1"/>
  <c r="G115" i="1"/>
  <c r="J115" i="1"/>
  <c r="P4" i="1"/>
  <c r="I86" i="1"/>
  <c r="J86" i="1"/>
  <c r="G86" i="1"/>
  <c r="H86" i="1"/>
  <c r="F86" i="1"/>
  <c r="E86" i="1"/>
  <c r="D86" i="1"/>
  <c r="C86" i="1"/>
  <c r="N1" i="1" l="1"/>
  <c r="L103" i="1"/>
  <c r="M103" i="1" s="1"/>
  <c r="N103" i="1" s="1"/>
  <c r="O103" i="1" s="1"/>
  <c r="P103" i="1" s="1"/>
  <c r="K104" i="1"/>
  <c r="K115" i="1"/>
  <c r="I184" i="1"/>
  <c r="I204" i="1" s="1"/>
  <c r="J184" i="1"/>
  <c r="J204" i="1" s="1"/>
  <c r="G184" i="1"/>
  <c r="L115" i="1"/>
  <c r="M115" i="1" s="1"/>
  <c r="N115" i="1" s="1"/>
  <c r="O115" i="1" s="1"/>
  <c r="P115" i="1" s="1"/>
  <c r="K114" i="1"/>
  <c r="L114" i="1" s="1"/>
  <c r="M114" i="1" s="1"/>
  <c r="K93" i="1"/>
  <c r="G204" i="1"/>
  <c r="F204" i="1"/>
  <c r="M102" i="1"/>
  <c r="L104" i="1"/>
  <c r="L93" i="1" s="1"/>
  <c r="K178" i="1"/>
  <c r="L178" i="1" s="1"/>
  <c r="M178" i="1" s="1"/>
  <c r="N178" i="1" s="1"/>
  <c r="O178" i="1" s="1"/>
  <c r="P178" i="1" s="1"/>
  <c r="K3" i="1" l="1"/>
  <c r="O1" i="1"/>
  <c r="N114" i="1"/>
  <c r="O114" i="1" s="1"/>
  <c r="P114" i="1" s="1"/>
  <c r="L3" i="1"/>
  <c r="M104" i="1"/>
  <c r="M93" i="1" s="1"/>
  <c r="M3" i="1" s="1"/>
  <c r="N102" i="1"/>
  <c r="P1" i="1" l="1"/>
  <c r="L6" i="1"/>
  <c r="L10" i="1"/>
  <c r="L13" i="1"/>
  <c r="L11" i="1"/>
  <c r="L12" i="1"/>
  <c r="L164" i="1"/>
  <c r="L157" i="1" s="1"/>
  <c r="L9" i="1"/>
  <c r="K12" i="1"/>
  <c r="K10" i="1"/>
  <c r="K11" i="1"/>
  <c r="K164" i="1"/>
  <c r="K13" i="1"/>
  <c r="K6" i="1"/>
  <c r="K9" i="1"/>
  <c r="O102" i="1"/>
  <c r="N104" i="1"/>
  <c r="N93" i="1" s="1"/>
  <c r="N3" i="1" s="1"/>
  <c r="Q1" i="1" l="1"/>
  <c r="L16" i="1"/>
  <c r="L18" i="1"/>
  <c r="K162" i="1"/>
  <c r="K56" i="1" s="1"/>
  <c r="K158" i="1"/>
  <c r="K52" i="1" s="1"/>
  <c r="K153" i="1"/>
  <c r="K81" i="1" s="1"/>
  <c r="K151" i="1"/>
  <c r="K79" i="1" s="1"/>
  <c r="K154" i="1"/>
  <c r="K82" i="1" s="1"/>
  <c r="K150" i="1"/>
  <c r="K77" i="1" s="1"/>
  <c r="K160" i="1"/>
  <c r="K54" i="1" s="1"/>
  <c r="K149" i="1"/>
  <c r="K161" i="1"/>
  <c r="K55" i="1" s="1"/>
  <c r="K159" i="1"/>
  <c r="K53" i="1" s="1"/>
  <c r="K157" i="1"/>
  <c r="K152" i="1"/>
  <c r="K80" i="1" s="1"/>
  <c r="M164" i="1"/>
  <c r="M157" i="1" s="1"/>
  <c r="M11" i="1"/>
  <c r="M9" i="1"/>
  <c r="M6" i="1"/>
  <c r="M12" i="1"/>
  <c r="M10" i="1"/>
  <c r="M13" i="1"/>
  <c r="L153" i="1"/>
  <c r="L81" i="1" s="1"/>
  <c r="L149" i="1"/>
  <c r="L161" i="1"/>
  <c r="L55" i="1" s="1"/>
  <c r="L158" i="1"/>
  <c r="L52" i="1" s="1"/>
  <c r="L151" i="1"/>
  <c r="L79" i="1" s="1"/>
  <c r="L150" i="1"/>
  <c r="L77" i="1" s="1"/>
  <c r="L160" i="1"/>
  <c r="L54" i="1" s="1"/>
  <c r="L162" i="1"/>
  <c r="L56" i="1" s="1"/>
  <c r="L159" i="1"/>
  <c r="L53" i="1" s="1"/>
  <c r="L154" i="1"/>
  <c r="L82" i="1" s="1"/>
  <c r="L152" i="1"/>
  <c r="L80" i="1" s="1"/>
  <c r="P102" i="1"/>
  <c r="P104" i="1" s="1"/>
  <c r="P93" i="1" s="1"/>
  <c r="P3" i="1" s="1"/>
  <c r="O104" i="1"/>
  <c r="O93" i="1" s="1"/>
  <c r="O3" i="1" s="1"/>
  <c r="K16" i="1"/>
  <c r="K18" i="1" s="1"/>
  <c r="K50" i="1" l="1"/>
  <c r="R1" i="1"/>
  <c r="K156" i="1"/>
  <c r="K76" i="1"/>
  <c r="K148" i="1"/>
  <c r="M16" i="1"/>
  <c r="M18" i="1" s="1"/>
  <c r="L50" i="1"/>
  <c r="L148" i="1"/>
  <c r="L76" i="1"/>
  <c r="N11" i="1"/>
  <c r="N12" i="1"/>
  <c r="N9" i="1"/>
  <c r="N164" i="1"/>
  <c r="N157" i="1" s="1"/>
  <c r="N10" i="1"/>
  <c r="N13" i="1"/>
  <c r="N6" i="1"/>
  <c r="L156" i="1"/>
  <c r="M154" i="1"/>
  <c r="M82" i="1" s="1"/>
  <c r="M160" i="1"/>
  <c r="M54" i="1" s="1"/>
  <c r="M152" i="1"/>
  <c r="M80" i="1" s="1"/>
  <c r="M162" i="1"/>
  <c r="M56" i="1" s="1"/>
  <c r="M153" i="1"/>
  <c r="M81" i="1" s="1"/>
  <c r="M149" i="1"/>
  <c r="M150" i="1"/>
  <c r="M77" i="1" s="1"/>
  <c r="M158" i="1"/>
  <c r="M52" i="1" s="1"/>
  <c r="M151" i="1"/>
  <c r="M79" i="1" s="1"/>
  <c r="M161" i="1"/>
  <c r="M55" i="1" s="1"/>
  <c r="M159" i="1"/>
  <c r="M53" i="1" s="1"/>
  <c r="S1" i="1" l="1"/>
  <c r="M50" i="1"/>
  <c r="K183" i="1"/>
  <c r="P6" i="1"/>
  <c r="P164" i="1"/>
  <c r="P157" i="1" s="1"/>
  <c r="P11" i="1"/>
  <c r="P9" i="1"/>
  <c r="P10" i="1"/>
  <c r="P12" i="1"/>
  <c r="P13" i="1"/>
  <c r="N159" i="1"/>
  <c r="N53" i="1" s="1"/>
  <c r="N150" i="1"/>
  <c r="N77" i="1" s="1"/>
  <c r="N152" i="1"/>
  <c r="N80" i="1" s="1"/>
  <c r="N162" i="1"/>
  <c r="N56" i="1" s="1"/>
  <c r="N158" i="1"/>
  <c r="N52" i="1" s="1"/>
  <c r="N153" i="1"/>
  <c r="N81" i="1" s="1"/>
  <c r="N151" i="1"/>
  <c r="N79" i="1" s="1"/>
  <c r="N149" i="1"/>
  <c r="N154" i="1"/>
  <c r="N82" i="1" s="1"/>
  <c r="N160" i="1"/>
  <c r="N54" i="1" s="1"/>
  <c r="N161" i="1"/>
  <c r="N55" i="1" s="1"/>
  <c r="N16" i="1"/>
  <c r="N18" i="1" s="1"/>
  <c r="L183" i="1"/>
  <c r="O9" i="1"/>
  <c r="O10" i="1"/>
  <c r="O11" i="1"/>
  <c r="O12" i="1"/>
  <c r="O164" i="1"/>
  <c r="O157" i="1" s="1"/>
  <c r="O13" i="1"/>
  <c r="O6" i="1"/>
  <c r="M156" i="1"/>
  <c r="M148" i="1"/>
  <c r="M76" i="1"/>
  <c r="T1" i="1" l="1"/>
  <c r="N50" i="1"/>
  <c r="K184" i="1"/>
  <c r="K204" i="1" s="1"/>
  <c r="L184" i="1"/>
  <c r="L204" i="1"/>
  <c r="P16" i="1"/>
  <c r="P18" i="1" s="1"/>
  <c r="O162" i="1"/>
  <c r="O56" i="1" s="1"/>
  <c r="O149" i="1"/>
  <c r="O152" i="1"/>
  <c r="O80" i="1" s="1"/>
  <c r="O158" i="1"/>
  <c r="O52" i="1" s="1"/>
  <c r="O159" i="1"/>
  <c r="O53" i="1" s="1"/>
  <c r="O151" i="1"/>
  <c r="O79" i="1" s="1"/>
  <c r="O161" i="1"/>
  <c r="O55" i="1" s="1"/>
  <c r="O154" i="1"/>
  <c r="O82" i="1" s="1"/>
  <c r="O150" i="1"/>
  <c r="O77" i="1" s="1"/>
  <c r="O160" i="1"/>
  <c r="O54" i="1" s="1"/>
  <c r="O153" i="1"/>
  <c r="O81" i="1" s="1"/>
  <c r="P150" i="1"/>
  <c r="P77" i="1" s="1"/>
  <c r="P160" i="1"/>
  <c r="P54" i="1" s="1"/>
  <c r="P153" i="1"/>
  <c r="P81" i="1" s="1"/>
  <c r="P151" i="1"/>
  <c r="P79" i="1" s="1"/>
  <c r="P161" i="1"/>
  <c r="P55" i="1" s="1"/>
  <c r="P154" i="1"/>
  <c r="P82" i="1" s="1"/>
  <c r="P158" i="1"/>
  <c r="P52" i="1" s="1"/>
  <c r="P162" i="1"/>
  <c r="P56" i="1" s="1"/>
  <c r="P149" i="1"/>
  <c r="P159" i="1"/>
  <c r="P53" i="1" s="1"/>
  <c r="P152" i="1"/>
  <c r="P80" i="1" s="1"/>
  <c r="O16" i="1"/>
  <c r="O18" i="1" s="1"/>
  <c r="M183" i="1"/>
  <c r="N156" i="1"/>
  <c r="N76" i="1"/>
  <c r="N148" i="1"/>
  <c r="M184" i="1" l="1"/>
  <c r="M204" i="1" s="1"/>
  <c r="O50" i="1"/>
  <c r="O156" i="1"/>
  <c r="P50" i="1"/>
  <c r="O148" i="1"/>
  <c r="O183" i="1" s="1"/>
  <c r="O76" i="1"/>
  <c r="P148" i="1"/>
  <c r="P76" i="1"/>
  <c r="N183" i="1"/>
  <c r="N184" i="1" s="1"/>
  <c r="P156" i="1"/>
  <c r="O184" i="1" l="1"/>
  <c r="N204" i="1"/>
  <c r="O204" i="1"/>
  <c r="P183" i="1"/>
  <c r="P184" i="1" l="1"/>
  <c r="P204" i="1" s="1"/>
  <c r="K195" i="1"/>
  <c r="L89" i="1"/>
  <c r="M89" i="1"/>
  <c r="M193" i="1" s="1"/>
  <c r="K88" i="1"/>
  <c r="K95" i="1" s="1"/>
  <c r="L88" i="1" l="1"/>
  <c r="L95" i="1" s="1"/>
  <c r="M88" i="1"/>
  <c r="M95" i="1" s="1"/>
  <c r="M189" i="1"/>
  <c r="M197" i="1" s="1"/>
  <c r="L193" i="1"/>
  <c r="L189" i="1"/>
  <c r="L197" i="1" s="1"/>
  <c r="K189" i="1"/>
  <c r="K197" i="1" s="1"/>
  <c r="N89" i="1"/>
  <c r="K205" i="1"/>
  <c r="K62" i="1"/>
  <c r="N88" i="1" l="1"/>
  <c r="N193" i="1"/>
  <c r="O89" i="1"/>
  <c r="K20" i="1"/>
  <c r="L194" i="1"/>
  <c r="L195" i="1" s="1"/>
  <c r="L20" i="1"/>
  <c r="M194" i="1"/>
  <c r="M195" i="1" s="1"/>
  <c r="M205" i="1" s="1"/>
  <c r="M20" i="1"/>
  <c r="N194" i="1"/>
  <c r="N195" i="1" s="1"/>
  <c r="N205" i="1" s="1"/>
  <c r="K61" i="1"/>
  <c r="L205" i="1" l="1"/>
  <c r="L62" i="1"/>
  <c r="M202" i="1"/>
  <c r="M22" i="1"/>
  <c r="M26" i="1" s="1"/>
  <c r="M28" i="1" s="1"/>
  <c r="M30" i="1" s="1"/>
  <c r="M32" i="1" s="1"/>
  <c r="M35" i="1" s="1"/>
  <c r="M201" i="1" s="1"/>
  <c r="M208" i="1" s="1"/>
  <c r="M219" i="1" s="1"/>
  <c r="L202" i="1"/>
  <c r="L22" i="1"/>
  <c r="L26" i="1" s="1"/>
  <c r="L28" i="1" s="1"/>
  <c r="L30" i="1" s="1"/>
  <c r="L32" i="1" s="1"/>
  <c r="L35" i="1" s="1"/>
  <c r="L201" i="1" s="1"/>
  <c r="K202" i="1"/>
  <c r="K22" i="1"/>
  <c r="K26" i="1" s="1"/>
  <c r="K28" i="1" s="1"/>
  <c r="K30" i="1" s="1"/>
  <c r="K32" i="1" s="1"/>
  <c r="K35" i="1" s="1"/>
  <c r="O193" i="1"/>
  <c r="P89" i="1"/>
  <c r="P193" i="1" s="1"/>
  <c r="N189" i="1"/>
  <c r="N197" i="1" s="1"/>
  <c r="O88" i="1"/>
  <c r="N95" i="1"/>
  <c r="M62" i="1"/>
  <c r="L61" i="1"/>
  <c r="K41" i="1" l="1"/>
  <c r="K201" i="1"/>
  <c r="K208" i="1" s="1"/>
  <c r="P88" i="1"/>
  <c r="O95" i="1"/>
  <c r="O189" i="1"/>
  <c r="O197" i="1" s="1"/>
  <c r="L208" i="1"/>
  <c r="O194" i="1"/>
  <c r="O195" i="1" s="1"/>
  <c r="O205" i="1" s="1"/>
  <c r="N20" i="1"/>
  <c r="N62" i="1"/>
  <c r="M61" i="1"/>
  <c r="L210" i="1" l="1"/>
  <c r="L219" i="1"/>
  <c r="K209" i="1"/>
  <c r="K219" i="1"/>
  <c r="N202" i="1"/>
  <c r="N22" i="1"/>
  <c r="N26" i="1" s="1"/>
  <c r="N28" i="1" s="1"/>
  <c r="N30" i="1" s="1"/>
  <c r="N32" i="1" s="1"/>
  <c r="N35" i="1" s="1"/>
  <c r="N201" i="1" s="1"/>
  <c r="N208" i="1" s="1"/>
  <c r="P194" i="1"/>
  <c r="P195" i="1" s="1"/>
  <c r="P205" i="1" s="1"/>
  <c r="O20" i="1"/>
  <c r="P189" i="1"/>
  <c r="P197" i="1" s="1"/>
  <c r="P20" i="1" s="1"/>
  <c r="P95" i="1"/>
  <c r="L207" i="1"/>
  <c r="L209" i="1" s="1"/>
  <c r="K78" i="1"/>
  <c r="K74" i="1" s="1"/>
  <c r="K85" i="1" s="1"/>
  <c r="L41" i="1"/>
  <c r="K42" i="1"/>
  <c r="K57" i="1" s="1"/>
  <c r="M210" i="1"/>
  <c r="O62" i="1"/>
  <c r="N61" i="1"/>
  <c r="N210" i="1" l="1"/>
  <c r="N219" i="1"/>
  <c r="L42" i="1"/>
  <c r="L57" i="1" s="1"/>
  <c r="M41" i="1"/>
  <c r="K86" i="1"/>
  <c r="M207" i="1"/>
  <c r="M209" i="1" s="1"/>
  <c r="L78" i="1"/>
  <c r="L74" i="1" s="1"/>
  <c r="L85" i="1" s="1"/>
  <c r="L86" i="1" s="1"/>
  <c r="P202" i="1"/>
  <c r="P22" i="1"/>
  <c r="P26" i="1" s="1"/>
  <c r="P28" i="1" s="1"/>
  <c r="P30" i="1" s="1"/>
  <c r="P32" i="1" s="1"/>
  <c r="P35" i="1" s="1"/>
  <c r="P201" i="1" s="1"/>
  <c r="P208" i="1" s="1"/>
  <c r="P219" i="1" s="1"/>
  <c r="O202" i="1"/>
  <c r="O22" i="1"/>
  <c r="O26" i="1" s="1"/>
  <c r="O28" i="1" s="1"/>
  <c r="O30" i="1" s="1"/>
  <c r="O32" i="1" s="1"/>
  <c r="O35" i="1" s="1"/>
  <c r="O201" i="1" s="1"/>
  <c r="O208" i="1" s="1"/>
  <c r="P62" i="1"/>
  <c r="P61" i="1" s="1"/>
  <c r="O61" i="1"/>
  <c r="O210" i="1" l="1"/>
  <c r="O219" i="1"/>
  <c r="P210" i="1"/>
  <c r="Q210" i="1" s="1"/>
  <c r="R210" i="1" s="1"/>
  <c r="S210" i="1" s="1"/>
  <c r="T210" i="1" s="1"/>
  <c r="N207" i="1"/>
  <c r="N209" i="1" s="1"/>
  <c r="M78" i="1"/>
  <c r="M74" i="1" s="1"/>
  <c r="M85" i="1" s="1"/>
  <c r="M42" i="1"/>
  <c r="M57" i="1" s="1"/>
  <c r="N41" i="1"/>
  <c r="Q208" i="1" l="1"/>
  <c r="N42" i="1"/>
  <c r="N57" i="1" s="1"/>
  <c r="O41" i="1"/>
  <c r="M86" i="1"/>
  <c r="O207" i="1"/>
  <c r="O209" i="1" s="1"/>
  <c r="N78" i="1"/>
  <c r="N74" i="1" s="1"/>
  <c r="N85" i="1" s="1"/>
  <c r="N86" i="1" s="1"/>
  <c r="R208" i="1" l="1"/>
  <c r="Q219" i="1"/>
  <c r="P207" i="1"/>
  <c r="P209" i="1" s="1"/>
  <c r="P78" i="1" s="1"/>
  <c r="P74" i="1" s="1"/>
  <c r="P85" i="1" s="1"/>
  <c r="O78" i="1"/>
  <c r="O74" i="1" s="1"/>
  <c r="O85" i="1" s="1"/>
  <c r="P41" i="1"/>
  <c r="P42" i="1" s="1"/>
  <c r="P57" i="1" s="1"/>
  <c r="O42" i="1"/>
  <c r="O57" i="1" s="1"/>
  <c r="S208" i="1" l="1"/>
  <c r="R219" i="1"/>
  <c r="O86" i="1"/>
  <c r="P86" i="1"/>
  <c r="T208" i="1" l="1"/>
  <c r="S219" i="1"/>
  <c r="U208" i="1" l="1"/>
  <c r="U219" i="1" s="1"/>
  <c r="T219" i="1"/>
  <c r="B219" i="1" l="1"/>
  <c r="B221" i="1" s="1"/>
  <c r="B223" i="1" s="1"/>
  <c r="B225" i="1" s="1"/>
</calcChain>
</file>

<file path=xl/sharedStrings.xml><?xml version="1.0" encoding="utf-8"?>
<sst xmlns="http://schemas.openxmlformats.org/spreadsheetml/2006/main" count="297" uniqueCount="229">
  <si>
    <t>Revenue</t>
  </si>
  <si>
    <t>Gross Revenue from operations</t>
  </si>
  <si>
    <t>Other Income</t>
  </si>
  <si>
    <t>Total Revenue</t>
  </si>
  <si>
    <t>Costs</t>
  </si>
  <si>
    <t>Raw Materials</t>
  </si>
  <si>
    <t>Purchases</t>
  </si>
  <si>
    <t>Changes in Stock in Trade</t>
  </si>
  <si>
    <t>Employee Cost</t>
  </si>
  <si>
    <t>Other Expenses</t>
  </si>
  <si>
    <t>Excise Duty</t>
  </si>
  <si>
    <t>Total Costs</t>
  </si>
  <si>
    <t>Operating Profits</t>
  </si>
  <si>
    <t>Depreciation &amp; Amortization</t>
  </si>
  <si>
    <t>EBIT</t>
  </si>
  <si>
    <t>Interest</t>
  </si>
  <si>
    <t>Profit Before Exceptional Items and Taxes</t>
  </si>
  <si>
    <t>Other/Exceptional Items</t>
  </si>
  <si>
    <t>Profit Before Taxes</t>
  </si>
  <si>
    <t>Taxes</t>
  </si>
  <si>
    <t>Profit Before Minority Interest and Share in Associates</t>
  </si>
  <si>
    <t>Profit for the Year</t>
  </si>
  <si>
    <t>Sources of Funds</t>
  </si>
  <si>
    <t>Shareholder Funds</t>
  </si>
  <si>
    <t>Share Capital</t>
  </si>
  <si>
    <t>Reserves &amp; Surplus</t>
  </si>
  <si>
    <t>Total Equity</t>
  </si>
  <si>
    <t>Long Term Liabilities</t>
  </si>
  <si>
    <t>Lease/Loans</t>
  </si>
  <si>
    <t>Other Long Term Liabilities</t>
  </si>
  <si>
    <t>Long Term Provisions</t>
  </si>
  <si>
    <t>Deferred Tax Liabilities</t>
  </si>
  <si>
    <t>Current Liabilities</t>
  </si>
  <si>
    <t>Short Term Borrowings</t>
  </si>
  <si>
    <t>Trade Payables</t>
  </si>
  <si>
    <t>Other Current Liabilities</t>
  </si>
  <si>
    <t>Short Term Provisions</t>
  </si>
  <si>
    <t>Other Finance Liabilities</t>
  </si>
  <si>
    <t>Total</t>
  </si>
  <si>
    <t>Application Of Funds</t>
  </si>
  <si>
    <t>Long Term Assets</t>
  </si>
  <si>
    <t>Tangible Assets</t>
  </si>
  <si>
    <t>Intangible Assets</t>
  </si>
  <si>
    <t>Rights of Use Assets</t>
  </si>
  <si>
    <t>Capital Work in Progress</t>
  </si>
  <si>
    <t>Intangible Assets Under Development</t>
  </si>
  <si>
    <t>Non-Current Investments</t>
  </si>
  <si>
    <t>Other Financial Assets</t>
  </si>
  <si>
    <t>Long Term Loans and Advances</t>
  </si>
  <si>
    <t>Other Non Current Assets</t>
  </si>
  <si>
    <t>Income Tax Assets</t>
  </si>
  <si>
    <t>Current Assets</t>
  </si>
  <si>
    <t>Inventories</t>
  </si>
  <si>
    <t>Receivables</t>
  </si>
  <si>
    <t>Cash &amp; Bank Balances</t>
  </si>
  <si>
    <t>Loans &amp; Advances</t>
  </si>
  <si>
    <t>Other Current Assets</t>
  </si>
  <si>
    <t>Current Tax Asset</t>
  </si>
  <si>
    <t>Investments</t>
  </si>
  <si>
    <t>check (asset = liabilities) (should be zero)</t>
  </si>
  <si>
    <t>Capacity</t>
  </si>
  <si>
    <t>New Capacity</t>
  </si>
  <si>
    <t>Domestic</t>
  </si>
  <si>
    <t>Exports</t>
  </si>
  <si>
    <t>Capacity Utilization</t>
  </si>
  <si>
    <t>Growth in Domestic Sales</t>
  </si>
  <si>
    <t>Growth in Export Sales</t>
  </si>
  <si>
    <t>Growth in Total Sales</t>
  </si>
  <si>
    <t>Industry Data</t>
  </si>
  <si>
    <t>Domestic Sales</t>
  </si>
  <si>
    <t>Growth in Domestic Market</t>
  </si>
  <si>
    <t>Growth in Exports</t>
  </si>
  <si>
    <t>Market Share</t>
  </si>
  <si>
    <t>Overall</t>
  </si>
  <si>
    <t>Growth</t>
  </si>
  <si>
    <t>Cost Drivers</t>
  </si>
  <si>
    <t>Vehicles or Dies for Own Usage</t>
  </si>
  <si>
    <t>Cost Per Car</t>
  </si>
  <si>
    <t>Own Use Vehicles</t>
  </si>
  <si>
    <t>Working Capital Assumptions</t>
  </si>
  <si>
    <t>Tax Liabilities</t>
  </si>
  <si>
    <t>Revenue for Operations</t>
  </si>
  <si>
    <t>Working Capital as % of Sales</t>
  </si>
  <si>
    <t>Total Working Capital</t>
  </si>
  <si>
    <t>Change in Net Working Capital</t>
  </si>
  <si>
    <t>Capex Schedule</t>
  </si>
  <si>
    <t>Tangible</t>
  </si>
  <si>
    <t>Intangible</t>
  </si>
  <si>
    <t>Capex on Account of New Capacity</t>
  </si>
  <si>
    <t>Capex on Account of Wear and Tear</t>
  </si>
  <si>
    <t>Total Capex</t>
  </si>
  <si>
    <t>Depreciation</t>
  </si>
  <si>
    <t>Depreciation as % of LY Net Fixed Assets</t>
  </si>
  <si>
    <t>Taking average growth rate from 2016 to 2024</t>
  </si>
  <si>
    <t>Future capacity</t>
  </si>
  <si>
    <t>Tax</t>
  </si>
  <si>
    <t>Since in historic year it has occurred only in 2 years and that too once in negative and once in posivitive hence taking it zero</t>
  </si>
  <si>
    <t>P&amp;L</t>
  </si>
  <si>
    <t>Assuming no changes so Same as 2024</t>
  </si>
  <si>
    <t>Free Cash flow (FCF)</t>
  </si>
  <si>
    <t>PAT (Net Profit)</t>
  </si>
  <si>
    <t>Add : Depreciation</t>
  </si>
  <si>
    <t>Add : Change in Debt</t>
  </si>
  <si>
    <t>Less : Change in working Capital</t>
  </si>
  <si>
    <t>Less : CAPEX</t>
  </si>
  <si>
    <t>Opening Cash</t>
  </si>
  <si>
    <t>Closing Cash</t>
  </si>
  <si>
    <t>Growth %</t>
  </si>
  <si>
    <t>Terminal Value</t>
  </si>
  <si>
    <t>Cash Growth</t>
  </si>
  <si>
    <t>Discount Rate</t>
  </si>
  <si>
    <t>Risk free rate</t>
  </si>
  <si>
    <t>PV of cash for the period</t>
  </si>
  <si>
    <t>Cash as on today (T)</t>
  </si>
  <si>
    <t>Total EV (Enterprise value)</t>
  </si>
  <si>
    <t>No of Shares</t>
  </si>
  <si>
    <t>Per Share value</t>
  </si>
  <si>
    <t>Current share price</t>
  </si>
  <si>
    <t>During WC computation, Other Financial Assets includes short term investment</t>
  </si>
  <si>
    <t>TV</t>
  </si>
  <si>
    <t>It is given in Annual report of 2019 that once the Andra Pradesh facility becomes operational, the combined capacity will reach to 11 million units. Assuming it will reach by 2030.</t>
  </si>
  <si>
    <t>Return from the stock market</t>
  </si>
  <si>
    <t>Assumption</t>
  </si>
  <si>
    <t>Cell colour changed to this</t>
  </si>
  <si>
    <t>Average of historic data</t>
  </si>
  <si>
    <t>Font colour changed to this</t>
  </si>
  <si>
    <t>Considering previous data</t>
  </si>
  <si>
    <t>While calculating cost driver, excise duty is combined with other expenses</t>
  </si>
  <si>
    <t>Same as 2024, Assuming no change in equity</t>
  </si>
  <si>
    <t>Same as 2024, assuming no change</t>
  </si>
  <si>
    <t>There was change in the rate of depreciation multiple times historically. In 2024, it is 11% so we have forecasted it to be 12%</t>
  </si>
  <si>
    <t>Same as 2024, assuming no additional money was borrowed</t>
  </si>
  <si>
    <t>There was change in the rate of tax multiple times historically. In 2024, it is 25% so we have forecasted it to be 30%</t>
  </si>
  <si>
    <t>Tangible and intangible asset</t>
  </si>
  <si>
    <t>Both existing and additional asset has been taken into consideration after deducting depreciation .</t>
  </si>
  <si>
    <t>Other Non current assets</t>
  </si>
  <si>
    <t>Short term investments and other financial assets has been clubbed</t>
  </si>
  <si>
    <t>Other income</t>
  </si>
  <si>
    <t>Cost</t>
  </si>
  <si>
    <t>Share capital</t>
  </si>
  <si>
    <t>Current Liability and Current Asset except Cash</t>
  </si>
  <si>
    <t>Market share</t>
  </si>
  <si>
    <t>Industry growth rate</t>
  </si>
  <si>
    <t>The cost is proportional to the change in revenue. So Cost drivers has been calculated as a percentage of revenue using historic figure. The average growth rate of historic year was used to forecast future</t>
  </si>
  <si>
    <t>Working capital except cash has been calculated as a percentage of revenue using historic figure to reach future cost. The average growth rate of historic year was used to forecast future</t>
  </si>
  <si>
    <t>Cost drivers</t>
  </si>
  <si>
    <t>WC Assumptions</t>
  </si>
  <si>
    <t>Assets per Two Weeler Capacity</t>
  </si>
  <si>
    <t>All the values in 3 statement are in crores</t>
  </si>
  <si>
    <t>Assumed that it will be close to 2024</t>
  </si>
  <si>
    <t>Assumption of 2%</t>
  </si>
  <si>
    <t>Cash growth</t>
  </si>
  <si>
    <t>Yield of government bonds</t>
  </si>
  <si>
    <t>Mutual fund return</t>
  </si>
  <si>
    <t>Beta</t>
  </si>
  <si>
    <t>&lt;&lt; Valuation</t>
  </si>
  <si>
    <t>Index</t>
  </si>
  <si>
    <t>Revenue Per Two Wheeler</t>
  </si>
  <si>
    <t>1. Hero’s dominance in entry-level motorcycles ensures volume stability, while premium bikes and scooters add incremental revenue. 2. Exports are expected to grow faster than domestic sales, as Hero strengthens presence in Africa, Latin America, and Asia. 3. Revenue per two-wheeler rises as Hero introduces premium motorcycles and electric scooters (VIDA EV). EV adoption adds a new revenue stream, with government incentives supporting demand</t>
  </si>
  <si>
    <t>1. Raw material remains the largest cost driver. Commodity price volatility (steel, aluminum, plastics) will directly impact margins. Hero’s scale and supplier relationships help mitigate cost shocks. 2. Employee Costs rising steadily due to wage inflation and skill requirements for EV/R&amp;D. However, operational leverage ensures costs grow slower than revenue. 3. Other Expenses (distribution, marketing, overheads) increase with revenue, but efficiency gains (digital sales, lean distribution) help control growth. EV-specific costs (charging infra, R&amp;D) add to this line item.</t>
  </si>
  <si>
    <t>1. It is given in Annual report of 2019 that once the Andra Pradesh facility becomes operational, the combined capacity will reach to 11 million units. This leads to increase in Capex. 2. Future CapEx focuses on modernization, automation, and sustainability upgrades. Significant growth expected. Hero invests heavily in EV technology, battery R&amp;D, and connected mobility solutions.</t>
  </si>
  <si>
    <t>Capex Trend</t>
  </si>
  <si>
    <t>Revenue Growth</t>
  </si>
  <si>
    <t>Cost Structure</t>
  </si>
  <si>
    <t xml:space="preserve">Cash Flow for the period </t>
  </si>
  <si>
    <t>Two-wheeler industry is expected to grow steadily from 2025 to 2030 at a CAGR of around 5–6%, driven by strong historical resilience, rising rural demand, and accelerating electrification. Historically, the sector has shown consistent recovery even during downturns, with festive demand and rural consumption supporting volumes, while exports have remained robust. Looking ahead, growth will be fueled by urbanization, middle-class expansion, easier financing access, and government incentives for electric vehicles, which are already gaining traction with double-digit adoption growth.</t>
  </si>
  <si>
    <t>Domestic sales rebound strongly post-2025, with &gt;90% capacity utilization.</t>
  </si>
  <si>
    <t>Margins improve from lower raw material costs and operating leverage.</t>
  </si>
  <si>
    <t>Free Cash Flow (FCF) positive, enabling debt reduction and higher shareholder returns.</t>
  </si>
  <si>
    <t>2030 PAT: ₹6,500–7,000 Cr</t>
  </si>
  <si>
    <t>Optimistic</t>
  </si>
  <si>
    <t>Stable domestic demand, moderate EV adoption.</t>
  </si>
  <si>
    <t>Exports grow steadily but face global competition.</t>
  </si>
  <si>
    <t>Costs remain manageable, with employee and other expenses rising in line with inflation.</t>
  </si>
  <si>
    <t>FCF neutral to slightly positive, supporting incremental capex.</t>
  </si>
  <si>
    <t>Base</t>
  </si>
  <si>
    <t>Domestic sales stagnate; exports face currency and geopolitical risks.</t>
  </si>
  <si>
    <t>Raw material costs rise, squeezing margins.</t>
  </si>
  <si>
    <t>Capacity utilization falls below 80%.</t>
  </si>
  <si>
    <t>FCF negative, requiring debt or equity infusion to fund capex.</t>
  </si>
  <si>
    <t>Pessimistic</t>
  </si>
  <si>
    <t>Scenario Analysis</t>
  </si>
  <si>
    <t>From 2025 to 2030, forecasting R&amp;D, raw materials, wages, and other costs is justified by both historical patterns and emerging industry trends. R&amp;D spending will rise as companies accelerate investment in electric two-wheelers, battery technology, and connected vehicle innovations to meet regulatory and competitive pressures. Raw material costs, which have historically formed the bulk of operating expenses, will remain volatile due to commodity cycles and the added demand for EV-specific inputs like lithium and cobalt. Employee costs are expected to grow steadily in line with inflation and the premium required for specialized EV and digital talent, while other expenses such as marketing, logistics, and compliance will expand with revenue growth and the push toward digital sales channels and sustainability initiatives. Together, these drivers support a steady upward trajectory in operating costs, with R&amp;D and raw materials as the most dynamic elements, wages as a predictable inflation-linked expense, and other costs scaling with strategic expansion.</t>
  </si>
  <si>
    <t>Expense Growth Trends: Forecasting R&amp;D, raw materials, wages, and other costs</t>
  </si>
  <si>
    <t>Growth Rate Assumptions: Based on historical performance and industry trends</t>
  </si>
  <si>
    <t>Changing the discount rate and growth rate has a direct and powerful impact on valuation. A higher discount rate reduces the present value of future cash flows, lowering enterprise value because investors demand more return for perceived risk. Conversely, a lower discount rate increases valuation by making future cash flows more valuable today. On the other hand, a higher terminal growth rate boosts valuation since it raises the terminal value, which often contributes the majority of total enterprise value, while a lower growth rate shrinks it. Even small shifts in either factor can cause significant swings in valuation, making sensitivity analysis around discount rate and growth assumptions essential in any DCF model.</t>
  </si>
  <si>
    <t>Sensitivity Analysis: Impact of changing discount rate, growth rate on valuation</t>
  </si>
  <si>
    <t>A fair value estimate for the company can be reasoned by triangulating three valuation approaches—DCF, comparables, and precedent transactions. The DCF model, using a discount rate of around 12% and a terminal growth rate of 2%, suggests intrinsic value slightly above the current market price, with sensitivity analysis showing that even small changes in WACC or growth assumptions can swing enterprise value significantly. Comparable company multiples in the Indian auto sector, typically 7–9x EV/EBITDA and 15–18x P/E, indicate the firm is broadly in line with peers, though stronger margins or export growth could justify a premium. Precedent transactions in the sector, especially those involving EV and global expansion, have commanded premiums of 20–30% above traditional valuations, highlighting strategic upside potential. Taken together, these approaches suggest the company’s fair value is close to its current trading level but with meaningful upside if growth accelerates or if strategic consolidation occurs, placing the equity value in a range moderately above today’s price.</t>
  </si>
  <si>
    <t>Fair Value Estimate: Reasoned conclusion using DCF, Comps, and Precedents</t>
  </si>
  <si>
    <t>For risk averse investor it is advisable to invest in goverrnment yiled bond and earn more. But if the investor is ready to take the risk in the stock market then the stock is overvalued now. So, they can hold the stock only if they already own the stock and believe in strong momentum, market sentiment, or catalysts that justify the premium. Orelse, rational choice is to sell the stock if they own it, because the market is pricing it much higher than fundamentals suggest. They can  lock in gains or avoid downside risk if the market corrects.</t>
  </si>
  <si>
    <t>Investment Recommendation: Buy/Hold/Sell decision with justifications</t>
  </si>
  <si>
    <t>Company</t>
  </si>
  <si>
    <t>Hero MotoCorp</t>
  </si>
  <si>
    <t>Bajaj Auto</t>
  </si>
  <si>
    <t>TVS Motor</t>
  </si>
  <si>
    <t>Eicher Motors</t>
  </si>
  <si>
    <t>Comment on relative value</t>
  </si>
  <si>
    <t>Strong cash generation; EV/EBITDA in line with peers, implying modest premium/discount depending on cycle.</t>
  </si>
  <si>
    <t>High P/E; EV/EBITDA similar to peers; growth expectations priced in.</t>
  </si>
  <si>
    <t>Premium branding; higher EV/EBITDA in downturns or upcycles depending on demand.</t>
  </si>
  <si>
    <t>Notes and Assumptions</t>
  </si>
  <si>
    <t>Highlights of the above table</t>
  </si>
  <si>
    <t>Interpretation</t>
  </si>
  <si>
    <t>JUSTIFICATIONS</t>
  </si>
  <si>
    <t>Growth rate of revenue per two wheeler</t>
  </si>
  <si>
    <t>In 2030, cash growth was 7% so we decresed the cash growth rate evenly to reac to the Terminal value from 2030.</t>
  </si>
  <si>
    <t>Industry Data of Domestic sales and export has been taken from SIAM website. Snippets added below</t>
  </si>
  <si>
    <r>
      <rPr>
        <sz val="10"/>
        <color rgb="FF000000"/>
        <rFont val="Arial"/>
        <family val="2"/>
        <scheme val="minor"/>
      </rPr>
      <t>Valuation</t>
    </r>
    <r>
      <rPr>
        <b/>
        <sz val="10"/>
        <color rgb="FF000000"/>
        <rFont val="Arial"/>
        <family val="2"/>
        <scheme val="minor"/>
      </rPr>
      <t>:</t>
    </r>
    <r>
      <rPr>
        <sz val="10"/>
        <color rgb="FF000000"/>
        <rFont val="Arial"/>
        <family val="2"/>
        <scheme val="minor"/>
      </rPr>
      <t xml:space="preserve"> Per-share value close to current market price ₹5,400–5,600, reflecting steady but unspectacular growth</t>
    </r>
  </si>
  <si>
    <r>
      <rPr>
        <sz val="10"/>
        <color rgb="FF000000"/>
        <rFont val="Arial"/>
        <family val="2"/>
        <scheme val="minor"/>
      </rPr>
      <t>Valuation</t>
    </r>
    <r>
      <rPr>
        <b/>
        <sz val="10"/>
        <color rgb="FF000000"/>
        <rFont val="Arial"/>
        <family val="2"/>
        <scheme val="minor"/>
      </rPr>
      <t>:</t>
    </r>
    <r>
      <rPr>
        <sz val="10"/>
        <color rgb="FF000000"/>
        <rFont val="Arial"/>
        <family val="2"/>
        <scheme val="minor"/>
      </rPr>
      <t xml:space="preserve"> Per-share value declines below current market price 4300- 4600, reflecting margin pressure and slower growth.</t>
    </r>
  </si>
  <si>
    <t>Industry growth: CAGR 7 to 8% due to strong EV adoption, rural demand recovery, and export expansion</t>
  </si>
  <si>
    <t>Revenue growth 10–12% annually. 2025 Revenue: ₹37,456 Cr → 2030 Revenue:  ₹67,000–70,000 Cr</t>
  </si>
  <si>
    <t xml:space="preserve">PAT margin expands by 100–150 bps. PAT grows faster than revenue, 12–14% CAGR. </t>
  </si>
  <si>
    <t>Valuation: Higher enterprise value. Per-share value could rise 20–25% above current price (₹5,418) → ₹6,500–6,800</t>
  </si>
  <si>
    <t>Industry Growth: CAGR 5–6%</t>
  </si>
  <si>
    <t>Revenue growth 7–8% annually. 2025 Revenue: ₹37,456 Cr → 2030 Revenue: ₹53,000–55,000 Cr</t>
  </si>
  <si>
    <t>PAT margin stable. PAT grows 7–8% CAGR</t>
  </si>
  <si>
    <t>2030 PAT = ₹5,000–5,200 Cr</t>
  </si>
  <si>
    <r>
      <rPr>
        <sz val="10"/>
        <color rgb="FF000000"/>
        <rFont val="Arial"/>
        <family val="2"/>
        <scheme val="minor"/>
      </rPr>
      <t>Industry Growth</t>
    </r>
    <r>
      <rPr>
        <b/>
        <sz val="10"/>
        <color rgb="FF000000"/>
        <rFont val="Arial"/>
        <family val="2"/>
        <scheme val="minor"/>
      </rPr>
      <t>:</t>
    </r>
    <r>
      <rPr>
        <sz val="10"/>
        <color rgb="FF000000"/>
        <rFont val="Arial"/>
        <family val="2"/>
        <scheme val="minor"/>
      </rPr>
      <t xml:space="preserve"> CAGR 3–4% (slower due to weak rural demand, delayed EV adoption, and global headwinds).</t>
    </r>
  </si>
  <si>
    <t>Revenue growth 4–5% annually. 2025 Revenue: ₹37,456 Cr → 2030 Revenue: ₹45,000–47,000 Cr</t>
  </si>
  <si>
    <t>PAT margin contracts by 100 bps. PAT grows 4–5% CAGR</t>
  </si>
  <si>
    <t>2030 PAT = ₹4,200–4,400 Cr</t>
  </si>
  <si>
    <t>Hero Moto Corp's P/E is lower than Bajaj, TVS, and Eicher, suggesting a cheaper earnings multiple on a trailing basis, even as the stock price remains above the intrinsic value in the DCF model that has been built.</t>
  </si>
  <si>
    <t>The proxy EV/EBITDA suggests Hero Moto Corp's cash-flow multiple is lower than peers in this quick valuation. This might mean investors see Hero Moto Corp as riskier, or expect slower or different growth, or have different ideas about how the company should use its money compared to its peers. The discrepancy between Hero Moto Corp's DCF-intrinsic value ₹2727.33 and market price ₹5418 remains a focal point: investors are pricing in growth or brand premium beyond the base-case cash-flow assumptions.</t>
  </si>
  <si>
    <t>P/E</t>
  </si>
  <si>
    <t>EV/EBITDA</t>
  </si>
  <si>
    <t>Intrinsic value (DCF) = ₹2727.33 per share; current price = ₹5418; overvaluation vs intrinsic based on DCF.  EV/EBITDA suggests HMCL trades at a lower cash-flow multiple relative to peers in this rough estimate.</t>
  </si>
  <si>
    <t>P/E : Hero Moto Corp trades at 23.0, with peers ranging from 29.5 to 62.0, highlighting how the market currently prices earnings relative to each company’s earnings power.</t>
  </si>
  <si>
    <t>EV/EBITDA: This table uses a proxy value to give a quick relative sense of cash-flow multiples. The proxy EV/EBITDA estimates place Hero MotoCorp around 10.4, Bajaj Auto at 11.4, TVS Motor at 11.6, and Eicher Motors at 13.5.</t>
  </si>
  <si>
    <t>Peer Selection &amp; Multiple Analysis: Selection of relevant companies (Bajaj Auto, TVS, Eicher Motors) and application of P/E, EV/EBITDA multiples.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</si>
</sst>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0"/>
    <numFmt numFmtId="165" formatCode="_ * #,##0_ ;_ * \-#,##0_ ;_ * &quot;-&quot;??_ ;_ @_ "/>
  </numFmts>
  <fonts count="30" x14ac:knownFonts="1">
    <font>
      <sz val="10"/>
      <color rgb="FF000000"/>
      <name val="Arial"/>
      <scheme val="minor"/>
    </font>
    <font>
      <sz val="11"/>
      <color theme="1"/>
      <name val="Arial"/>
      <family val="2"/>
      <scheme val="minor"/>
    </font>
    <font>
      <b/>
      <sz val="11"/>
      <color rgb="FF000000"/>
      <name val="Arial"/>
      <family val="2"/>
      <scheme val="minor"/>
    </font>
    <font>
      <b/>
      <sz val="11"/>
      <color theme="1"/>
      <name val="Arial"/>
      <family val="2"/>
      <scheme val="minor"/>
    </font>
    <font>
      <sz val="11"/>
      <color rgb="FF000000"/>
      <name val="Arial"/>
      <family val="2"/>
      <scheme val="minor"/>
    </font>
    <font>
      <sz val="10"/>
      <color theme="1"/>
      <name val="Arial"/>
      <family val="2"/>
      <scheme val="minor"/>
    </font>
    <font>
      <b/>
      <sz val="10"/>
      <color theme="1"/>
      <name val="Arial"/>
      <family val="2"/>
      <scheme val="minor"/>
    </font>
    <font>
      <b/>
      <i/>
      <sz val="11"/>
      <color theme="1"/>
      <name val="Arial"/>
      <family val="2"/>
      <scheme val="minor"/>
    </font>
    <font>
      <b/>
      <i/>
      <sz val="10"/>
      <color theme="1"/>
      <name val="Arial"/>
      <family val="2"/>
      <scheme val="minor"/>
    </font>
    <font>
      <sz val="10"/>
      <color theme="1"/>
      <name val="Arial"/>
      <family val="2"/>
      <scheme val="minor"/>
    </font>
    <font>
      <sz val="10"/>
      <color rgb="FF000000"/>
      <name val="Arial"/>
      <family val="2"/>
      <scheme val="minor"/>
    </font>
    <font>
      <b/>
      <sz val="11"/>
      <color rgb="FF000000"/>
      <name val="Arial"/>
      <family val="2"/>
      <scheme val="minor"/>
    </font>
    <font>
      <b/>
      <sz val="10"/>
      <color theme="1"/>
      <name val="Arial"/>
      <family val="2"/>
      <scheme val="minor"/>
    </font>
    <font>
      <b/>
      <sz val="10"/>
      <color rgb="FF000000"/>
      <name val="Arial"/>
      <family val="2"/>
      <scheme val="minor"/>
    </font>
    <font>
      <sz val="10"/>
      <color rgb="FF000000"/>
      <name val="Arial"/>
      <family val="2"/>
      <scheme val="minor"/>
    </font>
    <font>
      <b/>
      <sz val="11"/>
      <color theme="1"/>
      <name val="Arial"/>
      <family val="2"/>
      <scheme val="minor"/>
    </font>
    <font>
      <b/>
      <sz val="11"/>
      <color theme="1"/>
      <name val="Arial"/>
      <family val="2"/>
    </font>
    <font>
      <sz val="11"/>
      <color theme="1"/>
      <name val="Arial"/>
      <family val="2"/>
    </font>
    <font>
      <b/>
      <sz val="11"/>
      <color rgb="FF000000"/>
      <name val="Arial"/>
      <family val="2"/>
    </font>
    <font>
      <sz val="10"/>
      <color theme="4" tint="-0.249977111117893"/>
      <name val="Arial"/>
      <family val="2"/>
      <scheme val="minor"/>
    </font>
    <font>
      <sz val="10"/>
      <color rgb="FF0070C0"/>
      <name val="Arial"/>
      <family val="2"/>
      <scheme val="minor"/>
    </font>
    <font>
      <sz val="10"/>
      <color theme="6" tint="-0.499984740745262"/>
      <name val="Arial"/>
      <family val="2"/>
      <scheme val="minor"/>
    </font>
    <font>
      <b/>
      <sz val="14"/>
      <color rgb="FF000000"/>
      <name val="Arial"/>
      <family val="2"/>
      <scheme val="minor"/>
    </font>
    <font>
      <b/>
      <sz val="24"/>
      <color rgb="FF000000"/>
      <name val="Arial"/>
      <family val="2"/>
      <scheme val="minor"/>
    </font>
    <font>
      <b/>
      <sz val="18"/>
      <color rgb="FF000000"/>
      <name val="Arial"/>
      <family val="2"/>
      <scheme val="minor"/>
    </font>
    <font>
      <b/>
      <sz val="15"/>
      <color rgb="FF000000"/>
      <name val="Arial"/>
      <family val="2"/>
      <scheme val="minor"/>
    </font>
    <font>
      <sz val="10"/>
      <color rgb="FF0A192B"/>
      <name val="Arial"/>
      <family val="2"/>
      <scheme val="minor"/>
    </font>
    <font>
      <b/>
      <sz val="10"/>
      <color rgb="FF0A192B"/>
      <name val="Arial"/>
      <family val="2"/>
      <scheme val="minor"/>
    </font>
    <font>
      <sz val="13"/>
      <color rgb="FF000000"/>
      <name val="Arial"/>
      <family val="2"/>
      <scheme val="minor"/>
    </font>
    <font>
      <b/>
      <sz val="12"/>
      <color rgb="FF000000"/>
      <name val="Arial"/>
      <family val="2"/>
      <scheme val="minor"/>
    </font>
  </fonts>
  <fills count="16">
    <fill>
      <patternFill patternType="none"/>
    </fill>
    <fill>
      <patternFill patternType="gray125"/>
    </fill>
    <fill>
      <patternFill patternType="solid">
        <fgColor rgb="FFD9D9D9"/>
        <bgColor rgb="FFD9D9D9"/>
      </patternFill>
    </fill>
    <fill>
      <patternFill patternType="solid">
        <fgColor rgb="FFFFFF00"/>
        <bgColor rgb="FFFFFF00"/>
      </patternFill>
    </fill>
    <fill>
      <patternFill patternType="solid">
        <fgColor rgb="FF999999"/>
        <bgColor rgb="FF999999"/>
      </patternFill>
    </fill>
    <fill>
      <patternFill patternType="solid">
        <fgColor theme="2" tint="-0.34998626667073579"/>
        <bgColor indexed="64"/>
      </patternFill>
    </fill>
    <fill>
      <patternFill patternType="solid">
        <fgColor rgb="FFCFE2F3"/>
        <bgColor rgb="FFCFE2F3"/>
      </patternFill>
    </fill>
    <fill>
      <patternFill patternType="solid">
        <fgColor theme="5" tint="0.59999389629810485"/>
        <bgColor indexed="64"/>
      </patternFill>
    </fill>
    <fill>
      <patternFill patternType="solid">
        <fgColor theme="8" tint="0.79998168889431442"/>
        <bgColor indexed="64"/>
      </patternFill>
    </fill>
    <fill>
      <patternFill patternType="solid">
        <fgColor rgb="FFFFFFFF"/>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2" tint="-0.14999847407452621"/>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9"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cellStyleXfs>
  <cellXfs count="130">
    <xf numFmtId="0" fontId="0" fillId="0" borderId="0" xfId="0"/>
    <xf numFmtId="0" fontId="10" fillId="0" borderId="0" xfId="0" applyFont="1"/>
    <xf numFmtId="0" fontId="13" fillId="0" borderId="0" xfId="0" applyFont="1"/>
    <xf numFmtId="0" fontId="10" fillId="8" borderId="1" xfId="0" applyFont="1" applyFill="1" applyBorder="1"/>
    <xf numFmtId="3" fontId="19" fillId="9" borderId="1" xfId="0" applyNumberFormat="1" applyFont="1" applyFill="1" applyBorder="1"/>
    <xf numFmtId="0" fontId="21" fillId="9" borderId="1" xfId="0" applyFont="1" applyFill="1" applyBorder="1"/>
    <xf numFmtId="0" fontId="10" fillId="0" borderId="1" xfId="0" applyFont="1" applyBorder="1" applyAlignment="1">
      <alignment horizontal="center"/>
    </xf>
    <xf numFmtId="0" fontId="10" fillId="0" borderId="0" xfId="0" applyFont="1" applyAlignment="1">
      <alignment horizontal="center" vertical="center"/>
    </xf>
    <xf numFmtId="0" fontId="23" fillId="0" borderId="0" xfId="0" applyFont="1" applyAlignment="1">
      <alignment vertical="center"/>
    </xf>
    <xf numFmtId="0" fontId="24" fillId="0" borderId="0" xfId="0" applyFont="1" applyAlignment="1">
      <alignment vertical="center"/>
    </xf>
    <xf numFmtId="0" fontId="13" fillId="0" borderId="0" xfId="0" applyFont="1" applyAlignment="1">
      <alignment horizontal="left" vertical="center" indent="1"/>
    </xf>
    <xf numFmtId="0" fontId="10" fillId="0" borderId="0" xfId="0" applyFont="1" applyAlignment="1">
      <alignment horizontal="left" vertical="center" indent="1"/>
    </xf>
    <xf numFmtId="0" fontId="10" fillId="0" borderId="1" xfId="0" applyFont="1" applyBorder="1" applyAlignment="1">
      <alignment horizontal="center" vertical="center"/>
    </xf>
    <xf numFmtId="0" fontId="10" fillId="0" borderId="1" xfId="0" applyFont="1" applyBorder="1"/>
    <xf numFmtId="0" fontId="10" fillId="0" borderId="0" xfId="0" applyFont="1" applyAlignment="1">
      <alignment wrapText="1"/>
    </xf>
    <xf numFmtId="0" fontId="10" fillId="0" borderId="1" xfId="0" applyFont="1" applyBorder="1" applyAlignment="1">
      <alignment horizontal="left" vertical="center"/>
    </xf>
    <xf numFmtId="0" fontId="13" fillId="0" borderId="0" xfId="0" applyFont="1" applyAlignment="1">
      <alignment horizontal="left" vertical="center"/>
    </xf>
    <xf numFmtId="0" fontId="0" fillId="0" borderId="0" xfId="0" applyAlignment="1">
      <alignment horizontal="left" vertical="center"/>
    </xf>
    <xf numFmtId="0" fontId="26" fillId="0" borderId="0" xfId="0" applyFont="1" applyAlignment="1">
      <alignment vertical="center" wrapText="1"/>
    </xf>
    <xf numFmtId="0" fontId="29" fillId="14" borderId="1" xfId="0" applyFont="1" applyFill="1" applyBorder="1" applyAlignment="1">
      <alignment horizontal="center" vertical="center"/>
    </xf>
    <xf numFmtId="0" fontId="15" fillId="0" borderId="1" xfId="0" applyFont="1" applyBorder="1"/>
    <xf numFmtId="0" fontId="2" fillId="2" borderId="1" xfId="0" applyFont="1" applyFill="1" applyBorder="1"/>
    <xf numFmtId="0" fontId="2" fillId="3" borderId="1" xfId="0" applyFont="1" applyFill="1" applyBorder="1"/>
    <xf numFmtId="0" fontId="0" fillId="0" borderId="1" xfId="0" applyBorder="1"/>
    <xf numFmtId="0" fontId="3" fillId="0" borderId="1" xfId="0" applyFont="1" applyBorder="1"/>
    <xf numFmtId="0" fontId="4" fillId="0" borderId="1" xfId="0" applyFont="1" applyBorder="1"/>
    <xf numFmtId="0" fontId="1" fillId="0" borderId="1" xfId="0" applyFont="1" applyBorder="1"/>
    <xf numFmtId="3" fontId="5" fillId="0" borderId="1" xfId="0" applyNumberFormat="1" applyFont="1" applyBorder="1"/>
    <xf numFmtId="3" fontId="0" fillId="0" borderId="1" xfId="0" applyNumberFormat="1" applyBorder="1"/>
    <xf numFmtId="3" fontId="19" fillId="8" borderId="1" xfId="0" applyNumberFormat="1" applyFont="1" applyFill="1" applyBorder="1"/>
    <xf numFmtId="3" fontId="6" fillId="0" borderId="1" xfId="0" applyNumberFormat="1" applyFont="1" applyBorder="1"/>
    <xf numFmtId="1" fontId="0" fillId="0" borderId="1" xfId="0" applyNumberFormat="1" applyBorder="1"/>
    <xf numFmtId="0" fontId="0" fillId="11" borderId="1" xfId="0" applyFill="1" applyBorder="1"/>
    <xf numFmtId="3" fontId="12" fillId="0" borderId="1" xfId="0" applyNumberFormat="1" applyFont="1" applyBorder="1"/>
    <xf numFmtId="0" fontId="13" fillId="0" borderId="1" xfId="0" applyFont="1" applyBorder="1"/>
    <xf numFmtId="3" fontId="10" fillId="0" borderId="1" xfId="0" applyNumberFormat="1" applyFont="1" applyBorder="1"/>
    <xf numFmtId="3" fontId="20" fillId="10" borderId="1" xfId="0" applyNumberFormat="1" applyFont="1" applyFill="1" applyBorder="1"/>
    <xf numFmtId="0" fontId="0" fillId="10" borderId="1" xfId="0" applyFill="1" applyBorder="1"/>
    <xf numFmtId="164" fontId="0" fillId="0" borderId="1" xfId="0" applyNumberFormat="1" applyBorder="1"/>
    <xf numFmtId="9" fontId="0" fillId="10" borderId="1" xfId="0" applyNumberFormat="1" applyFill="1" applyBorder="1"/>
    <xf numFmtId="0" fontId="1" fillId="0" borderId="1" xfId="0" applyFont="1" applyBorder="1" applyAlignment="1">
      <alignment horizontal="left"/>
    </xf>
    <xf numFmtId="3" fontId="0" fillId="0" borderId="1" xfId="0" applyNumberFormat="1" applyBorder="1" applyAlignment="1">
      <alignment horizontal="right" vertical="center"/>
    </xf>
    <xf numFmtId="3" fontId="20" fillId="8" borderId="1" xfId="0" applyNumberFormat="1" applyFont="1" applyFill="1" applyBorder="1"/>
    <xf numFmtId="1" fontId="10" fillId="0" borderId="1" xfId="0" applyNumberFormat="1" applyFont="1" applyBorder="1"/>
    <xf numFmtId="0" fontId="0" fillId="0" borderId="1" xfId="0" applyBorder="1" applyAlignment="1">
      <alignment horizontal="right" vertical="center"/>
    </xf>
    <xf numFmtId="0" fontId="7" fillId="0" borderId="1" xfId="0" applyFont="1" applyBorder="1"/>
    <xf numFmtId="3" fontId="8" fillId="0" borderId="1" xfId="0" applyNumberFormat="1" applyFont="1" applyBorder="1"/>
    <xf numFmtId="3" fontId="9" fillId="0" borderId="1" xfId="0" applyNumberFormat="1" applyFont="1" applyBorder="1"/>
    <xf numFmtId="3" fontId="9" fillId="8" borderId="1" xfId="0" applyNumberFormat="1" applyFont="1" applyFill="1" applyBorder="1"/>
    <xf numFmtId="0" fontId="9" fillId="0" borderId="1" xfId="0" applyFont="1" applyBorder="1"/>
    <xf numFmtId="0" fontId="0" fillId="15" borderId="1" xfId="0" applyFill="1" applyBorder="1"/>
    <xf numFmtId="0" fontId="11" fillId="0" borderId="1" xfId="0" applyFont="1" applyBorder="1"/>
    <xf numFmtId="0" fontId="12" fillId="0" borderId="1" xfId="0" applyFont="1" applyBorder="1"/>
    <xf numFmtId="3" fontId="12" fillId="3" borderId="1" xfId="0" applyNumberFormat="1" applyFont="1" applyFill="1" applyBorder="1"/>
    <xf numFmtId="9" fontId="12" fillId="0" borderId="1" xfId="0" applyNumberFormat="1" applyFont="1" applyBorder="1"/>
    <xf numFmtId="10" fontId="12" fillId="3" borderId="1" xfId="0" applyNumberFormat="1" applyFont="1" applyFill="1" applyBorder="1"/>
    <xf numFmtId="9" fontId="0" fillId="0" borderId="1" xfId="0" applyNumberFormat="1" applyBorder="1"/>
    <xf numFmtId="9" fontId="5" fillId="0" borderId="1" xfId="0" applyNumberFormat="1" applyFont="1" applyBorder="1"/>
    <xf numFmtId="10" fontId="5" fillId="0" borderId="1" xfId="0" applyNumberFormat="1" applyFont="1" applyBorder="1"/>
    <xf numFmtId="9" fontId="13" fillId="0" borderId="1" xfId="0" applyNumberFormat="1" applyFont="1" applyBorder="1"/>
    <xf numFmtId="0" fontId="2" fillId="0" borderId="1" xfId="0" applyFont="1" applyBorder="1"/>
    <xf numFmtId="9" fontId="21" fillId="3" borderId="1" xfId="0" applyNumberFormat="1" applyFont="1" applyFill="1" applyBorder="1"/>
    <xf numFmtId="0" fontId="5" fillId="4" borderId="1" xfId="0" applyFont="1" applyFill="1" applyBorder="1"/>
    <xf numFmtId="0" fontId="21" fillId="0" borderId="1" xfId="0" applyFont="1" applyBorder="1"/>
    <xf numFmtId="10" fontId="21" fillId="8" borderId="1" xfId="0" applyNumberFormat="1" applyFont="1" applyFill="1" applyBorder="1"/>
    <xf numFmtId="3" fontId="13" fillId="0" borderId="1" xfId="0" applyNumberFormat="1" applyFont="1" applyBorder="1"/>
    <xf numFmtId="1" fontId="13" fillId="0" borderId="1" xfId="0" applyNumberFormat="1" applyFont="1" applyBorder="1"/>
    <xf numFmtId="165" fontId="0" fillId="0" borderId="1" xfId="2" applyNumberFormat="1" applyFont="1" applyBorder="1"/>
    <xf numFmtId="10" fontId="0" fillId="0" borderId="1" xfId="1" applyNumberFormat="1" applyFont="1" applyBorder="1"/>
    <xf numFmtId="9" fontId="21" fillId="8" borderId="1" xfId="0" applyNumberFormat="1" applyFont="1" applyFill="1" applyBorder="1"/>
    <xf numFmtId="1" fontId="13" fillId="0" borderId="1" xfId="1" applyNumberFormat="1" applyFont="1" applyBorder="1"/>
    <xf numFmtId="0" fontId="0" fillId="8" borderId="1" xfId="0" applyFill="1" applyBorder="1"/>
    <xf numFmtId="3" fontId="0" fillId="8" borderId="1" xfId="0" applyNumberFormat="1" applyFill="1" applyBorder="1"/>
    <xf numFmtId="9" fontId="0" fillId="0" borderId="1" xfId="1" applyFont="1" applyBorder="1"/>
    <xf numFmtId="9" fontId="0" fillId="8" borderId="1" xfId="0" applyNumberFormat="1" applyFill="1" applyBorder="1"/>
    <xf numFmtId="0" fontId="16" fillId="0" borderId="1" xfId="0" applyFont="1" applyBorder="1"/>
    <xf numFmtId="0" fontId="17" fillId="0" borderId="1" xfId="0" applyFont="1" applyBorder="1"/>
    <xf numFmtId="9" fontId="0" fillId="7" borderId="1" xfId="0" applyNumberFormat="1" applyFill="1" applyBorder="1"/>
    <xf numFmtId="0" fontId="0" fillId="7" borderId="1" xfId="0" applyFill="1" applyBorder="1"/>
    <xf numFmtId="2" fontId="0" fillId="0" borderId="1" xfId="0" applyNumberFormat="1" applyBorder="1"/>
    <xf numFmtId="10" fontId="5" fillId="15" borderId="1" xfId="0" applyNumberFormat="1" applyFont="1" applyFill="1" applyBorder="1"/>
    <xf numFmtId="3" fontId="5" fillId="15" borderId="1" xfId="0" applyNumberFormat="1" applyFont="1" applyFill="1" applyBorder="1"/>
    <xf numFmtId="0" fontId="18" fillId="6" borderId="0" xfId="0" applyFont="1" applyFill="1"/>
    <xf numFmtId="0" fontId="18" fillId="6" borderId="0" xfId="0" applyFont="1" applyFill="1" applyAlignment="1">
      <alignment horizontal="right"/>
    </xf>
    <xf numFmtId="0" fontId="1" fillId="0" borderId="0" xfId="0" applyFont="1"/>
    <xf numFmtId="3" fontId="5" fillId="0" borderId="0" xfId="0" applyNumberFormat="1" applyFont="1"/>
    <xf numFmtId="3" fontId="0" fillId="0" borderId="0" xfId="0" applyNumberFormat="1"/>
    <xf numFmtId="0" fontId="6" fillId="0" borderId="0" xfId="0" applyFont="1"/>
    <xf numFmtId="0" fontId="8" fillId="0" borderId="0" xfId="0" applyFont="1"/>
    <xf numFmtId="3" fontId="9" fillId="0" borderId="0" xfId="0" applyNumberFormat="1" applyFont="1"/>
    <xf numFmtId="4" fontId="9" fillId="0" borderId="0" xfId="0" applyNumberFormat="1" applyFont="1"/>
    <xf numFmtId="10" fontId="5" fillId="0" borderId="0" xfId="0" applyNumberFormat="1" applyFont="1"/>
    <xf numFmtId="3" fontId="0" fillId="0" borderId="2" xfId="0" applyNumberFormat="1" applyBorder="1"/>
    <xf numFmtId="3" fontId="13" fillId="0" borderId="7" xfId="0" applyNumberFormat="1" applyFont="1" applyBorder="1"/>
    <xf numFmtId="0" fontId="0" fillId="0" borderId="3" xfId="0" applyBorder="1"/>
    <xf numFmtId="0" fontId="0" fillId="0" borderId="2" xfId="0" applyBorder="1"/>
    <xf numFmtId="3" fontId="0" fillId="0" borderId="1" xfId="0" applyNumberFormat="1" applyBorder="1" applyAlignment="1">
      <alignment horizontal="right" vertical="center"/>
    </xf>
    <xf numFmtId="0" fontId="0" fillId="0" borderId="1" xfId="0" applyBorder="1" applyAlignment="1">
      <alignment horizontal="right" vertical="center"/>
    </xf>
    <xf numFmtId="0" fontId="10" fillId="0" borderId="1" xfId="0" applyFont="1" applyBorder="1" applyAlignment="1">
      <alignment horizontal="left" vertical="center"/>
    </xf>
    <xf numFmtId="0" fontId="28" fillId="12" borderId="1" xfId="0" applyFont="1" applyFill="1" applyBorder="1" applyAlignment="1">
      <alignment horizontal="center" vertical="center" wrapText="1"/>
    </xf>
    <xf numFmtId="0" fontId="10" fillId="0" borderId="4" xfId="0" applyFont="1"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10" fillId="0" borderId="1" xfId="0" applyFont="1" applyBorder="1" applyAlignment="1">
      <alignment horizontal="left" vertical="center" wrapText="1"/>
    </xf>
    <xf numFmtId="0" fontId="27" fillId="0" borderId="1" xfId="0" applyFont="1" applyBorder="1" applyAlignment="1">
      <alignment horizontal="center" vertical="center" wrapText="1"/>
    </xf>
    <xf numFmtId="0" fontId="10" fillId="0" borderId="1" xfId="0" applyFont="1" applyBorder="1" applyAlignment="1">
      <alignment horizontal="center" vertical="center"/>
    </xf>
    <xf numFmtId="0" fontId="29" fillId="14" borderId="1" xfId="0" applyFont="1" applyFill="1" applyBorder="1" applyAlignment="1">
      <alignment horizontal="center" vertical="center"/>
    </xf>
    <xf numFmtId="0" fontId="22" fillId="12" borderId="1" xfId="0" applyFont="1" applyFill="1" applyBorder="1" applyAlignment="1">
      <alignment horizontal="center"/>
    </xf>
    <xf numFmtId="0" fontId="10" fillId="0" borderId="5" xfId="0" applyFont="1" applyBorder="1" applyAlignment="1">
      <alignment horizontal="left" vertical="center"/>
    </xf>
    <xf numFmtId="0" fontId="10" fillId="0" borderId="6" xfId="0" applyFont="1" applyBorder="1" applyAlignment="1">
      <alignment horizontal="left" vertical="center"/>
    </xf>
    <xf numFmtId="0" fontId="13" fillId="0" borderId="1" xfId="0" applyFont="1" applyBorder="1" applyAlignment="1">
      <alignment horizontal="center" vertical="center"/>
    </xf>
    <xf numFmtId="0" fontId="13" fillId="0" borderId="4" xfId="0" applyFont="1" applyBorder="1" applyAlignment="1">
      <alignment horizontal="left" vertical="center"/>
    </xf>
    <xf numFmtId="0" fontId="0" fillId="0" borderId="1" xfId="0" applyBorder="1" applyAlignment="1">
      <alignment horizontal="left" vertical="center" wrapText="1"/>
    </xf>
    <xf numFmtId="0" fontId="10" fillId="0" borderId="2" xfId="0" applyFont="1" applyBorder="1" applyAlignment="1">
      <alignment horizontal="center" vertical="center"/>
    </xf>
    <xf numFmtId="0" fontId="10" fillId="0" borderId="7" xfId="0" applyFont="1" applyBorder="1" applyAlignment="1">
      <alignment horizontal="center" vertical="center"/>
    </xf>
    <xf numFmtId="0" fontId="10" fillId="0" borderId="3" xfId="0" applyFont="1" applyBorder="1" applyAlignment="1">
      <alignment horizontal="center" vertical="center"/>
    </xf>
    <xf numFmtId="0" fontId="26"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0" fillId="0" borderId="1" xfId="0" applyBorder="1" applyAlignment="1">
      <alignment horizontal="left" vertical="center"/>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10" fillId="0" borderId="10" xfId="0" applyFont="1" applyBorder="1" applyAlignment="1">
      <alignment horizontal="left" vertical="center" wrapText="1"/>
    </xf>
    <xf numFmtId="0" fontId="10" fillId="0" borderId="11" xfId="0" applyFont="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27" fillId="0" borderId="2" xfId="0" applyFont="1" applyBorder="1" applyAlignment="1">
      <alignment horizontal="center" vertical="center" wrapText="1"/>
    </xf>
    <xf numFmtId="0" fontId="27" fillId="0" borderId="7" xfId="0" applyFont="1" applyBorder="1" applyAlignment="1">
      <alignment horizontal="center" vertical="center" wrapText="1"/>
    </xf>
    <xf numFmtId="0" fontId="27" fillId="0" borderId="3" xfId="0" applyFont="1" applyBorder="1" applyAlignment="1">
      <alignment horizontal="center" vertical="center" wrapText="1"/>
    </xf>
    <xf numFmtId="0" fontId="25" fillId="13" borderId="1" xfId="0" applyFont="1" applyFill="1" applyBorder="1" applyAlignment="1">
      <alignment horizontal="center"/>
    </xf>
    <xf numFmtId="0" fontId="25" fillId="5" borderId="1" xfId="0" applyFont="1" applyFill="1" applyBorder="1" applyAlignment="1">
      <alignment horizontal="center"/>
    </xf>
  </cellXfs>
  <cellStyles count="4">
    <cellStyle name="Comma" xfId="2" builtinId="3"/>
    <cellStyle name="Comma 2" xfId="3" xr:uid="{5FF2C906-2B7B-4460-9FC5-1974C7AF2D52}"/>
    <cellStyle name="Normal" xfId="0" builtinId="0"/>
    <cellStyle name="Percent" xfId="1" builtinId="5"/>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41</xdr:row>
      <xdr:rowOff>0</xdr:rowOff>
    </xdr:from>
    <xdr:to>
      <xdr:col>4</xdr:col>
      <xdr:colOff>1090705</xdr:colOff>
      <xdr:row>57</xdr:row>
      <xdr:rowOff>5163</xdr:rowOff>
    </xdr:to>
    <xdr:pic>
      <xdr:nvPicPr>
        <xdr:cNvPr id="2" name="Picture 1">
          <a:extLst>
            <a:ext uri="{FF2B5EF4-FFF2-40B4-BE49-F238E27FC236}">
              <a16:creationId xmlns:a16="http://schemas.microsoft.com/office/drawing/2014/main" id="{D2088EA6-D93B-4141-957F-166E7D4D8219}"/>
            </a:ext>
          </a:extLst>
        </xdr:cNvPr>
        <xdr:cNvPicPr>
          <a:picLocks noChangeAspect="1"/>
        </xdr:cNvPicPr>
      </xdr:nvPicPr>
      <xdr:blipFill>
        <a:blip xmlns:r="http://schemas.openxmlformats.org/officeDocument/2006/relationships" r:embed="rId1"/>
        <a:stretch>
          <a:fillRect/>
        </a:stretch>
      </xdr:blipFill>
      <xdr:spPr>
        <a:xfrm>
          <a:off x="134471" y="8389471"/>
          <a:ext cx="6559176" cy="3232457"/>
        </a:xfrm>
        <a:prstGeom prst="rect">
          <a:avLst/>
        </a:prstGeom>
        <a:ln w="12700">
          <a:solidFill>
            <a:schemeClr val="tx1"/>
          </a:solidFill>
        </a:ln>
      </xdr:spPr>
    </xdr:pic>
    <xdr:clientData/>
  </xdr:twoCellAnchor>
  <xdr:twoCellAnchor editAs="oneCell">
    <xdr:from>
      <xdr:col>1</xdr:col>
      <xdr:colOff>7471</xdr:colOff>
      <xdr:row>57</xdr:row>
      <xdr:rowOff>76940</xdr:rowOff>
    </xdr:from>
    <xdr:to>
      <xdr:col>4</xdr:col>
      <xdr:colOff>1030941</xdr:colOff>
      <xdr:row>73</xdr:row>
      <xdr:rowOff>58547</xdr:rowOff>
    </xdr:to>
    <xdr:pic>
      <xdr:nvPicPr>
        <xdr:cNvPr id="3" name="Picture 2">
          <a:extLst>
            <a:ext uri="{FF2B5EF4-FFF2-40B4-BE49-F238E27FC236}">
              <a16:creationId xmlns:a16="http://schemas.microsoft.com/office/drawing/2014/main" id="{5C6B72C0-9E90-433D-8ED4-04EF551E12C6}"/>
            </a:ext>
          </a:extLst>
        </xdr:cNvPr>
        <xdr:cNvPicPr>
          <a:picLocks noChangeAspect="1"/>
        </xdr:cNvPicPr>
      </xdr:nvPicPr>
      <xdr:blipFill>
        <a:blip xmlns:r="http://schemas.openxmlformats.org/officeDocument/2006/relationships" r:embed="rId2"/>
        <a:stretch>
          <a:fillRect/>
        </a:stretch>
      </xdr:blipFill>
      <xdr:spPr>
        <a:xfrm>
          <a:off x="216647" y="11693705"/>
          <a:ext cx="6491941" cy="3208901"/>
        </a:xfrm>
        <a:prstGeom prst="rect">
          <a:avLst/>
        </a:prstGeom>
        <a:ln w="19050">
          <a:solidFill>
            <a:schemeClr val="tx1"/>
          </a:solidFill>
        </a:ln>
      </xdr:spPr>
    </xdr:pic>
    <xdr:clientData/>
  </xdr:twoCellAnchor>
  <xdr:twoCellAnchor editAs="oneCell">
    <xdr:from>
      <xdr:col>5</xdr:col>
      <xdr:colOff>177652</xdr:colOff>
      <xdr:row>40</xdr:row>
      <xdr:rowOff>156883</xdr:rowOff>
    </xdr:from>
    <xdr:to>
      <xdr:col>12</xdr:col>
      <xdr:colOff>192594</xdr:colOff>
      <xdr:row>56</xdr:row>
      <xdr:rowOff>186765</xdr:rowOff>
    </xdr:to>
    <xdr:pic>
      <xdr:nvPicPr>
        <xdr:cNvPr id="4" name="Picture 3">
          <a:extLst>
            <a:ext uri="{FF2B5EF4-FFF2-40B4-BE49-F238E27FC236}">
              <a16:creationId xmlns:a16="http://schemas.microsoft.com/office/drawing/2014/main" id="{4FCF1183-29EF-465D-BF6E-AEA10D09EB8B}"/>
            </a:ext>
          </a:extLst>
        </xdr:cNvPr>
        <xdr:cNvPicPr>
          <a:picLocks noChangeAspect="1"/>
        </xdr:cNvPicPr>
      </xdr:nvPicPr>
      <xdr:blipFill>
        <a:blip xmlns:r="http://schemas.openxmlformats.org/officeDocument/2006/relationships" r:embed="rId3"/>
        <a:stretch>
          <a:fillRect/>
        </a:stretch>
      </xdr:blipFill>
      <xdr:spPr>
        <a:xfrm>
          <a:off x="6893711" y="8344648"/>
          <a:ext cx="6081060" cy="3257176"/>
        </a:xfrm>
        <a:prstGeom prst="rect">
          <a:avLst/>
        </a:prstGeom>
        <a:ln w="12700">
          <a:solidFill>
            <a:schemeClr val="tx1"/>
          </a:solidFill>
        </a:ln>
      </xdr:spPr>
    </xdr:pic>
    <xdr:clientData/>
  </xdr:twoCellAnchor>
  <xdr:twoCellAnchor editAs="oneCell">
    <xdr:from>
      <xdr:col>5</xdr:col>
      <xdr:colOff>151471</xdr:colOff>
      <xdr:row>57</xdr:row>
      <xdr:rowOff>100160</xdr:rowOff>
    </xdr:from>
    <xdr:to>
      <xdr:col>12</xdr:col>
      <xdr:colOff>177202</xdr:colOff>
      <xdr:row>72</xdr:row>
      <xdr:rowOff>149412</xdr:rowOff>
    </xdr:to>
    <xdr:pic>
      <xdr:nvPicPr>
        <xdr:cNvPr id="6" name="Picture 5">
          <a:extLst>
            <a:ext uri="{FF2B5EF4-FFF2-40B4-BE49-F238E27FC236}">
              <a16:creationId xmlns:a16="http://schemas.microsoft.com/office/drawing/2014/main" id="{8C6695F4-26CF-48E9-80C2-0A4939D87547}"/>
            </a:ext>
          </a:extLst>
        </xdr:cNvPr>
        <xdr:cNvPicPr>
          <a:picLocks noChangeAspect="1"/>
        </xdr:cNvPicPr>
      </xdr:nvPicPr>
      <xdr:blipFill>
        <a:blip xmlns:r="http://schemas.openxmlformats.org/officeDocument/2006/relationships" r:embed="rId4"/>
        <a:stretch>
          <a:fillRect/>
        </a:stretch>
      </xdr:blipFill>
      <xdr:spPr>
        <a:xfrm>
          <a:off x="6867530" y="11716925"/>
          <a:ext cx="6091849" cy="3074840"/>
        </a:xfrm>
        <a:prstGeom prst="rect">
          <a:avLst/>
        </a:prstGeom>
        <a:ln w="12700">
          <a:solidFill>
            <a:schemeClr val="tx1"/>
          </a:solid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90"/>
  <sheetViews>
    <sheetView zoomScale="97" workbookViewId="0">
      <pane xSplit="1" ySplit="1" topLeftCell="B170" activePane="bottomRight" state="frozen"/>
      <selection pane="topRight" activeCell="B1" sqref="B1"/>
      <selection pane="bottomLeft" activeCell="A2" sqref="A2"/>
      <selection pane="bottomRight" activeCell="F107" sqref="F107"/>
    </sheetView>
  </sheetViews>
  <sheetFormatPr defaultColWidth="12.6640625" defaultRowHeight="15.75" customHeight="1" x14ac:dyDescent="0.25"/>
  <cols>
    <col min="1" max="1" width="43.88671875" customWidth="1"/>
    <col min="11" max="11" width="13.33203125" bestFit="1" customWidth="1"/>
  </cols>
  <sheetData>
    <row r="1" spans="1:21" ht="13.8" x14ac:dyDescent="0.25">
      <c r="A1" s="20" t="s">
        <v>148</v>
      </c>
      <c r="B1" s="21">
        <v>2016</v>
      </c>
      <c r="C1" s="21">
        <f t="shared" ref="C1:T1" si="0">B1+1</f>
        <v>2017</v>
      </c>
      <c r="D1" s="21">
        <f t="shared" si="0"/>
        <v>2018</v>
      </c>
      <c r="E1" s="21">
        <f t="shared" si="0"/>
        <v>2019</v>
      </c>
      <c r="F1" s="21">
        <f t="shared" si="0"/>
        <v>2020</v>
      </c>
      <c r="G1" s="21">
        <f t="shared" si="0"/>
        <v>2021</v>
      </c>
      <c r="H1" s="21">
        <f t="shared" si="0"/>
        <v>2022</v>
      </c>
      <c r="I1" s="21">
        <f t="shared" si="0"/>
        <v>2023</v>
      </c>
      <c r="J1" s="21">
        <f t="shared" si="0"/>
        <v>2024</v>
      </c>
      <c r="K1" s="22">
        <f t="shared" si="0"/>
        <v>2025</v>
      </c>
      <c r="L1" s="22">
        <f t="shared" si="0"/>
        <v>2026</v>
      </c>
      <c r="M1" s="22">
        <f t="shared" si="0"/>
        <v>2027</v>
      </c>
      <c r="N1" s="22">
        <f t="shared" si="0"/>
        <v>2028</v>
      </c>
      <c r="O1" s="22">
        <f t="shared" si="0"/>
        <v>2029</v>
      </c>
      <c r="P1" s="22">
        <f t="shared" si="0"/>
        <v>2030</v>
      </c>
      <c r="Q1" s="82">
        <f t="shared" si="0"/>
        <v>2031</v>
      </c>
      <c r="R1" s="82">
        <f t="shared" si="0"/>
        <v>2032</v>
      </c>
      <c r="S1" s="82">
        <f t="shared" si="0"/>
        <v>2033</v>
      </c>
      <c r="T1" s="82">
        <f t="shared" si="0"/>
        <v>2034</v>
      </c>
      <c r="U1" s="83" t="s">
        <v>119</v>
      </c>
    </row>
    <row r="2" spans="1:21" ht="13.8" x14ac:dyDescent="0.25">
      <c r="A2" s="24" t="s">
        <v>0</v>
      </c>
      <c r="B2" s="25"/>
      <c r="C2" s="25"/>
      <c r="D2" s="25"/>
      <c r="E2" s="25"/>
      <c r="F2" s="25"/>
      <c r="G2" s="25"/>
      <c r="H2" s="25"/>
      <c r="I2" s="25"/>
      <c r="J2" s="23"/>
      <c r="K2" s="23"/>
      <c r="L2" s="23"/>
      <c r="M2" s="23"/>
      <c r="N2" s="23"/>
      <c r="O2" s="23"/>
      <c r="P2" s="23"/>
    </row>
    <row r="3" spans="1:21" ht="13.8" x14ac:dyDescent="0.25">
      <c r="A3" s="26" t="s">
        <v>1</v>
      </c>
      <c r="B3" s="27">
        <v>30700.880000000001</v>
      </c>
      <c r="C3" s="28">
        <v>30871.59</v>
      </c>
      <c r="D3" s="28">
        <v>32871.82</v>
      </c>
      <c r="E3" s="28">
        <v>33650.54</v>
      </c>
      <c r="F3" s="28">
        <v>28836.09</v>
      </c>
      <c r="G3" s="28">
        <v>30800.62</v>
      </c>
      <c r="H3" s="28">
        <v>29245.47</v>
      </c>
      <c r="I3" s="28">
        <v>33805.65</v>
      </c>
      <c r="J3" s="27">
        <v>37455.72</v>
      </c>
      <c r="K3" s="27">
        <f>(K93*K114)/10^7</f>
        <v>45746.874948912642</v>
      </c>
      <c r="L3" s="27">
        <f t="shared" ref="L3:P3" si="1">(L93*L114)/10^7</f>
        <v>49117.653865902997</v>
      </c>
      <c r="M3" s="27">
        <f t="shared" si="1"/>
        <v>52747.362749909342</v>
      </c>
      <c r="N3" s="27">
        <f t="shared" si="1"/>
        <v>56656.918989723439</v>
      </c>
      <c r="O3" s="27">
        <f t="shared" si="1"/>
        <v>60869.025646203088</v>
      </c>
      <c r="P3" s="27">
        <f t="shared" si="1"/>
        <v>65408.332399910119</v>
      </c>
    </row>
    <row r="4" spans="1:21" ht="13.8" x14ac:dyDescent="0.25">
      <c r="A4" s="26" t="s">
        <v>2</v>
      </c>
      <c r="B4" s="27">
        <v>422.43</v>
      </c>
      <c r="C4" s="28">
        <v>522.42999999999995</v>
      </c>
      <c r="D4" s="28">
        <v>525.82000000000005</v>
      </c>
      <c r="E4" s="28">
        <v>691.25</v>
      </c>
      <c r="F4" s="28">
        <v>778.34</v>
      </c>
      <c r="G4" s="28">
        <v>579.85</v>
      </c>
      <c r="H4" s="28">
        <v>556.91</v>
      </c>
      <c r="I4" s="28">
        <v>565.16</v>
      </c>
      <c r="J4" s="27">
        <v>892.55</v>
      </c>
      <c r="K4" s="29">
        <f>J4</f>
        <v>892.55</v>
      </c>
      <c r="L4" s="29">
        <f>K4</f>
        <v>892.55</v>
      </c>
      <c r="M4" s="29">
        <f t="shared" ref="M4:P4" si="2">L4</f>
        <v>892.55</v>
      </c>
      <c r="N4" s="29">
        <f t="shared" si="2"/>
        <v>892.55</v>
      </c>
      <c r="O4" s="29">
        <f t="shared" si="2"/>
        <v>892.55</v>
      </c>
      <c r="P4" s="29">
        <f t="shared" si="2"/>
        <v>892.55</v>
      </c>
    </row>
    <row r="5" spans="1:21" ht="13.8" x14ac:dyDescent="0.25">
      <c r="A5" s="26"/>
      <c r="B5" s="23"/>
      <c r="C5" s="23"/>
      <c r="D5" s="23"/>
      <c r="E5" s="23"/>
      <c r="F5" s="23"/>
      <c r="G5" s="23"/>
      <c r="H5" s="23"/>
      <c r="I5" s="23"/>
      <c r="J5" s="23"/>
      <c r="K5" s="23"/>
      <c r="L5" s="23"/>
      <c r="M5" s="23"/>
      <c r="N5" s="23"/>
      <c r="O5" s="23"/>
      <c r="P5" s="23"/>
    </row>
    <row r="6" spans="1:21" ht="13.8" x14ac:dyDescent="0.25">
      <c r="A6" s="24" t="s">
        <v>3</v>
      </c>
      <c r="B6" s="30">
        <f t="shared" ref="B6:P6" si="3">SUM(B3:B4)</f>
        <v>31123.31</v>
      </c>
      <c r="C6" s="30">
        <f t="shared" si="3"/>
        <v>31394.02</v>
      </c>
      <c r="D6" s="30">
        <f t="shared" si="3"/>
        <v>33397.64</v>
      </c>
      <c r="E6" s="30">
        <f t="shared" si="3"/>
        <v>34341.79</v>
      </c>
      <c r="F6" s="30">
        <f t="shared" si="3"/>
        <v>29614.43</v>
      </c>
      <c r="G6" s="30">
        <f t="shared" si="3"/>
        <v>31380.469999999998</v>
      </c>
      <c r="H6" s="30">
        <f t="shared" si="3"/>
        <v>29802.38</v>
      </c>
      <c r="I6" s="30">
        <f t="shared" si="3"/>
        <v>34370.810000000005</v>
      </c>
      <c r="J6" s="30">
        <f t="shared" si="3"/>
        <v>38348.270000000004</v>
      </c>
      <c r="K6" s="30">
        <f t="shared" si="3"/>
        <v>46639.424948912645</v>
      </c>
      <c r="L6" s="30">
        <f t="shared" si="3"/>
        <v>50010.203865903</v>
      </c>
      <c r="M6" s="30">
        <f t="shared" si="3"/>
        <v>53639.912749909345</v>
      </c>
      <c r="N6" s="30">
        <f t="shared" si="3"/>
        <v>57549.468989723442</v>
      </c>
      <c r="O6" s="30">
        <f t="shared" si="3"/>
        <v>61761.575646203091</v>
      </c>
      <c r="P6" s="30">
        <f t="shared" si="3"/>
        <v>66300.882399910115</v>
      </c>
    </row>
    <row r="7" spans="1:21" ht="13.8" x14ac:dyDescent="0.25">
      <c r="A7" s="26"/>
      <c r="B7" s="23"/>
      <c r="C7" s="23"/>
      <c r="D7" s="23"/>
      <c r="E7" s="23"/>
      <c r="F7" s="23"/>
      <c r="G7" s="23"/>
      <c r="H7" s="23"/>
      <c r="I7" s="23"/>
      <c r="J7" s="23"/>
      <c r="K7" s="23"/>
      <c r="L7" s="23"/>
      <c r="M7" s="23"/>
      <c r="N7" s="23"/>
      <c r="O7" s="23"/>
      <c r="P7" s="23"/>
    </row>
    <row r="8" spans="1:21" ht="13.8" x14ac:dyDescent="0.25">
      <c r="A8" s="24" t="s">
        <v>4</v>
      </c>
      <c r="B8" s="23"/>
      <c r="C8" s="23"/>
      <c r="D8" s="23"/>
      <c r="E8" s="23"/>
      <c r="F8" s="23"/>
      <c r="G8" s="23"/>
      <c r="H8" s="23"/>
      <c r="I8" s="23"/>
      <c r="J8" s="23"/>
      <c r="K8" s="23"/>
      <c r="L8" s="23"/>
      <c r="M8" s="23"/>
      <c r="N8" s="23"/>
      <c r="O8" s="23"/>
      <c r="P8" s="23"/>
    </row>
    <row r="9" spans="1:21" ht="13.8" x14ac:dyDescent="0.25">
      <c r="A9" s="26" t="s">
        <v>5</v>
      </c>
      <c r="B9" s="27">
        <v>19321.72</v>
      </c>
      <c r="C9" s="28">
        <v>18974.11</v>
      </c>
      <c r="D9" s="28">
        <v>21857.79</v>
      </c>
      <c r="E9" s="28">
        <v>23346.1</v>
      </c>
      <c r="F9" s="28">
        <v>19867.189999999999</v>
      </c>
      <c r="G9" s="28">
        <v>21875.33</v>
      </c>
      <c r="H9" s="28">
        <v>20708.07</v>
      </c>
      <c r="I9" s="28">
        <v>24019.73</v>
      </c>
      <c r="J9" s="27">
        <v>24767.46</v>
      </c>
      <c r="K9" s="31">
        <f t="shared" ref="K9:P13" si="4">K$3*K119</f>
        <v>30913.351683067489</v>
      </c>
      <c r="L9" s="31">
        <f t="shared" si="4"/>
        <v>33191.148236890207</v>
      </c>
      <c r="M9" s="31">
        <f t="shared" si="4"/>
        <v>35643.916155217921</v>
      </c>
      <c r="N9" s="31">
        <f t="shared" si="4"/>
        <v>38285.790318230596</v>
      </c>
      <c r="O9" s="31">
        <f t="shared" si="4"/>
        <v>41132.112270140009</v>
      </c>
      <c r="P9" s="31">
        <f t="shared" si="4"/>
        <v>44199.53897920758</v>
      </c>
    </row>
    <row r="10" spans="1:21" ht="13.8" x14ac:dyDescent="0.25">
      <c r="A10" s="26" t="s">
        <v>6</v>
      </c>
      <c r="B10" s="27"/>
      <c r="C10" s="27"/>
      <c r="D10" s="27"/>
      <c r="E10" s="27"/>
      <c r="F10" s="27"/>
      <c r="G10" s="28">
        <v>30.46</v>
      </c>
      <c r="H10" s="28">
        <v>45.95</v>
      </c>
      <c r="I10" s="28">
        <v>47.43</v>
      </c>
      <c r="J10" s="27">
        <v>484.2</v>
      </c>
      <c r="K10" s="31">
        <f t="shared" si="4"/>
        <v>85.853714556850562</v>
      </c>
      <c r="L10" s="31">
        <f t="shared" si="4"/>
        <v>92.17969619596181</v>
      </c>
      <c r="M10" s="31">
        <f t="shared" si="4"/>
        <v>98.991614841769817</v>
      </c>
      <c r="N10" s="31">
        <f t="shared" si="4"/>
        <v>106.32872641128768</v>
      </c>
      <c r="O10" s="31">
        <f t="shared" si="4"/>
        <v>114.23363801393278</v>
      </c>
      <c r="P10" s="31">
        <f t="shared" si="4"/>
        <v>122.75261000390934</v>
      </c>
    </row>
    <row r="11" spans="1:21" ht="13.8" x14ac:dyDescent="0.25">
      <c r="A11" s="26" t="s">
        <v>7</v>
      </c>
      <c r="B11" s="27">
        <v>-11.88</v>
      </c>
      <c r="C11" s="28">
        <v>63.17</v>
      </c>
      <c r="D11" s="28">
        <v>-23.15</v>
      </c>
      <c r="E11" s="28">
        <v>-28.38</v>
      </c>
      <c r="F11" s="28">
        <v>-169.78</v>
      </c>
      <c r="G11" s="28">
        <v>-143.46</v>
      </c>
      <c r="H11" s="28">
        <v>72.709999999999994</v>
      </c>
      <c r="I11" s="28">
        <v>-209.04</v>
      </c>
      <c r="J11" s="27">
        <v>179.11</v>
      </c>
      <c r="K11" s="31">
        <f t="shared" si="4"/>
        <v>-47.522348912623293</v>
      </c>
      <c r="L11" s="31">
        <f t="shared" si="4"/>
        <v>-51.023950540699921</v>
      </c>
      <c r="M11" s="31">
        <f t="shared" si="4"/>
        <v>-54.79453142146231</v>
      </c>
      <c r="N11" s="31">
        <f t="shared" si="4"/>
        <v>-58.855820764820727</v>
      </c>
      <c r="O11" s="31">
        <f t="shared" si="4"/>
        <v>-63.231402756157749</v>
      </c>
      <c r="P11" s="31">
        <f t="shared" si="4"/>
        <v>-67.946883750476914</v>
      </c>
    </row>
    <row r="12" spans="1:21" ht="13.8" x14ac:dyDescent="0.25">
      <c r="A12" s="26" t="s">
        <v>8</v>
      </c>
      <c r="B12" s="27">
        <v>1315.93</v>
      </c>
      <c r="C12" s="28">
        <v>1396.01</v>
      </c>
      <c r="D12" s="28">
        <v>1540.13</v>
      </c>
      <c r="E12" s="28">
        <v>1730.24</v>
      </c>
      <c r="F12" s="28">
        <v>1841.7</v>
      </c>
      <c r="G12" s="28">
        <v>1898.72</v>
      </c>
      <c r="H12" s="28">
        <v>1935.44</v>
      </c>
      <c r="I12" s="28">
        <v>2189.83</v>
      </c>
      <c r="J12" s="27">
        <v>2402.34</v>
      </c>
      <c r="K12" s="31">
        <f t="shared" si="4"/>
        <v>2576.8758841505328</v>
      </c>
      <c r="L12" s="31">
        <f t="shared" si="4"/>
        <v>2766.7485019347114</v>
      </c>
      <c r="M12" s="31">
        <f t="shared" si="4"/>
        <v>2971.2063867657102</v>
      </c>
      <c r="N12" s="31">
        <f t="shared" si="4"/>
        <v>3191.4277943122961</v>
      </c>
      <c r="O12" s="31">
        <f t="shared" si="4"/>
        <v>3428.6915653714891</v>
      </c>
      <c r="P12" s="31">
        <f t="shared" si="4"/>
        <v>3684.386191888646</v>
      </c>
    </row>
    <row r="13" spans="1:21" ht="15.75" customHeight="1" x14ac:dyDescent="0.25">
      <c r="A13" s="26" t="s">
        <v>9</v>
      </c>
      <c r="B13" s="27">
        <v>3361.96</v>
      </c>
      <c r="C13" s="28">
        <v>3432.36</v>
      </c>
      <c r="D13" s="28">
        <v>3575.53</v>
      </c>
      <c r="E13" s="28">
        <v>3672.49</v>
      </c>
      <c r="F13" s="28">
        <v>3339.02</v>
      </c>
      <c r="G13" s="28">
        <v>3120.33</v>
      </c>
      <c r="H13" s="28">
        <v>3114.53</v>
      </c>
      <c r="I13" s="28">
        <v>3771.47</v>
      </c>
      <c r="J13" s="27">
        <v>4366.8999999999996</v>
      </c>
      <c r="K13" s="31">
        <f t="shared" si="4"/>
        <v>5897.3595805459836</v>
      </c>
      <c r="L13" s="31">
        <f t="shared" si="4"/>
        <v>6331.896264466247</v>
      </c>
      <c r="M13" s="31">
        <f t="shared" si="4"/>
        <v>6799.8123458508726</v>
      </c>
      <c r="N13" s="31">
        <f t="shared" si="4"/>
        <v>7303.8043446988513</v>
      </c>
      <c r="O13" s="31">
        <f t="shared" si="4"/>
        <v>7846.7989770668964</v>
      </c>
      <c r="P13" s="31">
        <f t="shared" si="4"/>
        <v>8431.9739032865837</v>
      </c>
    </row>
    <row r="14" spans="1:21" ht="15.75" customHeight="1" x14ac:dyDescent="0.25">
      <c r="A14" s="26" t="s">
        <v>10</v>
      </c>
      <c r="B14" s="27">
        <v>2258.1799999999998</v>
      </c>
      <c r="C14" s="28">
        <v>2371.13</v>
      </c>
      <c r="D14" s="28">
        <v>641.33000000000004</v>
      </c>
      <c r="E14" s="27"/>
      <c r="F14" s="27"/>
      <c r="G14" s="27"/>
      <c r="H14" s="27"/>
      <c r="I14" s="27"/>
      <c r="J14" s="27"/>
      <c r="K14" s="32"/>
      <c r="L14" s="32"/>
      <c r="M14" s="32"/>
      <c r="N14" s="32"/>
      <c r="O14" s="32"/>
      <c r="P14" s="32"/>
    </row>
    <row r="15" spans="1:21" ht="13.8" x14ac:dyDescent="0.25">
      <c r="A15" s="26"/>
      <c r="B15" s="23"/>
      <c r="C15" s="23"/>
      <c r="D15" s="23"/>
      <c r="E15" s="23"/>
      <c r="F15" s="23"/>
      <c r="G15" s="23"/>
      <c r="H15" s="23"/>
      <c r="I15" s="23"/>
      <c r="J15" s="23"/>
      <c r="K15" s="23"/>
      <c r="L15" s="23"/>
      <c r="M15" s="23"/>
      <c r="N15" s="23"/>
      <c r="O15" s="23"/>
      <c r="P15" s="23"/>
    </row>
    <row r="16" spans="1:21" s="2" customFormat="1" ht="13.8" x14ac:dyDescent="0.25">
      <c r="A16" s="20" t="s">
        <v>11</v>
      </c>
      <c r="B16" s="33">
        <f t="shared" ref="B16:P16" si="5">SUM(B9:B14)</f>
        <v>26245.91</v>
      </c>
      <c r="C16" s="33">
        <f t="shared" si="5"/>
        <v>26236.78</v>
      </c>
      <c r="D16" s="33">
        <f t="shared" si="5"/>
        <v>27591.63</v>
      </c>
      <c r="E16" s="33">
        <f t="shared" si="5"/>
        <v>28720.449999999997</v>
      </c>
      <c r="F16" s="33">
        <f t="shared" si="5"/>
        <v>24878.13</v>
      </c>
      <c r="G16" s="33">
        <f t="shared" si="5"/>
        <v>26781.380000000005</v>
      </c>
      <c r="H16" s="33">
        <f t="shared" si="5"/>
        <v>25876.699999999997</v>
      </c>
      <c r="I16" s="33">
        <f t="shared" si="5"/>
        <v>29819.42</v>
      </c>
      <c r="J16" s="33">
        <f t="shared" si="5"/>
        <v>32200.010000000002</v>
      </c>
      <c r="K16" s="33">
        <f t="shared" si="5"/>
        <v>39425.918513408236</v>
      </c>
      <c r="L16" s="33">
        <f t="shared" si="5"/>
        <v>42330.94874894643</v>
      </c>
      <c r="M16" s="33">
        <f t="shared" si="5"/>
        <v>45459.131971254814</v>
      </c>
      <c r="N16" s="33">
        <f t="shared" si="5"/>
        <v>48828.495362888207</v>
      </c>
      <c r="O16" s="33">
        <f t="shared" si="5"/>
        <v>52458.605047836165</v>
      </c>
      <c r="P16" s="33">
        <f t="shared" si="5"/>
        <v>56370.704800636246</v>
      </c>
    </row>
    <row r="17" spans="1:16" ht="13.8" x14ac:dyDescent="0.25">
      <c r="A17" s="26"/>
      <c r="B17" s="28"/>
      <c r="C17" s="28"/>
      <c r="D17" s="28"/>
      <c r="E17" s="28"/>
      <c r="F17" s="28"/>
      <c r="G17" s="28"/>
      <c r="H17" s="28"/>
      <c r="I17" s="28"/>
      <c r="J17" s="28"/>
      <c r="K17" s="23"/>
      <c r="L17" s="23"/>
      <c r="M17" s="23"/>
      <c r="N17" s="23"/>
      <c r="O17" s="23"/>
      <c r="P17" s="23"/>
    </row>
    <row r="18" spans="1:16" s="2" customFormat="1" ht="13.8" x14ac:dyDescent="0.25">
      <c r="A18" s="20" t="s">
        <v>12</v>
      </c>
      <c r="B18" s="33">
        <f t="shared" ref="B18:P18" si="6">B6-B16</f>
        <v>4877.4000000000015</v>
      </c>
      <c r="C18" s="33">
        <f t="shared" si="6"/>
        <v>5157.2400000000016</v>
      </c>
      <c r="D18" s="33">
        <f t="shared" si="6"/>
        <v>5806.0099999999984</v>
      </c>
      <c r="E18" s="33">
        <f t="shared" si="6"/>
        <v>5621.3400000000038</v>
      </c>
      <c r="F18" s="33">
        <f t="shared" si="6"/>
        <v>4736.2999999999993</v>
      </c>
      <c r="G18" s="33">
        <f t="shared" si="6"/>
        <v>4599.0899999999929</v>
      </c>
      <c r="H18" s="33">
        <f t="shared" si="6"/>
        <v>3925.6800000000039</v>
      </c>
      <c r="I18" s="33">
        <f t="shared" si="6"/>
        <v>4551.3900000000067</v>
      </c>
      <c r="J18" s="33">
        <f t="shared" si="6"/>
        <v>6148.260000000002</v>
      </c>
      <c r="K18" s="33">
        <f t="shared" si="6"/>
        <v>7213.5064355044087</v>
      </c>
      <c r="L18" s="33">
        <f t="shared" si="6"/>
        <v>7679.2551169565704</v>
      </c>
      <c r="M18" s="33">
        <f t="shared" si="6"/>
        <v>8180.7807786545309</v>
      </c>
      <c r="N18" s="33">
        <f t="shared" si="6"/>
        <v>8720.9736268352353</v>
      </c>
      <c r="O18" s="33">
        <f t="shared" si="6"/>
        <v>9302.9705983669264</v>
      </c>
      <c r="P18" s="33">
        <f t="shared" si="6"/>
        <v>9930.1775992738694</v>
      </c>
    </row>
    <row r="19" spans="1:16" ht="13.8" x14ac:dyDescent="0.25">
      <c r="A19" s="26"/>
      <c r="B19" s="28"/>
      <c r="C19" s="28"/>
      <c r="D19" s="28"/>
      <c r="E19" s="28"/>
      <c r="F19" s="28"/>
      <c r="G19" s="28"/>
      <c r="H19" s="28"/>
      <c r="I19" s="28"/>
      <c r="J19" s="28"/>
      <c r="K19" s="23"/>
      <c r="L19" s="23"/>
      <c r="M19" s="23"/>
      <c r="N19" s="23"/>
      <c r="O19" s="23"/>
      <c r="P19" s="23"/>
    </row>
    <row r="20" spans="1:16" ht="13.8" x14ac:dyDescent="0.25">
      <c r="A20" s="26" t="s">
        <v>13</v>
      </c>
      <c r="B20" s="27">
        <v>437.64</v>
      </c>
      <c r="C20" s="28">
        <v>492.73</v>
      </c>
      <c r="D20" s="28">
        <v>555.6</v>
      </c>
      <c r="E20" s="28">
        <v>602.01</v>
      </c>
      <c r="F20" s="28">
        <v>817.96</v>
      </c>
      <c r="G20" s="28">
        <v>676.87</v>
      </c>
      <c r="H20" s="28">
        <v>649.75</v>
      </c>
      <c r="I20" s="28">
        <v>656.96</v>
      </c>
      <c r="J20" s="27">
        <v>711.41</v>
      </c>
      <c r="K20" s="28">
        <f>K197</f>
        <v>785.91</v>
      </c>
      <c r="L20" s="28">
        <f t="shared" ref="L20:P20" si="7">L197</f>
        <v>805.60799999999995</v>
      </c>
      <c r="M20" s="28">
        <f t="shared" si="7"/>
        <v>825.30600000000004</v>
      </c>
      <c r="N20" s="28">
        <f t="shared" si="7"/>
        <v>845.00399999999991</v>
      </c>
      <c r="O20" s="28">
        <f t="shared" si="7"/>
        <v>864.702</v>
      </c>
      <c r="P20" s="28">
        <f t="shared" si="7"/>
        <v>884.4</v>
      </c>
    </row>
    <row r="21" spans="1:16" ht="13.8" x14ac:dyDescent="0.25">
      <c r="A21" s="26"/>
      <c r="B21" s="28"/>
      <c r="C21" s="28"/>
      <c r="D21" s="28"/>
      <c r="E21" s="28"/>
      <c r="F21" s="28"/>
      <c r="G21" s="28"/>
      <c r="H21" s="28"/>
      <c r="I21" s="28"/>
      <c r="J21" s="28"/>
      <c r="K21" s="23"/>
      <c r="L21" s="23"/>
      <c r="M21" s="23"/>
      <c r="N21" s="23"/>
      <c r="O21" s="23"/>
      <c r="P21" s="23"/>
    </row>
    <row r="22" spans="1:16" ht="13.8" x14ac:dyDescent="0.25">
      <c r="A22" s="24" t="s">
        <v>14</v>
      </c>
      <c r="B22" s="30">
        <f t="shared" ref="B22:P22" si="8">B18-B20</f>
        <v>4439.7600000000011</v>
      </c>
      <c r="C22" s="30">
        <f t="shared" si="8"/>
        <v>4664.510000000002</v>
      </c>
      <c r="D22" s="30">
        <f t="shared" si="8"/>
        <v>5250.409999999998</v>
      </c>
      <c r="E22" s="30">
        <f t="shared" si="8"/>
        <v>5019.3300000000036</v>
      </c>
      <c r="F22" s="30">
        <f t="shared" si="8"/>
        <v>3918.3399999999992</v>
      </c>
      <c r="G22" s="30">
        <f t="shared" si="8"/>
        <v>3922.219999999993</v>
      </c>
      <c r="H22" s="30">
        <f t="shared" si="8"/>
        <v>3275.9300000000039</v>
      </c>
      <c r="I22" s="30">
        <f t="shared" si="8"/>
        <v>3894.4300000000067</v>
      </c>
      <c r="J22" s="30">
        <f t="shared" si="8"/>
        <v>5436.8500000000022</v>
      </c>
      <c r="K22" s="30">
        <f t="shared" si="8"/>
        <v>6427.5964355044089</v>
      </c>
      <c r="L22" s="30">
        <f t="shared" si="8"/>
        <v>6873.6471169565702</v>
      </c>
      <c r="M22" s="30">
        <f t="shared" si="8"/>
        <v>7355.4747786545304</v>
      </c>
      <c r="N22" s="30">
        <f t="shared" si="8"/>
        <v>7875.9696268352354</v>
      </c>
      <c r="O22" s="30">
        <f t="shared" si="8"/>
        <v>8438.2685983669271</v>
      </c>
      <c r="P22" s="30">
        <f t="shared" si="8"/>
        <v>9045.7775992738698</v>
      </c>
    </row>
    <row r="23" spans="1:16" ht="13.8" x14ac:dyDescent="0.25">
      <c r="A23" s="26"/>
      <c r="B23" s="28"/>
      <c r="C23" s="28"/>
      <c r="D23" s="28"/>
      <c r="E23" s="28"/>
      <c r="F23" s="28"/>
      <c r="G23" s="28"/>
      <c r="H23" s="28"/>
      <c r="I23" s="28"/>
      <c r="J23" s="28"/>
      <c r="K23" s="23"/>
      <c r="L23" s="23"/>
      <c r="M23" s="23"/>
      <c r="N23" s="23"/>
      <c r="O23" s="23"/>
      <c r="P23" s="23"/>
    </row>
    <row r="24" spans="1:16" ht="13.8" x14ac:dyDescent="0.25">
      <c r="A24" s="26" t="s">
        <v>15</v>
      </c>
      <c r="B24" s="35">
        <v>5</v>
      </c>
      <c r="C24" s="28">
        <v>6.05</v>
      </c>
      <c r="D24" s="28">
        <v>6.25</v>
      </c>
      <c r="E24" s="28">
        <v>8.6</v>
      </c>
      <c r="F24" s="28">
        <v>22.02</v>
      </c>
      <c r="G24" s="28">
        <v>21.84</v>
      </c>
      <c r="H24" s="28">
        <v>25.8</v>
      </c>
      <c r="I24" s="28">
        <v>19.87</v>
      </c>
      <c r="J24" s="27">
        <v>18.5</v>
      </c>
      <c r="K24" s="36">
        <f>J24</f>
        <v>18.5</v>
      </c>
      <c r="L24" s="36">
        <f t="shared" ref="L24:P24" si="9">K24</f>
        <v>18.5</v>
      </c>
      <c r="M24" s="36">
        <f t="shared" si="9"/>
        <v>18.5</v>
      </c>
      <c r="N24" s="36">
        <f t="shared" si="9"/>
        <v>18.5</v>
      </c>
      <c r="O24" s="36">
        <f t="shared" si="9"/>
        <v>18.5</v>
      </c>
      <c r="P24" s="36">
        <f t="shared" si="9"/>
        <v>18.5</v>
      </c>
    </row>
    <row r="25" spans="1:16" ht="13.8" x14ac:dyDescent="0.25">
      <c r="A25" s="26"/>
      <c r="B25" s="28"/>
      <c r="C25" s="28"/>
      <c r="D25" s="28"/>
      <c r="E25" s="28"/>
      <c r="F25" s="28"/>
      <c r="G25" s="28"/>
      <c r="H25" s="28"/>
      <c r="I25" s="28"/>
      <c r="J25" s="28"/>
      <c r="K25" s="23"/>
      <c r="L25" s="23"/>
      <c r="M25" s="23"/>
      <c r="N25" s="23"/>
      <c r="O25" s="23"/>
      <c r="P25" s="23"/>
    </row>
    <row r="26" spans="1:16" ht="13.8" x14ac:dyDescent="0.25">
      <c r="A26" s="24" t="s">
        <v>16</v>
      </c>
      <c r="B26" s="30">
        <f t="shared" ref="B26:P26" si="10">B22-B24</f>
        <v>4434.7600000000011</v>
      </c>
      <c r="C26" s="30">
        <f t="shared" si="10"/>
        <v>4658.4600000000019</v>
      </c>
      <c r="D26" s="30">
        <f t="shared" si="10"/>
        <v>5244.159999999998</v>
      </c>
      <c r="E26" s="30">
        <f t="shared" si="10"/>
        <v>5010.7300000000032</v>
      </c>
      <c r="F26" s="30">
        <f t="shared" si="10"/>
        <v>3896.3199999999993</v>
      </c>
      <c r="G26" s="30">
        <f t="shared" si="10"/>
        <v>3900.3799999999928</v>
      </c>
      <c r="H26" s="30">
        <f t="shared" si="10"/>
        <v>3250.1300000000037</v>
      </c>
      <c r="I26" s="30">
        <f t="shared" si="10"/>
        <v>3874.5600000000068</v>
      </c>
      <c r="J26" s="30">
        <f t="shared" si="10"/>
        <v>5418.3500000000022</v>
      </c>
      <c r="K26" s="30">
        <f t="shared" si="10"/>
        <v>6409.0964355044089</v>
      </c>
      <c r="L26" s="30">
        <f t="shared" si="10"/>
        <v>6855.1471169565702</v>
      </c>
      <c r="M26" s="30">
        <f t="shared" si="10"/>
        <v>7336.9747786545304</v>
      </c>
      <c r="N26" s="30">
        <f t="shared" si="10"/>
        <v>7857.4696268352354</v>
      </c>
      <c r="O26" s="30">
        <f t="shared" si="10"/>
        <v>8419.7685983669271</v>
      </c>
      <c r="P26" s="30">
        <f t="shared" si="10"/>
        <v>9027.2775992738698</v>
      </c>
    </row>
    <row r="27" spans="1:16" ht="13.8" x14ac:dyDescent="0.25">
      <c r="A27" s="26" t="s">
        <v>17</v>
      </c>
      <c r="B27" s="27"/>
      <c r="C27" s="27"/>
      <c r="D27" s="27"/>
      <c r="E27" s="27"/>
      <c r="F27" s="27">
        <f>737.48-60.11</f>
        <v>677.37</v>
      </c>
      <c r="G27" s="27"/>
      <c r="H27" s="27"/>
      <c r="I27" s="28"/>
      <c r="J27" s="27">
        <v>-160</v>
      </c>
      <c r="K27" s="37">
        <v>0</v>
      </c>
      <c r="L27" s="37">
        <f>K27</f>
        <v>0</v>
      </c>
      <c r="M27" s="37">
        <f t="shared" ref="M27:P27" si="11">L27</f>
        <v>0</v>
      </c>
      <c r="N27" s="37">
        <f t="shared" si="11"/>
        <v>0</v>
      </c>
      <c r="O27" s="37">
        <f t="shared" si="11"/>
        <v>0</v>
      </c>
      <c r="P27" s="37">
        <f t="shared" si="11"/>
        <v>0</v>
      </c>
    </row>
    <row r="28" spans="1:16" ht="13.8" x14ac:dyDescent="0.25">
      <c r="A28" s="24" t="s">
        <v>18</v>
      </c>
      <c r="B28" s="30">
        <f t="shared" ref="B28:P28" si="12">SUM(B26:B27)</f>
        <v>4434.7600000000011</v>
      </c>
      <c r="C28" s="30">
        <f t="shared" si="12"/>
        <v>4658.4600000000019</v>
      </c>
      <c r="D28" s="30">
        <f t="shared" si="12"/>
        <v>5244.159999999998</v>
      </c>
      <c r="E28" s="30">
        <f t="shared" si="12"/>
        <v>5010.7300000000032</v>
      </c>
      <c r="F28" s="30">
        <f t="shared" si="12"/>
        <v>4573.6899999999996</v>
      </c>
      <c r="G28" s="30">
        <f t="shared" si="12"/>
        <v>3900.3799999999928</v>
      </c>
      <c r="H28" s="30">
        <f t="shared" si="12"/>
        <v>3250.1300000000037</v>
      </c>
      <c r="I28" s="30">
        <f t="shared" si="12"/>
        <v>3874.5600000000068</v>
      </c>
      <c r="J28" s="30">
        <f t="shared" si="12"/>
        <v>5258.3500000000022</v>
      </c>
      <c r="K28" s="30">
        <f t="shared" si="12"/>
        <v>6409.0964355044089</v>
      </c>
      <c r="L28" s="30">
        <f t="shared" si="12"/>
        <v>6855.1471169565702</v>
      </c>
      <c r="M28" s="30">
        <f t="shared" si="12"/>
        <v>7336.9747786545304</v>
      </c>
      <c r="N28" s="30">
        <f t="shared" si="12"/>
        <v>7857.4696268352354</v>
      </c>
      <c r="O28" s="30">
        <f t="shared" si="12"/>
        <v>8419.7685983669271</v>
      </c>
      <c r="P28" s="30">
        <f t="shared" si="12"/>
        <v>9027.2775992738698</v>
      </c>
    </row>
    <row r="29" spans="1:16" ht="13.8" x14ac:dyDescent="0.25">
      <c r="A29" s="26"/>
      <c r="B29" s="28"/>
      <c r="C29" s="28"/>
      <c r="D29" s="28"/>
      <c r="E29" s="28"/>
      <c r="F29" s="28"/>
      <c r="G29" s="28"/>
      <c r="H29" s="28"/>
      <c r="I29" s="28"/>
      <c r="J29" s="28"/>
      <c r="K29" s="23"/>
      <c r="L29" s="23"/>
      <c r="M29" s="23"/>
      <c r="N29" s="23"/>
      <c r="O29" s="23"/>
      <c r="P29" s="23"/>
    </row>
    <row r="30" spans="1:16" ht="13.8" x14ac:dyDescent="0.25">
      <c r="A30" s="26" t="s">
        <v>19</v>
      </c>
      <c r="B30" s="27">
        <v>1274.68</v>
      </c>
      <c r="C30" s="27">
        <f>1082.08+199.26</f>
        <v>1281.3399999999999</v>
      </c>
      <c r="D30" s="27">
        <f>1446.95+99.85</f>
        <v>1546.8</v>
      </c>
      <c r="E30" s="27">
        <f>1601.02+24.84</f>
        <v>1625.86</v>
      </c>
      <c r="F30" s="27">
        <f>1084.11-143.68</f>
        <v>940.42999999999984</v>
      </c>
      <c r="G30" s="27">
        <f>924.92+11.26</f>
        <v>936.18</v>
      </c>
      <c r="H30" s="27">
        <f>797.91-20.8</f>
        <v>777.11</v>
      </c>
      <c r="I30" s="28">
        <v>963.98</v>
      </c>
      <c r="J30" s="27">
        <v>1290.4000000000001</v>
      </c>
      <c r="K30" s="38">
        <f>K28*K31</f>
        <v>1922.7289306513226</v>
      </c>
      <c r="L30" s="38">
        <f t="shared" ref="L30:P30" si="13">L28*L31</f>
        <v>2056.544135086971</v>
      </c>
      <c r="M30" s="38">
        <f t="shared" si="13"/>
        <v>2201.0924335963591</v>
      </c>
      <c r="N30" s="38">
        <f t="shared" si="13"/>
        <v>2357.2408880505704</v>
      </c>
      <c r="O30" s="38">
        <f t="shared" si="13"/>
        <v>2525.9305795100781</v>
      </c>
      <c r="P30" s="38">
        <f t="shared" si="13"/>
        <v>2708.1832797821608</v>
      </c>
    </row>
    <row r="31" spans="1:16" ht="13.8" x14ac:dyDescent="0.25">
      <c r="A31" s="26"/>
      <c r="B31" s="28"/>
      <c r="C31" s="28"/>
      <c r="D31" s="28"/>
      <c r="E31" s="28"/>
      <c r="F31" s="28"/>
      <c r="G31" s="28"/>
      <c r="H31" s="28"/>
      <c r="I31" s="28"/>
      <c r="J31" s="28"/>
      <c r="K31" s="39">
        <v>0.3</v>
      </c>
      <c r="L31" s="39">
        <f>K31</f>
        <v>0.3</v>
      </c>
      <c r="M31" s="39">
        <f t="shared" ref="M31:P31" si="14">L31</f>
        <v>0.3</v>
      </c>
      <c r="N31" s="39">
        <f t="shared" si="14"/>
        <v>0.3</v>
      </c>
      <c r="O31" s="39">
        <f t="shared" si="14"/>
        <v>0.3</v>
      </c>
      <c r="P31" s="39">
        <f t="shared" si="14"/>
        <v>0.3</v>
      </c>
    </row>
    <row r="32" spans="1:16" ht="13.8" x14ac:dyDescent="0.25">
      <c r="A32" s="24" t="s">
        <v>20</v>
      </c>
      <c r="B32" s="30">
        <f t="shared" ref="B32:P32" si="15">B28-B30</f>
        <v>3160.0800000000008</v>
      </c>
      <c r="C32" s="30">
        <f t="shared" si="15"/>
        <v>3377.1200000000017</v>
      </c>
      <c r="D32" s="30">
        <f t="shared" si="15"/>
        <v>3697.3599999999979</v>
      </c>
      <c r="E32" s="30">
        <f t="shared" si="15"/>
        <v>3384.8700000000035</v>
      </c>
      <c r="F32" s="30">
        <f t="shared" si="15"/>
        <v>3633.2599999999998</v>
      </c>
      <c r="G32" s="30">
        <f t="shared" si="15"/>
        <v>2964.199999999993</v>
      </c>
      <c r="H32" s="30">
        <f t="shared" si="15"/>
        <v>2473.0200000000036</v>
      </c>
      <c r="I32" s="30">
        <f t="shared" si="15"/>
        <v>2910.5800000000067</v>
      </c>
      <c r="J32" s="30">
        <f t="shared" si="15"/>
        <v>3967.9500000000021</v>
      </c>
      <c r="K32" s="30">
        <f t="shared" si="15"/>
        <v>4486.3675048530858</v>
      </c>
      <c r="L32" s="30">
        <f t="shared" si="15"/>
        <v>4798.6029818695988</v>
      </c>
      <c r="M32" s="30">
        <f t="shared" si="15"/>
        <v>5135.8823450581713</v>
      </c>
      <c r="N32" s="30">
        <f t="shared" si="15"/>
        <v>5500.2287387846645</v>
      </c>
      <c r="O32" s="30">
        <f t="shared" si="15"/>
        <v>5893.838018856849</v>
      </c>
      <c r="P32" s="30">
        <f t="shared" si="15"/>
        <v>6319.094319491709</v>
      </c>
    </row>
    <row r="33" spans="1:23" ht="13.8" x14ac:dyDescent="0.25">
      <c r="A33" s="26"/>
      <c r="B33" s="27"/>
      <c r="C33" s="27"/>
      <c r="D33" s="27"/>
      <c r="E33" s="27"/>
      <c r="F33" s="27"/>
      <c r="G33" s="27"/>
      <c r="H33" s="27"/>
      <c r="I33" s="27"/>
      <c r="J33" s="27"/>
      <c r="K33" s="23"/>
      <c r="L33" s="23"/>
      <c r="M33" s="23"/>
      <c r="N33" s="23"/>
      <c r="O33" s="23"/>
      <c r="P33" s="23"/>
    </row>
    <row r="34" spans="1:23" ht="13.8" x14ac:dyDescent="0.25">
      <c r="A34" s="26"/>
      <c r="B34" s="28"/>
      <c r="C34" s="28"/>
      <c r="D34" s="28"/>
      <c r="E34" s="28"/>
      <c r="F34" s="28"/>
      <c r="G34" s="28"/>
      <c r="H34" s="28"/>
      <c r="I34" s="28"/>
      <c r="J34" s="28"/>
      <c r="K34" s="23"/>
      <c r="L34" s="23"/>
      <c r="M34" s="23"/>
      <c r="N34" s="23"/>
      <c r="O34" s="23"/>
      <c r="P34" s="23"/>
    </row>
    <row r="35" spans="1:23" ht="13.8" x14ac:dyDescent="0.25">
      <c r="A35" s="24" t="s">
        <v>21</v>
      </c>
      <c r="B35" s="30">
        <f>B32+B33</f>
        <v>3160.0800000000008</v>
      </c>
      <c r="C35" s="30">
        <f>C32+C33</f>
        <v>3377.1200000000017</v>
      </c>
      <c r="D35" s="30">
        <f>D32+D33</f>
        <v>3697.3599999999979</v>
      </c>
      <c r="E35" s="30">
        <f>E32+F33</f>
        <v>3384.8700000000035</v>
      </c>
      <c r="F35" s="30">
        <f t="shared" ref="F35:P35" si="16">F32+F33</f>
        <v>3633.2599999999998</v>
      </c>
      <c r="G35" s="30">
        <f t="shared" si="16"/>
        <v>2964.199999999993</v>
      </c>
      <c r="H35" s="30">
        <f t="shared" si="16"/>
        <v>2473.0200000000036</v>
      </c>
      <c r="I35" s="30">
        <f t="shared" si="16"/>
        <v>2910.5800000000067</v>
      </c>
      <c r="J35" s="33">
        <f t="shared" si="16"/>
        <v>3967.9500000000021</v>
      </c>
      <c r="K35" s="33">
        <f t="shared" si="16"/>
        <v>4486.3675048530858</v>
      </c>
      <c r="L35" s="33">
        <f t="shared" si="16"/>
        <v>4798.6029818695988</v>
      </c>
      <c r="M35" s="33">
        <f t="shared" si="16"/>
        <v>5135.8823450581713</v>
      </c>
      <c r="N35" s="33">
        <f t="shared" si="16"/>
        <v>5500.2287387846645</v>
      </c>
      <c r="O35" s="33">
        <f t="shared" si="16"/>
        <v>5893.838018856849</v>
      </c>
      <c r="P35" s="33">
        <f t="shared" si="16"/>
        <v>6319.094319491709</v>
      </c>
    </row>
    <row r="36" spans="1:23" ht="13.8" x14ac:dyDescent="0.25">
      <c r="A36" s="26"/>
      <c r="B36" s="28"/>
      <c r="C36" s="28"/>
      <c r="D36" s="28"/>
      <c r="E36" s="28"/>
      <c r="F36" s="28"/>
      <c r="G36" s="28"/>
      <c r="H36" s="28"/>
      <c r="I36" s="28"/>
      <c r="J36" s="28"/>
      <c r="K36" s="23"/>
      <c r="L36" s="23"/>
      <c r="M36" s="23"/>
      <c r="N36" s="23"/>
      <c r="O36" s="23"/>
      <c r="P36" s="23"/>
    </row>
    <row r="37" spans="1:23" ht="13.8" x14ac:dyDescent="0.25">
      <c r="A37" s="24" t="s">
        <v>22</v>
      </c>
      <c r="B37" s="28"/>
      <c r="C37" s="28"/>
      <c r="D37" s="28"/>
      <c r="E37" s="28"/>
      <c r="F37" s="28"/>
      <c r="G37" s="28"/>
      <c r="H37" s="28"/>
      <c r="I37" s="28"/>
      <c r="J37" s="28"/>
      <c r="K37" s="23"/>
      <c r="L37" s="23"/>
      <c r="M37" s="23"/>
      <c r="N37" s="23"/>
      <c r="O37" s="23"/>
      <c r="P37" s="23"/>
    </row>
    <row r="38" spans="1:23" ht="13.8" x14ac:dyDescent="0.25">
      <c r="A38" s="26"/>
      <c r="B38" s="28"/>
      <c r="C38" s="28"/>
      <c r="D38" s="28"/>
      <c r="E38" s="28"/>
      <c r="F38" s="28"/>
      <c r="G38" s="28"/>
      <c r="H38" s="28"/>
      <c r="I38" s="28"/>
      <c r="J38" s="28"/>
      <c r="K38" s="23"/>
      <c r="L38" s="23"/>
      <c r="M38" s="23"/>
      <c r="N38" s="23"/>
      <c r="O38" s="23"/>
      <c r="P38" s="23"/>
    </row>
    <row r="39" spans="1:23" ht="13.8" x14ac:dyDescent="0.25">
      <c r="A39" s="26" t="s">
        <v>23</v>
      </c>
      <c r="B39" s="28"/>
      <c r="C39" s="28"/>
      <c r="D39" s="28"/>
      <c r="E39" s="28"/>
      <c r="F39" s="28"/>
      <c r="G39" s="28"/>
      <c r="H39" s="28"/>
      <c r="I39" s="28"/>
      <c r="J39" s="28"/>
      <c r="K39" s="23"/>
      <c r="L39" s="23"/>
      <c r="M39" s="23"/>
      <c r="N39" s="23"/>
      <c r="O39" s="23"/>
      <c r="P39" s="23"/>
    </row>
    <row r="40" spans="1:23" ht="13.8" x14ac:dyDescent="0.25">
      <c r="A40" s="26" t="s">
        <v>24</v>
      </c>
      <c r="B40" s="27">
        <v>39.94</v>
      </c>
      <c r="C40" s="27">
        <v>39.94</v>
      </c>
      <c r="D40" s="27">
        <v>39.94</v>
      </c>
      <c r="E40" s="27">
        <v>39.94</v>
      </c>
      <c r="F40" s="27">
        <v>39.94</v>
      </c>
      <c r="G40" s="27">
        <v>39.94</v>
      </c>
      <c r="H40" s="27">
        <v>39.94</v>
      </c>
      <c r="I40" s="27">
        <v>39.979999999999997</v>
      </c>
      <c r="J40" s="27">
        <v>39.979999999999997</v>
      </c>
      <c r="K40" s="36">
        <f>J40</f>
        <v>39.979999999999997</v>
      </c>
      <c r="L40" s="36">
        <f t="shared" ref="L40:P40" si="17">K40</f>
        <v>39.979999999999997</v>
      </c>
      <c r="M40" s="36">
        <f t="shared" si="17"/>
        <v>39.979999999999997</v>
      </c>
      <c r="N40" s="36">
        <f t="shared" si="17"/>
        <v>39.979999999999997</v>
      </c>
      <c r="O40" s="36">
        <f t="shared" si="17"/>
        <v>39.979999999999997</v>
      </c>
      <c r="P40" s="36">
        <f t="shared" si="17"/>
        <v>39.979999999999997</v>
      </c>
    </row>
    <row r="41" spans="1:23" ht="13.8" x14ac:dyDescent="0.25">
      <c r="A41" s="26" t="s">
        <v>25</v>
      </c>
      <c r="B41" s="27">
        <v>8794.4699999999993</v>
      </c>
      <c r="C41" s="28">
        <v>10071.35</v>
      </c>
      <c r="D41" s="28">
        <v>11728.94</v>
      </c>
      <c r="E41" s="28">
        <v>12817.17</v>
      </c>
      <c r="F41" s="28">
        <v>14096.45</v>
      </c>
      <c r="G41" s="28">
        <v>15158.47</v>
      </c>
      <c r="H41" s="28">
        <v>15742.96</v>
      </c>
      <c r="I41" s="28">
        <v>16665.12</v>
      </c>
      <c r="J41" s="27">
        <v>17946.2</v>
      </c>
      <c r="K41" s="28">
        <f t="shared" ref="K41:P41" si="18">J41+K35</f>
        <v>22432.567504853087</v>
      </c>
      <c r="L41" s="28">
        <f t="shared" si="18"/>
        <v>27231.170486722687</v>
      </c>
      <c r="M41" s="28">
        <f t="shared" si="18"/>
        <v>32367.052831780857</v>
      </c>
      <c r="N41" s="28">
        <f t="shared" si="18"/>
        <v>37867.281570565523</v>
      </c>
      <c r="O41" s="28">
        <f t="shared" si="18"/>
        <v>43761.119589422371</v>
      </c>
      <c r="P41" s="28">
        <f t="shared" si="18"/>
        <v>50080.213908914084</v>
      </c>
    </row>
    <row r="42" spans="1:23" ht="13.8" x14ac:dyDescent="0.25">
      <c r="A42" s="24" t="s">
        <v>26</v>
      </c>
      <c r="B42" s="30">
        <f t="shared" ref="B42:P42" si="19">SUM(B40:B41)</f>
        <v>8834.41</v>
      </c>
      <c r="C42" s="30">
        <f t="shared" si="19"/>
        <v>10111.290000000001</v>
      </c>
      <c r="D42" s="30">
        <f t="shared" si="19"/>
        <v>11768.880000000001</v>
      </c>
      <c r="E42" s="30">
        <f t="shared" si="19"/>
        <v>12857.11</v>
      </c>
      <c r="F42" s="30">
        <f t="shared" si="19"/>
        <v>14136.390000000001</v>
      </c>
      <c r="G42" s="30">
        <f t="shared" si="19"/>
        <v>15198.41</v>
      </c>
      <c r="H42" s="30">
        <f t="shared" si="19"/>
        <v>15782.9</v>
      </c>
      <c r="I42" s="30">
        <f t="shared" si="19"/>
        <v>16705.099999999999</v>
      </c>
      <c r="J42" s="30">
        <f t="shared" si="19"/>
        <v>17986.18</v>
      </c>
      <c r="K42" s="30">
        <f t="shared" si="19"/>
        <v>22472.547504853086</v>
      </c>
      <c r="L42" s="30">
        <f t="shared" si="19"/>
        <v>27271.150486722687</v>
      </c>
      <c r="M42" s="30">
        <f t="shared" si="19"/>
        <v>32407.032831780856</v>
      </c>
      <c r="N42" s="30">
        <f t="shared" si="19"/>
        <v>37907.261570565526</v>
      </c>
      <c r="O42" s="30">
        <f t="shared" si="19"/>
        <v>43801.099589422374</v>
      </c>
      <c r="P42" s="30">
        <f t="shared" si="19"/>
        <v>50120.193908914087</v>
      </c>
      <c r="Q42" s="87"/>
      <c r="R42" s="87"/>
      <c r="S42" s="87"/>
      <c r="T42" s="87"/>
      <c r="U42" s="87"/>
      <c r="V42" s="87"/>
      <c r="W42" s="87"/>
    </row>
    <row r="43" spans="1:23" ht="13.8" x14ac:dyDescent="0.25">
      <c r="A43" s="26"/>
      <c r="B43" s="28"/>
      <c r="C43" s="28"/>
      <c r="D43" s="28"/>
      <c r="E43" s="28"/>
      <c r="F43" s="28"/>
      <c r="G43" s="28"/>
      <c r="H43" s="28"/>
      <c r="I43" s="28"/>
      <c r="J43" s="27"/>
      <c r="K43" s="23"/>
      <c r="L43" s="23"/>
      <c r="M43" s="23"/>
      <c r="N43" s="23"/>
      <c r="O43" s="23"/>
      <c r="P43" s="23"/>
    </row>
    <row r="44" spans="1:23" ht="13.8" x14ac:dyDescent="0.25">
      <c r="A44" s="24" t="s">
        <v>27</v>
      </c>
      <c r="B44" s="30">
        <f t="shared" ref="B44:P44" si="20">SUM(B45:B48)</f>
        <v>290.13</v>
      </c>
      <c r="C44" s="30">
        <f t="shared" si="20"/>
        <v>489.64</v>
      </c>
      <c r="D44" s="30">
        <f t="shared" si="20"/>
        <v>626.6</v>
      </c>
      <c r="E44" s="30">
        <f t="shared" si="20"/>
        <v>653.71</v>
      </c>
      <c r="F44" s="30">
        <f t="shared" si="20"/>
        <v>636.87</v>
      </c>
      <c r="G44" s="30">
        <f t="shared" si="20"/>
        <v>852.40000000000009</v>
      </c>
      <c r="H44" s="30">
        <f t="shared" si="20"/>
        <v>858.72</v>
      </c>
      <c r="I44" s="30">
        <f t="shared" si="20"/>
        <v>934.07</v>
      </c>
      <c r="J44" s="30">
        <f t="shared" si="20"/>
        <v>1041.1099999999999</v>
      </c>
      <c r="K44" s="30">
        <f t="shared" si="20"/>
        <v>1041.1099999999999</v>
      </c>
      <c r="L44" s="30">
        <f t="shared" si="20"/>
        <v>1041.1099999999999</v>
      </c>
      <c r="M44" s="30">
        <f t="shared" si="20"/>
        <v>1041.1099999999999</v>
      </c>
      <c r="N44" s="30">
        <f t="shared" si="20"/>
        <v>1041.1099999999999</v>
      </c>
      <c r="O44" s="30">
        <f t="shared" si="20"/>
        <v>1041.1099999999999</v>
      </c>
      <c r="P44" s="30">
        <f t="shared" si="20"/>
        <v>1041.1099999999999</v>
      </c>
      <c r="Q44" s="87"/>
      <c r="R44" s="87"/>
      <c r="S44" s="87"/>
      <c r="T44" s="87"/>
      <c r="U44" s="87"/>
      <c r="V44" s="87"/>
      <c r="W44" s="87"/>
    </row>
    <row r="45" spans="1:23" ht="13.8" x14ac:dyDescent="0.25">
      <c r="A45" s="26" t="s">
        <v>28</v>
      </c>
      <c r="B45" s="27">
        <v>0</v>
      </c>
      <c r="C45" s="28"/>
      <c r="D45" s="28"/>
      <c r="E45" s="28"/>
      <c r="F45" s="28">
        <v>121.67</v>
      </c>
      <c r="G45" s="28">
        <v>129.81</v>
      </c>
      <c r="H45" s="28">
        <v>142.32</v>
      </c>
      <c r="I45" s="28">
        <v>134.29</v>
      </c>
      <c r="J45" s="27">
        <v>111.5</v>
      </c>
      <c r="K45" s="36">
        <f t="shared" ref="K45:P45" si="21">J45</f>
        <v>111.5</v>
      </c>
      <c r="L45" s="36">
        <f t="shared" si="21"/>
        <v>111.5</v>
      </c>
      <c r="M45" s="36">
        <f t="shared" si="21"/>
        <v>111.5</v>
      </c>
      <c r="N45" s="36">
        <f t="shared" si="21"/>
        <v>111.5</v>
      </c>
      <c r="O45" s="36">
        <f t="shared" si="21"/>
        <v>111.5</v>
      </c>
      <c r="P45" s="36">
        <f t="shared" si="21"/>
        <v>111.5</v>
      </c>
    </row>
    <row r="46" spans="1:23" ht="13.8" x14ac:dyDescent="0.25">
      <c r="A46" s="26" t="s">
        <v>29</v>
      </c>
      <c r="B46" s="27">
        <v>0</v>
      </c>
      <c r="C46" s="28"/>
      <c r="D46" s="28"/>
      <c r="E46" s="28"/>
      <c r="F46" s="28"/>
      <c r="G46" s="28">
        <v>146.04</v>
      </c>
      <c r="H46" s="28">
        <v>155.04</v>
      </c>
      <c r="I46" s="28">
        <v>196.29</v>
      </c>
      <c r="J46" s="27">
        <v>178.13</v>
      </c>
      <c r="K46" s="36">
        <f t="shared" ref="K46:P46" si="22">J46</f>
        <v>178.13</v>
      </c>
      <c r="L46" s="36">
        <f t="shared" si="22"/>
        <v>178.13</v>
      </c>
      <c r="M46" s="36">
        <f t="shared" si="22"/>
        <v>178.13</v>
      </c>
      <c r="N46" s="36">
        <f t="shared" si="22"/>
        <v>178.13</v>
      </c>
      <c r="O46" s="36">
        <f t="shared" si="22"/>
        <v>178.13</v>
      </c>
      <c r="P46" s="36">
        <f t="shared" si="22"/>
        <v>178.13</v>
      </c>
    </row>
    <row r="47" spans="1:23" ht="13.8" x14ac:dyDescent="0.25">
      <c r="A47" s="26" t="s">
        <v>30</v>
      </c>
      <c r="B47" s="27">
        <v>67.599999999999994</v>
      </c>
      <c r="C47" s="28">
        <v>75.3</v>
      </c>
      <c r="D47" s="28">
        <v>114.94</v>
      </c>
      <c r="E47" s="28">
        <v>117.2</v>
      </c>
      <c r="F47" s="28">
        <v>122.37</v>
      </c>
      <c r="G47" s="28">
        <v>172.46</v>
      </c>
      <c r="H47" s="28">
        <v>178.07</v>
      </c>
      <c r="I47" s="28">
        <v>198.12</v>
      </c>
      <c r="J47" s="27">
        <v>316.66000000000003</v>
      </c>
      <c r="K47" s="36">
        <f t="shared" ref="K47:P47" si="23">J47</f>
        <v>316.66000000000003</v>
      </c>
      <c r="L47" s="36">
        <f t="shared" si="23"/>
        <v>316.66000000000003</v>
      </c>
      <c r="M47" s="36">
        <f t="shared" si="23"/>
        <v>316.66000000000003</v>
      </c>
      <c r="N47" s="36">
        <f t="shared" si="23"/>
        <v>316.66000000000003</v>
      </c>
      <c r="O47" s="36">
        <f t="shared" si="23"/>
        <v>316.66000000000003</v>
      </c>
      <c r="P47" s="36">
        <f t="shared" si="23"/>
        <v>316.66000000000003</v>
      </c>
    </row>
    <row r="48" spans="1:23" ht="13.8" x14ac:dyDescent="0.25">
      <c r="A48" s="26" t="s">
        <v>31</v>
      </c>
      <c r="B48" s="27">
        <v>222.53</v>
      </c>
      <c r="C48" s="28">
        <v>414.34</v>
      </c>
      <c r="D48" s="28">
        <v>511.66</v>
      </c>
      <c r="E48" s="28">
        <v>536.51</v>
      </c>
      <c r="F48" s="28">
        <v>392.83</v>
      </c>
      <c r="G48" s="28">
        <v>404.09</v>
      </c>
      <c r="H48" s="28">
        <v>383.29</v>
      </c>
      <c r="I48" s="28">
        <v>405.37</v>
      </c>
      <c r="J48" s="27">
        <v>434.82</v>
      </c>
      <c r="K48" s="36">
        <f t="shared" ref="K48:P48" si="24">J48</f>
        <v>434.82</v>
      </c>
      <c r="L48" s="36">
        <f t="shared" si="24"/>
        <v>434.82</v>
      </c>
      <c r="M48" s="36">
        <f t="shared" si="24"/>
        <v>434.82</v>
      </c>
      <c r="N48" s="36">
        <f t="shared" si="24"/>
        <v>434.82</v>
      </c>
      <c r="O48" s="36">
        <f t="shared" si="24"/>
        <v>434.82</v>
      </c>
      <c r="P48" s="36">
        <f t="shared" si="24"/>
        <v>434.82</v>
      </c>
    </row>
    <row r="49" spans="1:23" ht="13.8" x14ac:dyDescent="0.25">
      <c r="A49" s="26"/>
      <c r="B49" s="28"/>
      <c r="C49" s="28"/>
      <c r="D49" s="28"/>
      <c r="E49" s="28"/>
      <c r="F49" s="28"/>
      <c r="G49" s="28"/>
      <c r="H49" s="28"/>
      <c r="I49" s="28"/>
      <c r="J49" s="27"/>
      <c r="K49" s="23"/>
      <c r="L49" s="23"/>
      <c r="M49" s="23"/>
      <c r="N49" s="23"/>
      <c r="O49" s="23"/>
      <c r="P49" s="23"/>
    </row>
    <row r="50" spans="1:23" ht="13.8" x14ac:dyDescent="0.25">
      <c r="A50" s="24" t="s">
        <v>32</v>
      </c>
      <c r="B50" s="30">
        <f t="shared" ref="B50:P50" si="25">SUM(B52:B56)</f>
        <v>3448.3199999999997</v>
      </c>
      <c r="C50" s="30">
        <f t="shared" si="25"/>
        <v>4093.3300000000004</v>
      </c>
      <c r="D50" s="30">
        <f t="shared" si="25"/>
        <v>4343.3200000000006</v>
      </c>
      <c r="E50" s="30">
        <f t="shared" si="25"/>
        <v>4130.3600000000006</v>
      </c>
      <c r="F50" s="30">
        <f t="shared" si="25"/>
        <v>3976.0599999999995</v>
      </c>
      <c r="G50" s="30">
        <f t="shared" si="25"/>
        <v>6110.2199999999993</v>
      </c>
      <c r="H50" s="30">
        <f t="shared" si="25"/>
        <v>5072.38</v>
      </c>
      <c r="I50" s="30">
        <f t="shared" si="25"/>
        <v>5623.9800000000005</v>
      </c>
      <c r="J50" s="30">
        <f t="shared" si="25"/>
        <v>6544.26</v>
      </c>
      <c r="K50" s="30">
        <f t="shared" si="25"/>
        <v>6864.9387275068593</v>
      </c>
      <c r="L50" s="30">
        <f t="shared" si="25"/>
        <v>7370.7697980434214</v>
      </c>
      <c r="M50" s="30">
        <f t="shared" si="25"/>
        <v>7915.4568201671727</v>
      </c>
      <c r="N50" s="30">
        <f t="shared" si="25"/>
        <v>8502.1387316209693</v>
      </c>
      <c r="O50" s="30">
        <f t="shared" si="25"/>
        <v>9134.2224344476235</v>
      </c>
      <c r="P50" s="30">
        <f t="shared" si="25"/>
        <v>9815.4069473647742</v>
      </c>
      <c r="Q50" s="87"/>
      <c r="R50" s="87"/>
      <c r="S50" s="87"/>
      <c r="T50" s="87"/>
      <c r="U50" s="87"/>
      <c r="V50" s="87"/>
      <c r="W50" s="87"/>
    </row>
    <row r="51" spans="1:23" ht="13.8" x14ac:dyDescent="0.25">
      <c r="A51" s="26"/>
      <c r="B51" s="28"/>
      <c r="C51" s="28"/>
      <c r="D51" s="28"/>
      <c r="E51" s="28"/>
      <c r="F51" s="28"/>
      <c r="G51" s="28"/>
      <c r="H51" s="28"/>
      <c r="I51" s="28"/>
      <c r="J51" s="27"/>
      <c r="K51" s="23"/>
      <c r="L51" s="23"/>
      <c r="M51" s="23"/>
      <c r="N51" s="23"/>
      <c r="O51" s="23"/>
      <c r="P51" s="23"/>
    </row>
    <row r="52" spans="1:23" ht="13.8" x14ac:dyDescent="0.25">
      <c r="A52" s="26" t="s">
        <v>33</v>
      </c>
      <c r="B52" s="27"/>
      <c r="C52" s="28"/>
      <c r="D52" s="28"/>
      <c r="E52" s="28"/>
      <c r="F52" s="28">
        <v>28.29</v>
      </c>
      <c r="G52" s="28">
        <v>19.7</v>
      </c>
      <c r="H52" s="28">
        <v>25.75</v>
      </c>
      <c r="I52" s="28">
        <v>22.02</v>
      </c>
      <c r="J52" s="28">
        <v>26.08</v>
      </c>
      <c r="K52" s="28">
        <f>K158</f>
        <v>19.563383100640728</v>
      </c>
      <c r="L52" s="28">
        <f t="shared" ref="L52:P52" si="26">L158</f>
        <v>21.004876959495288</v>
      </c>
      <c r="M52" s="28">
        <f t="shared" si="26"/>
        <v>22.557100702011343</v>
      </c>
      <c r="N52" s="28">
        <f t="shared" si="26"/>
        <v>24.228999526978001</v>
      </c>
      <c r="O52" s="28">
        <f t="shared" si="26"/>
        <v>26.030282265383477</v>
      </c>
      <c r="P52" s="28">
        <f t="shared" si="26"/>
        <v>27.971490208729719</v>
      </c>
    </row>
    <row r="53" spans="1:23" ht="13.8" x14ac:dyDescent="0.25">
      <c r="A53" s="26" t="s">
        <v>34</v>
      </c>
      <c r="B53" s="27">
        <v>2650.56</v>
      </c>
      <c r="C53" s="28">
        <v>3247.27</v>
      </c>
      <c r="D53" s="28">
        <v>3318.81</v>
      </c>
      <c r="E53" s="28">
        <v>3355.28</v>
      </c>
      <c r="F53" s="28">
        <f>3022.18+8.33</f>
        <v>3030.5099999999998</v>
      </c>
      <c r="G53" s="28">
        <f>15.71+5188.9</f>
        <v>5204.6099999999997</v>
      </c>
      <c r="H53" s="28">
        <f>25.55+4234.79</f>
        <v>4260.34</v>
      </c>
      <c r="I53" s="28">
        <f>1.15+4703.31</f>
        <v>4704.46</v>
      </c>
      <c r="J53" s="27">
        <f>15.79+5512.36</f>
        <v>5528.15</v>
      </c>
      <c r="K53" s="28">
        <f t="shared" ref="K53:P53" si="27">K159</f>
        <v>5584.6442883295204</v>
      </c>
      <c r="L53" s="28">
        <f t="shared" si="27"/>
        <v>5996.1390898217305</v>
      </c>
      <c r="M53" s="28">
        <f t="shared" si="27"/>
        <v>6439.2433020767094</v>
      </c>
      <c r="N53" s="28">
        <f t="shared" si="27"/>
        <v>6916.5104585538047</v>
      </c>
      <c r="O53" s="28">
        <f t="shared" si="27"/>
        <v>7430.7120823196474</v>
      </c>
      <c r="P53" s="28">
        <f t="shared" si="27"/>
        <v>7984.8573340636276</v>
      </c>
    </row>
    <row r="54" spans="1:23" ht="13.8" x14ac:dyDescent="0.25">
      <c r="A54" s="26" t="s">
        <v>35</v>
      </c>
      <c r="B54" s="27">
        <v>502.4</v>
      </c>
      <c r="C54" s="28">
        <v>454.28</v>
      </c>
      <c r="D54" s="28">
        <v>762.58</v>
      </c>
      <c r="E54" s="28">
        <v>495.18</v>
      </c>
      <c r="F54" s="28">
        <v>518.26</v>
      </c>
      <c r="G54" s="28">
        <v>566.01</v>
      </c>
      <c r="H54" s="28">
        <v>492.12</v>
      </c>
      <c r="I54" s="28">
        <v>557.84</v>
      </c>
      <c r="J54" s="27">
        <v>585.6</v>
      </c>
      <c r="K54" s="28">
        <f t="shared" ref="K54:P54" si="28">K160</f>
        <v>784.33383103333085</v>
      </c>
      <c r="L54" s="28">
        <f t="shared" si="28"/>
        <v>842.12610524838669</v>
      </c>
      <c r="M54" s="28">
        <f t="shared" si="28"/>
        <v>904.35775446393768</v>
      </c>
      <c r="N54" s="28">
        <f t="shared" si="28"/>
        <v>971.38740898433991</v>
      </c>
      <c r="O54" s="28">
        <f t="shared" si="28"/>
        <v>1043.604314604386</v>
      </c>
      <c r="P54" s="28">
        <f t="shared" si="28"/>
        <v>1121.4310920694363</v>
      </c>
    </row>
    <row r="55" spans="1:23" ht="13.8" x14ac:dyDescent="0.25">
      <c r="A55" s="26" t="s">
        <v>36</v>
      </c>
      <c r="B55" s="27">
        <v>29.66</v>
      </c>
      <c r="C55" s="28">
        <v>39.01</v>
      </c>
      <c r="D55" s="28">
        <v>59.79</v>
      </c>
      <c r="E55" s="28">
        <v>59.03</v>
      </c>
      <c r="F55" s="28">
        <v>146.56</v>
      </c>
      <c r="G55" s="28">
        <v>160.37</v>
      </c>
      <c r="H55" s="28">
        <v>160.41999999999999</v>
      </c>
      <c r="I55" s="28">
        <v>175.69</v>
      </c>
      <c r="J55" s="27">
        <v>154.13999999999999</v>
      </c>
      <c r="K55" s="28">
        <f t="shared" ref="K55:P55" si="29">K161</f>
        <v>157.01168185228113</v>
      </c>
      <c r="L55" s="28">
        <f t="shared" si="29"/>
        <v>168.58081455260009</v>
      </c>
      <c r="M55" s="28">
        <f t="shared" si="29"/>
        <v>181.03864248398204</v>
      </c>
      <c r="N55" s="28">
        <f t="shared" si="29"/>
        <v>194.45695796880582</v>
      </c>
      <c r="O55" s="28">
        <f t="shared" si="29"/>
        <v>208.91368208413863</v>
      </c>
      <c r="P55" s="28">
        <f t="shared" si="29"/>
        <v>224.49341706360741</v>
      </c>
    </row>
    <row r="56" spans="1:23" ht="13.8" x14ac:dyDescent="0.25">
      <c r="A56" s="26" t="s">
        <v>37</v>
      </c>
      <c r="B56" s="27">
        <v>265.7</v>
      </c>
      <c r="C56" s="28">
        <v>352.77</v>
      </c>
      <c r="D56" s="28">
        <v>202.14</v>
      </c>
      <c r="E56" s="28">
        <v>220.87</v>
      </c>
      <c r="F56" s="28">
        <v>252.44</v>
      </c>
      <c r="G56" s="28">
        <f>159.53</f>
        <v>159.53</v>
      </c>
      <c r="H56" s="28">
        <f>133.75</f>
        <v>133.75</v>
      </c>
      <c r="I56" s="28">
        <v>163.97</v>
      </c>
      <c r="J56" s="27">
        <v>250.29</v>
      </c>
      <c r="K56" s="28">
        <f t="shared" ref="K56:P56" si="30">K162</f>
        <v>319.38554319108573</v>
      </c>
      <c r="L56" s="28">
        <f t="shared" si="30"/>
        <v>342.91891146120872</v>
      </c>
      <c r="M56" s="28">
        <f t="shared" si="30"/>
        <v>368.26002044053217</v>
      </c>
      <c r="N56" s="28">
        <f t="shared" si="30"/>
        <v>395.55490658704048</v>
      </c>
      <c r="O56" s="28">
        <f t="shared" si="30"/>
        <v>424.96207317406692</v>
      </c>
      <c r="P56" s="28">
        <f t="shared" si="30"/>
        <v>456.65361395937128</v>
      </c>
    </row>
    <row r="57" spans="1:23" ht="13.8" x14ac:dyDescent="0.25">
      <c r="A57" s="24" t="s">
        <v>38</v>
      </c>
      <c r="B57" s="30">
        <f t="shared" ref="B57:P57" si="31">SUM(B42,B44,B50)</f>
        <v>12572.859999999999</v>
      </c>
      <c r="C57" s="30">
        <f t="shared" si="31"/>
        <v>14694.26</v>
      </c>
      <c r="D57" s="30">
        <f t="shared" si="31"/>
        <v>16738.800000000003</v>
      </c>
      <c r="E57" s="30">
        <f t="shared" si="31"/>
        <v>17641.18</v>
      </c>
      <c r="F57" s="30">
        <f t="shared" si="31"/>
        <v>18749.32</v>
      </c>
      <c r="G57" s="30">
        <f t="shared" si="31"/>
        <v>22161.03</v>
      </c>
      <c r="H57" s="30">
        <f t="shared" si="31"/>
        <v>21714</v>
      </c>
      <c r="I57" s="30">
        <f t="shared" si="31"/>
        <v>23263.149999999998</v>
      </c>
      <c r="J57" s="30">
        <f t="shared" si="31"/>
        <v>25571.550000000003</v>
      </c>
      <c r="K57" s="30">
        <f t="shared" si="31"/>
        <v>30378.596232359945</v>
      </c>
      <c r="L57" s="30">
        <f t="shared" si="31"/>
        <v>35683.030284766108</v>
      </c>
      <c r="M57" s="30">
        <f t="shared" si="31"/>
        <v>41363.599651948025</v>
      </c>
      <c r="N57" s="30">
        <f t="shared" si="31"/>
        <v>47450.510302186492</v>
      </c>
      <c r="O57" s="30">
        <f t="shared" si="31"/>
        <v>53976.432023870002</v>
      </c>
      <c r="P57" s="30">
        <f t="shared" si="31"/>
        <v>60976.710856278864</v>
      </c>
      <c r="Q57" s="87"/>
      <c r="R57" s="87"/>
      <c r="S57" s="87"/>
      <c r="T57" s="87"/>
      <c r="U57" s="87"/>
      <c r="V57" s="87"/>
      <c r="W57" s="87"/>
    </row>
    <row r="58" spans="1:23" ht="13.8" x14ac:dyDescent="0.25">
      <c r="A58" s="26"/>
      <c r="B58" s="28"/>
      <c r="C58" s="28"/>
      <c r="D58" s="28"/>
      <c r="E58" s="28"/>
      <c r="F58" s="28"/>
      <c r="G58" s="28"/>
      <c r="H58" s="28"/>
      <c r="I58" s="28"/>
      <c r="J58" s="27"/>
      <c r="K58" s="23"/>
      <c r="L58" s="23"/>
      <c r="M58" s="23"/>
      <c r="N58" s="23"/>
      <c r="O58" s="23"/>
      <c r="P58" s="23"/>
    </row>
    <row r="59" spans="1:23" ht="13.8" x14ac:dyDescent="0.25">
      <c r="A59" s="24" t="s">
        <v>39</v>
      </c>
      <c r="B59" s="28"/>
      <c r="C59" s="28"/>
      <c r="D59" s="28"/>
      <c r="E59" s="28"/>
      <c r="F59" s="28"/>
      <c r="G59" s="28"/>
      <c r="H59" s="28"/>
      <c r="I59" s="28"/>
      <c r="J59" s="27"/>
      <c r="K59" s="23"/>
      <c r="L59" s="23"/>
      <c r="M59" s="23"/>
      <c r="N59" s="23"/>
      <c r="O59" s="23"/>
      <c r="P59" s="23"/>
    </row>
    <row r="60" spans="1:23" ht="13.8" x14ac:dyDescent="0.25">
      <c r="A60" s="26"/>
      <c r="B60" s="28"/>
      <c r="C60" s="28"/>
      <c r="D60" s="28"/>
      <c r="E60" s="28"/>
      <c r="F60" s="28"/>
      <c r="G60" s="28"/>
      <c r="H60" s="28"/>
      <c r="I60" s="28"/>
      <c r="J60" s="27"/>
      <c r="K60" s="23"/>
      <c r="L60" s="23"/>
      <c r="M60" s="23"/>
      <c r="N60" s="23"/>
      <c r="O60" s="23"/>
      <c r="P60" s="23"/>
    </row>
    <row r="61" spans="1:23" ht="13.8" x14ac:dyDescent="0.25">
      <c r="A61" s="24" t="s">
        <v>40</v>
      </c>
      <c r="B61" s="30">
        <f t="shared" ref="B61:P61" si="32">SUM(B62:B72)</f>
        <v>6421.6399999999994</v>
      </c>
      <c r="C61" s="30">
        <f t="shared" si="32"/>
        <v>7241.079999999999</v>
      </c>
      <c r="D61" s="30">
        <f t="shared" si="32"/>
        <v>7890.62</v>
      </c>
      <c r="E61" s="30">
        <f t="shared" si="32"/>
        <v>9525.5499999999993</v>
      </c>
      <c r="F61" s="30">
        <f t="shared" si="32"/>
        <v>10460.77</v>
      </c>
      <c r="G61" s="30">
        <f t="shared" si="32"/>
        <v>11208.26</v>
      </c>
      <c r="H61" s="30">
        <f t="shared" si="32"/>
        <v>11599.060000000001</v>
      </c>
      <c r="I61" s="30">
        <f t="shared" si="32"/>
        <v>14226.349999999999</v>
      </c>
      <c r="J61" s="30">
        <f t="shared" si="32"/>
        <v>15775.529999999999</v>
      </c>
      <c r="K61" s="30">
        <f t="shared" si="32"/>
        <v>15865.18</v>
      </c>
      <c r="L61" s="30">
        <f t="shared" si="32"/>
        <v>16009.632</v>
      </c>
      <c r="M61" s="30">
        <f t="shared" si="32"/>
        <v>16154.083999999999</v>
      </c>
      <c r="N61" s="30">
        <f t="shared" si="32"/>
        <v>16298.536</v>
      </c>
      <c r="O61" s="30">
        <f t="shared" si="32"/>
        <v>16442.987999999998</v>
      </c>
      <c r="P61" s="30">
        <f t="shared" si="32"/>
        <v>16587.439999999999</v>
      </c>
      <c r="Q61" s="87"/>
      <c r="R61" s="87"/>
      <c r="S61" s="87"/>
      <c r="T61" s="87"/>
      <c r="U61" s="87"/>
      <c r="V61" s="87"/>
      <c r="W61" s="87"/>
    </row>
    <row r="62" spans="1:23" ht="13.8" x14ac:dyDescent="0.25">
      <c r="A62" s="40" t="s">
        <v>41</v>
      </c>
      <c r="B62" s="27">
        <v>3465.46</v>
      </c>
      <c r="C62" s="35">
        <v>4310.7299999999996</v>
      </c>
      <c r="D62" s="35">
        <v>4485.8900000000003</v>
      </c>
      <c r="E62" s="28">
        <v>4477.53</v>
      </c>
      <c r="F62" s="28">
        <v>5562.42</v>
      </c>
      <c r="G62" s="28">
        <v>5293.4</v>
      </c>
      <c r="H62" s="28">
        <v>5094.3900000000003</v>
      </c>
      <c r="I62" s="28">
        <v>4868.2</v>
      </c>
      <c r="J62" s="27">
        <v>4933.87</v>
      </c>
      <c r="K62" s="96">
        <f t="shared" ref="K62:P62" si="33">SUM(J62:J66,K195)-K197</f>
        <v>6404.1900000000005</v>
      </c>
      <c r="L62" s="96">
        <f t="shared" si="33"/>
        <v>6548.6419999999998</v>
      </c>
      <c r="M62" s="96">
        <f t="shared" si="33"/>
        <v>6693.0939999999991</v>
      </c>
      <c r="N62" s="96">
        <f t="shared" si="33"/>
        <v>6837.5459999999994</v>
      </c>
      <c r="O62" s="96">
        <f t="shared" si="33"/>
        <v>6981.9979999999987</v>
      </c>
      <c r="P62" s="96">
        <f t="shared" si="33"/>
        <v>7126.4499999999989</v>
      </c>
    </row>
    <row r="63" spans="1:23" ht="13.8" x14ac:dyDescent="0.25">
      <c r="A63" s="40" t="s">
        <v>42</v>
      </c>
      <c r="B63" s="27">
        <v>118.89</v>
      </c>
      <c r="C63" s="35">
        <v>84.86</v>
      </c>
      <c r="D63" s="35">
        <v>168.65</v>
      </c>
      <c r="E63" s="28">
        <v>141.05000000000001</v>
      </c>
      <c r="F63" s="28">
        <v>140.09</v>
      </c>
      <c r="G63" s="28">
        <v>290.26</v>
      </c>
      <c r="H63" s="28">
        <v>298.5</v>
      </c>
      <c r="I63" s="28">
        <v>500.19</v>
      </c>
      <c r="J63" s="27">
        <v>528.54999999999995</v>
      </c>
      <c r="K63" s="96"/>
      <c r="L63" s="96"/>
      <c r="M63" s="96"/>
      <c r="N63" s="96"/>
      <c r="O63" s="96"/>
      <c r="P63" s="96"/>
    </row>
    <row r="64" spans="1:23" ht="13.8" x14ac:dyDescent="0.25">
      <c r="A64" s="40" t="s">
        <v>43</v>
      </c>
      <c r="B64" s="27"/>
      <c r="C64" s="35"/>
      <c r="D64" s="28"/>
      <c r="E64" s="28"/>
      <c r="F64" s="28">
        <v>414.57</v>
      </c>
      <c r="G64" s="28">
        <v>404.75</v>
      </c>
      <c r="H64" s="28">
        <v>413.59</v>
      </c>
      <c r="I64" s="28">
        <v>393.03</v>
      </c>
      <c r="J64" s="27">
        <v>371.61</v>
      </c>
      <c r="K64" s="96"/>
      <c r="L64" s="96"/>
      <c r="M64" s="96"/>
      <c r="N64" s="96"/>
      <c r="O64" s="96"/>
      <c r="P64" s="96"/>
    </row>
    <row r="65" spans="1:23" ht="13.8" x14ac:dyDescent="0.25">
      <c r="A65" s="40" t="s">
        <v>44</v>
      </c>
      <c r="B65" s="27">
        <v>288.33999999999997</v>
      </c>
      <c r="C65" s="35">
        <v>270.72000000000003</v>
      </c>
      <c r="D65" s="35">
        <v>203.78</v>
      </c>
      <c r="E65" s="28">
        <v>360.67</v>
      </c>
      <c r="F65" s="28">
        <v>160.25</v>
      </c>
      <c r="G65" s="28">
        <v>177.86</v>
      </c>
      <c r="H65" s="28">
        <v>87.32</v>
      </c>
      <c r="I65" s="28">
        <v>128.55000000000001</v>
      </c>
      <c r="J65" s="27">
        <v>120.58</v>
      </c>
      <c r="K65" s="96"/>
      <c r="L65" s="96"/>
      <c r="M65" s="96"/>
      <c r="N65" s="96"/>
      <c r="O65" s="96"/>
      <c r="P65" s="96"/>
    </row>
    <row r="66" spans="1:23" ht="13.8" x14ac:dyDescent="0.25">
      <c r="A66" s="40" t="s">
        <v>45</v>
      </c>
      <c r="B66" s="27">
        <v>317.06</v>
      </c>
      <c r="C66" s="35">
        <v>194.33</v>
      </c>
      <c r="D66" s="35">
        <v>114.61</v>
      </c>
      <c r="E66" s="28">
        <v>181.19</v>
      </c>
      <c r="F66" s="28">
        <v>181.02</v>
      </c>
      <c r="G66" s="28">
        <v>258.73</v>
      </c>
      <c r="H66" s="28">
        <v>370.88</v>
      </c>
      <c r="I66" s="28">
        <v>335.24</v>
      </c>
      <c r="J66" s="27">
        <v>359.93</v>
      </c>
      <c r="K66" s="96"/>
      <c r="L66" s="96"/>
      <c r="M66" s="96"/>
      <c r="N66" s="96"/>
      <c r="O66" s="96"/>
      <c r="P66" s="96"/>
    </row>
    <row r="67" spans="1:23" ht="13.8" x14ac:dyDescent="0.25">
      <c r="A67" s="26"/>
      <c r="B67" s="27"/>
      <c r="C67" s="35"/>
      <c r="D67" s="28"/>
      <c r="E67" s="28"/>
      <c r="F67" s="28"/>
      <c r="G67" s="28"/>
      <c r="H67" s="28"/>
      <c r="I67" s="28"/>
      <c r="J67" s="27"/>
      <c r="K67" s="23"/>
      <c r="L67" s="23"/>
      <c r="M67" s="23"/>
      <c r="N67" s="23"/>
      <c r="O67" s="23"/>
      <c r="P67" s="23"/>
    </row>
    <row r="68" spans="1:23" ht="13.8" x14ac:dyDescent="0.25">
      <c r="A68" s="26" t="s">
        <v>46</v>
      </c>
      <c r="B68" s="27">
        <v>1111.9100000000001</v>
      </c>
      <c r="C68" s="35">
        <v>1349</v>
      </c>
      <c r="D68" s="35">
        <v>1934.08</v>
      </c>
      <c r="E68" s="28">
        <v>2801.51</v>
      </c>
      <c r="F68" s="28">
        <v>3528.17</v>
      </c>
      <c r="G68" s="28">
        <v>4308.18</v>
      </c>
      <c r="H68" s="28">
        <v>4814.66</v>
      </c>
      <c r="I68" s="28">
        <v>7372.48</v>
      </c>
      <c r="J68" s="27">
        <v>8811.58</v>
      </c>
      <c r="K68" s="42">
        <f>J68</f>
        <v>8811.58</v>
      </c>
      <c r="L68" s="42">
        <f t="shared" ref="L68:P68" si="34">K68</f>
        <v>8811.58</v>
      </c>
      <c r="M68" s="42">
        <f t="shared" si="34"/>
        <v>8811.58</v>
      </c>
      <c r="N68" s="42">
        <f t="shared" si="34"/>
        <v>8811.58</v>
      </c>
      <c r="O68" s="42">
        <f t="shared" si="34"/>
        <v>8811.58</v>
      </c>
      <c r="P68" s="42">
        <f t="shared" si="34"/>
        <v>8811.58</v>
      </c>
    </row>
    <row r="69" spans="1:23" ht="13.8" x14ac:dyDescent="0.25">
      <c r="A69" s="26" t="s">
        <v>47</v>
      </c>
      <c r="B69" s="27">
        <v>23.2</v>
      </c>
      <c r="C69" s="43">
        <v>25.23</v>
      </c>
      <c r="D69" s="28"/>
      <c r="E69" s="28"/>
      <c r="F69" s="28"/>
      <c r="G69" s="28">
        <v>35.5</v>
      </c>
      <c r="H69" s="28">
        <v>41.6</v>
      </c>
      <c r="I69" s="28">
        <v>205.65</v>
      </c>
      <c r="J69" s="27">
        <v>188.87</v>
      </c>
      <c r="K69" s="42">
        <f t="shared" ref="K69:P69" si="35">J69</f>
        <v>188.87</v>
      </c>
      <c r="L69" s="42">
        <f t="shared" si="35"/>
        <v>188.87</v>
      </c>
      <c r="M69" s="42">
        <f t="shared" si="35"/>
        <v>188.87</v>
      </c>
      <c r="N69" s="42">
        <f t="shared" si="35"/>
        <v>188.87</v>
      </c>
      <c r="O69" s="42">
        <f t="shared" si="35"/>
        <v>188.87</v>
      </c>
      <c r="P69" s="42">
        <f t="shared" si="35"/>
        <v>188.87</v>
      </c>
    </row>
    <row r="70" spans="1:23" ht="13.8" x14ac:dyDescent="0.25">
      <c r="A70" s="26" t="s">
        <v>48</v>
      </c>
      <c r="B70" s="27">
        <v>26.7</v>
      </c>
      <c r="C70" s="43">
        <v>23.13</v>
      </c>
      <c r="D70" s="35">
        <v>45.68</v>
      </c>
      <c r="E70" s="28">
        <v>59.96</v>
      </c>
      <c r="F70" s="28">
        <v>67.27</v>
      </c>
      <c r="G70" s="28">
        <v>16.73</v>
      </c>
      <c r="H70" s="28">
        <v>17.43</v>
      </c>
      <c r="I70" s="28">
        <v>19.87</v>
      </c>
      <c r="J70" s="27">
        <v>21.15</v>
      </c>
      <c r="K70" s="42">
        <f t="shared" ref="K70:P70" si="36">J70</f>
        <v>21.15</v>
      </c>
      <c r="L70" s="42">
        <f t="shared" si="36"/>
        <v>21.15</v>
      </c>
      <c r="M70" s="42">
        <f t="shared" si="36"/>
        <v>21.15</v>
      </c>
      <c r="N70" s="42">
        <f t="shared" si="36"/>
        <v>21.15</v>
      </c>
      <c r="O70" s="42">
        <f t="shared" si="36"/>
        <v>21.15</v>
      </c>
      <c r="P70" s="42">
        <f t="shared" si="36"/>
        <v>21.15</v>
      </c>
    </row>
    <row r="71" spans="1:23" ht="13.8" x14ac:dyDescent="0.25">
      <c r="A71" s="26" t="s">
        <v>49</v>
      </c>
      <c r="B71" s="27">
        <v>842.54</v>
      </c>
      <c r="C71" s="35">
        <v>651.14</v>
      </c>
      <c r="D71" s="35">
        <v>558.66999999999996</v>
      </c>
      <c r="E71" s="28">
        <v>664.38</v>
      </c>
      <c r="F71" s="28">
        <v>96.85</v>
      </c>
      <c r="G71" s="28">
        <v>54.66</v>
      </c>
      <c r="H71" s="28">
        <v>119.77</v>
      </c>
      <c r="I71" s="28">
        <v>151.41999999999999</v>
      </c>
      <c r="J71" s="27">
        <v>126.9</v>
      </c>
      <c r="K71" s="42">
        <f t="shared" ref="K71:P71" si="37">J71</f>
        <v>126.9</v>
      </c>
      <c r="L71" s="42">
        <f t="shared" si="37"/>
        <v>126.9</v>
      </c>
      <c r="M71" s="42">
        <f t="shared" si="37"/>
        <v>126.9</v>
      </c>
      <c r="N71" s="42">
        <f t="shared" si="37"/>
        <v>126.9</v>
      </c>
      <c r="O71" s="42">
        <f t="shared" si="37"/>
        <v>126.9</v>
      </c>
      <c r="P71" s="42">
        <f t="shared" si="37"/>
        <v>126.9</v>
      </c>
    </row>
    <row r="72" spans="1:23" ht="13.8" x14ac:dyDescent="0.25">
      <c r="A72" s="26" t="s">
        <v>50</v>
      </c>
      <c r="B72" s="27">
        <v>227.54</v>
      </c>
      <c r="C72" s="35">
        <v>331.94</v>
      </c>
      <c r="D72" s="35">
        <v>379.26</v>
      </c>
      <c r="E72" s="28">
        <v>839.26</v>
      </c>
      <c r="F72" s="28">
        <v>310.13</v>
      </c>
      <c r="G72" s="28">
        <v>368.19</v>
      </c>
      <c r="H72" s="28">
        <v>340.92</v>
      </c>
      <c r="I72" s="28">
        <v>251.72</v>
      </c>
      <c r="J72" s="27">
        <v>312.49</v>
      </c>
      <c r="K72" s="42">
        <f t="shared" ref="K72:P72" si="38">J72</f>
        <v>312.49</v>
      </c>
      <c r="L72" s="42">
        <f t="shared" si="38"/>
        <v>312.49</v>
      </c>
      <c r="M72" s="42">
        <f t="shared" si="38"/>
        <v>312.49</v>
      </c>
      <c r="N72" s="42">
        <f t="shared" si="38"/>
        <v>312.49</v>
      </c>
      <c r="O72" s="42">
        <f t="shared" si="38"/>
        <v>312.49</v>
      </c>
      <c r="P72" s="42">
        <f t="shared" si="38"/>
        <v>312.49</v>
      </c>
    </row>
    <row r="73" spans="1:23" ht="13.8" x14ac:dyDescent="0.25">
      <c r="A73" s="26"/>
      <c r="B73" s="28"/>
      <c r="C73" s="28"/>
      <c r="D73" s="28"/>
      <c r="E73" s="28"/>
      <c r="F73" s="28"/>
      <c r="G73" s="28"/>
      <c r="H73" s="28"/>
      <c r="I73" s="28"/>
      <c r="J73" s="27"/>
      <c r="K73" s="23"/>
      <c r="L73" s="23"/>
      <c r="M73" s="23"/>
      <c r="N73" s="23"/>
      <c r="O73" s="23"/>
      <c r="P73" s="23"/>
    </row>
    <row r="74" spans="1:23" ht="13.8" x14ac:dyDescent="0.25">
      <c r="A74" s="24" t="s">
        <v>51</v>
      </c>
      <c r="B74" s="30">
        <f t="shared" ref="B74:J74" si="39">SUM(B76:B83)</f>
        <v>6151.22</v>
      </c>
      <c r="C74" s="30">
        <f>SUM(C76:C83)</f>
        <v>7453.1799999999994</v>
      </c>
      <c r="D74" s="30">
        <f>SUM(D76:D83)</f>
        <v>8848.1800000000021</v>
      </c>
      <c r="E74" s="30">
        <f t="shared" si="39"/>
        <v>8115.64</v>
      </c>
      <c r="F74" s="30">
        <f t="shared" si="39"/>
        <v>8288.56</v>
      </c>
      <c r="G74" s="30">
        <f t="shared" si="39"/>
        <v>10952.79</v>
      </c>
      <c r="H74" s="30">
        <f t="shared" si="39"/>
        <v>10114.959999999999</v>
      </c>
      <c r="I74" s="30">
        <f t="shared" si="39"/>
        <v>9036.7899999999991</v>
      </c>
      <c r="J74" s="30">
        <f t="shared" si="39"/>
        <v>9796.0200000000023</v>
      </c>
      <c r="K74" s="30">
        <f t="shared" ref="K74:P74" si="40">SUM(K76:K82)</f>
        <v>14513.416232359945</v>
      </c>
      <c r="L74" s="30">
        <f t="shared" si="40"/>
        <v>19673.39828476611</v>
      </c>
      <c r="M74" s="30">
        <f t="shared" si="40"/>
        <v>25209.51565194803</v>
      </c>
      <c r="N74" s="30">
        <f t="shared" si="40"/>
        <v>31151.974302186485</v>
      </c>
      <c r="O74" s="30">
        <f t="shared" si="40"/>
        <v>37533.44402386999</v>
      </c>
      <c r="P74" s="30">
        <f t="shared" si="40"/>
        <v>44389.270856278854</v>
      </c>
      <c r="Q74" s="87"/>
      <c r="R74" s="87"/>
      <c r="S74" s="87"/>
      <c r="T74" s="87"/>
      <c r="U74" s="87"/>
      <c r="V74" s="87"/>
      <c r="W74" s="87"/>
    </row>
    <row r="75" spans="1:23" ht="13.8" x14ac:dyDescent="0.25">
      <c r="A75" s="26"/>
      <c r="B75" s="28"/>
      <c r="C75" s="28"/>
      <c r="D75" s="28"/>
      <c r="E75" s="28"/>
      <c r="F75" s="28"/>
      <c r="G75" s="28"/>
      <c r="H75" s="28"/>
      <c r="I75" s="28"/>
      <c r="J75" s="27"/>
      <c r="K75" s="23"/>
      <c r="L75" s="23"/>
      <c r="M75" s="23"/>
      <c r="N75" s="23"/>
      <c r="O75" s="23"/>
      <c r="P75" s="23"/>
    </row>
    <row r="76" spans="1:23" ht="13.8" x14ac:dyDescent="0.25">
      <c r="A76" s="40" t="s">
        <v>52</v>
      </c>
      <c r="B76" s="27">
        <v>672.98</v>
      </c>
      <c r="C76" s="35">
        <v>656.31</v>
      </c>
      <c r="D76" s="35">
        <v>823.58</v>
      </c>
      <c r="E76" s="28">
        <v>1072.3699999999999</v>
      </c>
      <c r="F76" s="28">
        <v>1091.97</v>
      </c>
      <c r="G76" s="28">
        <v>1469.55</v>
      </c>
      <c r="H76" s="28">
        <v>1122.6500000000001</v>
      </c>
      <c r="I76" s="28">
        <v>1434.09</v>
      </c>
      <c r="J76" s="27">
        <v>1443.76</v>
      </c>
      <c r="K76" s="28">
        <f>K149</f>
        <v>1550.4959140757064</v>
      </c>
      <c r="L76" s="28">
        <f t="shared" ref="L76:P76" si="41">L149</f>
        <v>1664.7415088596688</v>
      </c>
      <c r="M76" s="28">
        <f t="shared" si="41"/>
        <v>1787.7630004964412</v>
      </c>
      <c r="N76" s="28">
        <f t="shared" si="41"/>
        <v>1920.2693407098511</v>
      </c>
      <c r="O76" s="28">
        <f t="shared" si="41"/>
        <v>2063.0300028931379</v>
      </c>
      <c r="P76" s="28">
        <f t="shared" si="41"/>
        <v>2216.8804370969788</v>
      </c>
    </row>
    <row r="77" spans="1:23" ht="13.8" x14ac:dyDescent="0.25">
      <c r="A77" s="40" t="s">
        <v>53</v>
      </c>
      <c r="B77" s="27">
        <v>1282.8</v>
      </c>
      <c r="C77" s="28">
        <v>1561.87</v>
      </c>
      <c r="D77" s="28">
        <v>1520.18</v>
      </c>
      <c r="E77" s="28">
        <v>2821.57</v>
      </c>
      <c r="F77" s="28">
        <v>1603.14</v>
      </c>
      <c r="G77" s="28">
        <v>2426.7600000000002</v>
      </c>
      <c r="H77" s="28">
        <v>2304.27</v>
      </c>
      <c r="I77" s="28">
        <v>2798.21</v>
      </c>
      <c r="J77" s="27">
        <v>2703.44</v>
      </c>
      <c r="K77" s="28">
        <f t="shared" ref="K77:P77" si="42">K150</f>
        <v>3001.9935902030456</v>
      </c>
      <c r="L77" s="28">
        <f t="shared" si="42"/>
        <v>3223.1902667868985</v>
      </c>
      <c r="M77" s="28">
        <f t="shared" si="42"/>
        <v>3461.3784013044697</v>
      </c>
      <c r="N77" s="28">
        <f t="shared" si="42"/>
        <v>3717.9306310593283</v>
      </c>
      <c r="O77" s="28">
        <f t="shared" si="42"/>
        <v>3994.336772421429</v>
      </c>
      <c r="P77" s="28">
        <f t="shared" si="42"/>
        <v>4292.2143825054336</v>
      </c>
    </row>
    <row r="78" spans="1:23" ht="13.8" x14ac:dyDescent="0.25">
      <c r="A78" s="40" t="s">
        <v>54</v>
      </c>
      <c r="B78" s="27">
        <v>131.36000000000001</v>
      </c>
      <c r="C78" s="28">
        <f>15.4+121.33</f>
        <v>136.72999999999999</v>
      </c>
      <c r="D78" s="28">
        <f>34.38+106.96</f>
        <v>141.34</v>
      </c>
      <c r="E78" s="28">
        <f>40.68+95.78</f>
        <v>136.46</v>
      </c>
      <c r="F78" s="28">
        <f>147.91+93.95</f>
        <v>241.86</v>
      </c>
      <c r="G78" s="28">
        <f>169.22+87.93</f>
        <v>257.14999999999998</v>
      </c>
      <c r="H78" s="28">
        <f>98.68+76.44</f>
        <v>175.12</v>
      </c>
      <c r="I78" s="28">
        <f>168.37+177.13</f>
        <v>345.5</v>
      </c>
      <c r="J78" s="27">
        <f>539.89+69.04</f>
        <v>608.92999999999995</v>
      </c>
      <c r="K78" s="28">
        <f>K209</f>
        <v>2295.8338981928464</v>
      </c>
      <c r="L78" s="28">
        <f t="shared" ref="L78:P78" si="43">L209</f>
        <v>6555.5846453001286</v>
      </c>
      <c r="M78" s="28">
        <f t="shared" si="43"/>
        <v>11122.318482155039</v>
      </c>
      <c r="N78" s="28">
        <f t="shared" si="43"/>
        <v>16020.654986272546</v>
      </c>
      <c r="O78" s="28">
        <f t="shared" si="43"/>
        <v>21277.200657224654</v>
      </c>
      <c r="P78" s="28">
        <f t="shared" si="43"/>
        <v>26920.718363263899</v>
      </c>
    </row>
    <row r="79" spans="1:23" ht="13.8" x14ac:dyDescent="0.25">
      <c r="A79" s="40" t="s">
        <v>55</v>
      </c>
      <c r="B79" s="27">
        <v>23.12</v>
      </c>
      <c r="C79" s="28">
        <v>24.18</v>
      </c>
      <c r="D79" s="28">
        <v>27.56</v>
      </c>
      <c r="E79" s="28">
        <v>25.03</v>
      </c>
      <c r="F79" s="28">
        <v>22.36</v>
      </c>
      <c r="G79" s="28">
        <v>22.95</v>
      </c>
      <c r="H79" s="28">
        <v>22.81</v>
      </c>
      <c r="I79" s="28">
        <v>23.71</v>
      </c>
      <c r="J79" s="27">
        <v>24.56</v>
      </c>
      <c r="K79" s="28">
        <f>K151</f>
        <v>34.442814916264325</v>
      </c>
      <c r="L79" s="28">
        <f t="shared" ref="L79:P79" si="44">L151</f>
        <v>36.980673829932137</v>
      </c>
      <c r="M79" s="28">
        <f t="shared" si="44"/>
        <v>39.71348107482838</v>
      </c>
      <c r="N79" s="28">
        <f t="shared" si="44"/>
        <v>42.656985349667245</v>
      </c>
      <c r="O79" s="28">
        <f t="shared" si="44"/>
        <v>45.828279785379117</v>
      </c>
      <c r="P79" s="28">
        <f t="shared" si="44"/>
        <v>49.245923122561784</v>
      </c>
    </row>
    <row r="80" spans="1:23" ht="13.8" x14ac:dyDescent="0.25">
      <c r="A80" s="40" t="s">
        <v>56</v>
      </c>
      <c r="B80" s="27">
        <v>549.57000000000005</v>
      </c>
      <c r="C80" s="28">
        <v>388.29</v>
      </c>
      <c r="D80" s="28">
        <v>205.03</v>
      </c>
      <c r="E80" s="28">
        <v>239.22</v>
      </c>
      <c r="F80" s="28">
        <v>280.14</v>
      </c>
      <c r="G80" s="28">
        <v>213.37</v>
      </c>
      <c r="H80" s="28">
        <v>197.65</v>
      </c>
      <c r="I80" s="28">
        <v>235.07</v>
      </c>
      <c r="J80" s="27">
        <v>457.3</v>
      </c>
      <c r="K80" s="28">
        <f>K152</f>
        <v>439.10856582441994</v>
      </c>
      <c r="L80" s="28">
        <f t="shared" ref="L80:P80" si="45">L152</f>
        <v>471.46351679328404</v>
      </c>
      <c r="M80" s="28">
        <f t="shared" si="45"/>
        <v>506.30384772727865</v>
      </c>
      <c r="N80" s="28">
        <f t="shared" si="45"/>
        <v>543.83033746874855</v>
      </c>
      <c r="O80" s="28">
        <f t="shared" si="45"/>
        <v>584.26090491388584</v>
      </c>
      <c r="P80" s="28">
        <f t="shared" si="45"/>
        <v>627.83215389391648</v>
      </c>
    </row>
    <row r="81" spans="1:23" ht="13.8" x14ac:dyDescent="0.25">
      <c r="A81" s="40" t="s">
        <v>57</v>
      </c>
      <c r="B81" s="27"/>
      <c r="C81" s="28"/>
      <c r="D81" s="28"/>
      <c r="E81" s="28"/>
      <c r="F81" s="28"/>
      <c r="G81" s="28"/>
      <c r="H81" s="28"/>
      <c r="I81" s="28"/>
      <c r="J81" s="27">
        <v>0</v>
      </c>
      <c r="K81" s="28">
        <f>K153</f>
        <v>0</v>
      </c>
      <c r="L81" s="28">
        <f t="shared" ref="L81:P81" si="46">L153</f>
        <v>0</v>
      </c>
      <c r="M81" s="28">
        <f t="shared" si="46"/>
        <v>0</v>
      </c>
      <c r="N81" s="28">
        <f t="shared" si="46"/>
        <v>0</v>
      </c>
      <c r="O81" s="28">
        <f t="shared" si="46"/>
        <v>0</v>
      </c>
      <c r="P81" s="28">
        <f t="shared" si="46"/>
        <v>0</v>
      </c>
    </row>
    <row r="82" spans="1:23" ht="13.8" x14ac:dyDescent="0.25">
      <c r="A82" s="40" t="s">
        <v>58</v>
      </c>
      <c r="B82" s="27">
        <v>3469.11</v>
      </c>
      <c r="C82" s="35">
        <v>4540.8500000000004</v>
      </c>
      <c r="D82" s="35">
        <v>5591.12</v>
      </c>
      <c r="E82" s="28">
        <v>3167.1</v>
      </c>
      <c r="F82" s="28">
        <v>4694.4799999999996</v>
      </c>
      <c r="G82" s="28">
        <v>6191.49</v>
      </c>
      <c r="H82" s="28">
        <v>5837.66</v>
      </c>
      <c r="I82" s="28">
        <v>3637.88</v>
      </c>
      <c r="J82" s="27">
        <v>4274.5200000000004</v>
      </c>
      <c r="K82" s="96">
        <f>K154</f>
        <v>7191.5414491476631</v>
      </c>
      <c r="L82" s="96">
        <f>L154</f>
        <v>7721.4376731961956</v>
      </c>
      <c r="M82" s="96">
        <f>M154</f>
        <v>8292.0384391899734</v>
      </c>
      <c r="N82" s="96">
        <f>N154</f>
        <v>8906.632021326348</v>
      </c>
      <c r="O82" s="96">
        <f>O154</f>
        <v>9568.7874066315071</v>
      </c>
      <c r="P82" s="96">
        <f>P154</f>
        <v>10282.379596396066</v>
      </c>
    </row>
    <row r="83" spans="1:23" ht="13.8" x14ac:dyDescent="0.25">
      <c r="A83" s="26" t="s">
        <v>47</v>
      </c>
      <c r="B83" s="27">
        <v>22.28</v>
      </c>
      <c r="C83" s="28">
        <v>144.94999999999999</v>
      </c>
      <c r="D83" s="28">
        <v>539.37</v>
      </c>
      <c r="E83" s="28">
        <v>653.89</v>
      </c>
      <c r="F83" s="28">
        <v>354.61</v>
      </c>
      <c r="G83" s="28">
        <v>371.52</v>
      </c>
      <c r="H83" s="28">
        <v>454.8</v>
      </c>
      <c r="I83" s="28">
        <v>562.33000000000004</v>
      </c>
      <c r="J83" s="27">
        <v>283.51</v>
      </c>
      <c r="K83" s="96"/>
      <c r="L83" s="96"/>
      <c r="M83" s="97"/>
      <c r="N83" s="97"/>
      <c r="O83" s="97"/>
      <c r="P83" s="97"/>
    </row>
    <row r="84" spans="1:23" ht="13.8" x14ac:dyDescent="0.25">
      <c r="A84" s="26"/>
      <c r="B84" s="27"/>
      <c r="C84" s="28"/>
      <c r="D84" s="28"/>
      <c r="E84" s="28"/>
      <c r="F84" s="28"/>
      <c r="G84" s="28"/>
      <c r="H84" s="28"/>
      <c r="I84" s="28"/>
      <c r="J84" s="27"/>
      <c r="K84" s="41"/>
      <c r="L84" s="41"/>
      <c r="M84" s="44"/>
      <c r="N84" s="44"/>
      <c r="O84" s="44"/>
      <c r="P84" s="44"/>
    </row>
    <row r="85" spans="1:23" ht="13.8" x14ac:dyDescent="0.25">
      <c r="A85" s="24" t="s">
        <v>38</v>
      </c>
      <c r="B85" s="30">
        <f t="shared" ref="B85:J85" si="47">SUM(B74,B61)</f>
        <v>12572.86</v>
      </c>
      <c r="C85" s="30">
        <f t="shared" si="47"/>
        <v>14694.259999999998</v>
      </c>
      <c r="D85" s="30">
        <f t="shared" si="47"/>
        <v>16738.800000000003</v>
      </c>
      <c r="E85" s="30">
        <f t="shared" si="47"/>
        <v>17641.189999999999</v>
      </c>
      <c r="F85" s="30">
        <f t="shared" si="47"/>
        <v>18749.330000000002</v>
      </c>
      <c r="G85" s="30">
        <f t="shared" si="47"/>
        <v>22161.050000000003</v>
      </c>
      <c r="H85" s="30">
        <f t="shared" si="47"/>
        <v>21714.02</v>
      </c>
      <c r="I85" s="30">
        <f t="shared" si="47"/>
        <v>23263.14</v>
      </c>
      <c r="J85" s="30">
        <f t="shared" si="47"/>
        <v>25571.550000000003</v>
      </c>
      <c r="K85" s="30">
        <f t="shared" ref="K85:P85" si="48">SUM(K74,K61)</f>
        <v>30378.596232359945</v>
      </c>
      <c r="L85" s="30">
        <f t="shared" si="48"/>
        <v>35683.030284766108</v>
      </c>
      <c r="M85" s="30">
        <f t="shared" si="48"/>
        <v>41363.599651948025</v>
      </c>
      <c r="N85" s="30">
        <f t="shared" si="48"/>
        <v>47450.510302186485</v>
      </c>
      <c r="O85" s="30">
        <f t="shared" si="48"/>
        <v>53976.432023869987</v>
      </c>
      <c r="P85" s="30">
        <f t="shared" si="48"/>
        <v>60976.710856278849</v>
      </c>
      <c r="Q85" s="87"/>
      <c r="R85" s="87"/>
      <c r="S85" s="87"/>
      <c r="T85" s="87"/>
      <c r="U85" s="87"/>
      <c r="V85" s="87"/>
      <c r="W85" s="87"/>
    </row>
    <row r="86" spans="1:23" ht="13.8" x14ac:dyDescent="0.25">
      <c r="A86" s="45" t="s">
        <v>59</v>
      </c>
      <c r="B86" s="46">
        <f t="shared" ref="B86:P86" si="49">B57-B85</f>
        <v>0</v>
      </c>
      <c r="C86" s="46">
        <f t="shared" si="49"/>
        <v>0</v>
      </c>
      <c r="D86" s="46">
        <f t="shared" si="49"/>
        <v>0</v>
      </c>
      <c r="E86" s="46">
        <f t="shared" si="49"/>
        <v>-9.9999999983992893E-3</v>
      </c>
      <c r="F86" s="46">
        <f t="shared" si="49"/>
        <v>-1.0000000002037268E-2</v>
      </c>
      <c r="G86" s="46">
        <f t="shared" si="49"/>
        <v>-2.0000000004074536E-2</v>
      </c>
      <c r="H86" s="46">
        <f t="shared" si="49"/>
        <v>-2.0000000000436557E-2</v>
      </c>
      <c r="I86" s="46">
        <f t="shared" si="49"/>
        <v>9.9999999983992893E-3</v>
      </c>
      <c r="J86" s="46">
        <f t="shared" si="49"/>
        <v>0</v>
      </c>
      <c r="K86" s="46">
        <f t="shared" si="49"/>
        <v>0</v>
      </c>
      <c r="L86" s="46">
        <f t="shared" si="49"/>
        <v>0</v>
      </c>
      <c r="M86" s="46">
        <f t="shared" si="49"/>
        <v>0</v>
      </c>
      <c r="N86" s="46">
        <f t="shared" si="49"/>
        <v>0</v>
      </c>
      <c r="O86" s="46">
        <f t="shared" si="49"/>
        <v>0</v>
      </c>
      <c r="P86" s="46">
        <f t="shared" si="49"/>
        <v>0</v>
      </c>
      <c r="Q86" s="88"/>
      <c r="R86" s="88"/>
      <c r="S86" s="88"/>
      <c r="T86" s="88"/>
      <c r="U86" s="88"/>
      <c r="V86" s="88"/>
      <c r="W86" s="88"/>
    </row>
    <row r="87" spans="1:23" ht="13.8" x14ac:dyDescent="0.25">
      <c r="A87" s="25"/>
      <c r="B87" s="47"/>
      <c r="C87" s="47"/>
      <c r="D87" s="47"/>
      <c r="E87" s="47"/>
      <c r="F87" s="47"/>
      <c r="G87" s="47"/>
      <c r="H87" s="47"/>
      <c r="I87" s="47"/>
      <c r="J87" s="27"/>
      <c r="K87" s="23"/>
      <c r="L87" s="23"/>
      <c r="M87" s="23"/>
      <c r="N87" s="23"/>
      <c r="O87" s="23"/>
      <c r="P87" s="47"/>
      <c r="Q87" s="86"/>
    </row>
    <row r="88" spans="1:23" ht="13.8" x14ac:dyDescent="0.25">
      <c r="A88" s="25" t="s">
        <v>60</v>
      </c>
      <c r="B88" s="47">
        <v>8100000.0000000009</v>
      </c>
      <c r="C88" s="47">
        <v>9280000</v>
      </c>
      <c r="D88" s="47">
        <v>9400000</v>
      </c>
      <c r="E88" s="47">
        <v>9000000</v>
      </c>
      <c r="F88" s="47">
        <v>9100000</v>
      </c>
      <c r="G88" s="47">
        <v>9530000</v>
      </c>
      <c r="H88" s="47">
        <v>9530000</v>
      </c>
      <c r="I88" s="47">
        <v>9530000</v>
      </c>
      <c r="J88" s="47">
        <v>9530000</v>
      </c>
      <c r="K88" s="28">
        <f>J88+K89</f>
        <v>9775000</v>
      </c>
      <c r="L88" s="28">
        <f t="shared" ref="L88:P88" si="50">K88+L89</f>
        <v>10020000</v>
      </c>
      <c r="M88" s="28">
        <f t="shared" si="50"/>
        <v>10265000</v>
      </c>
      <c r="N88" s="28">
        <f t="shared" si="50"/>
        <v>10510000</v>
      </c>
      <c r="O88" s="28">
        <f t="shared" si="50"/>
        <v>10755000</v>
      </c>
      <c r="P88" s="28">
        <f t="shared" si="50"/>
        <v>11000000</v>
      </c>
      <c r="Q88" s="86"/>
    </row>
    <row r="89" spans="1:23" ht="13.8" x14ac:dyDescent="0.25">
      <c r="A89" s="25" t="s">
        <v>61</v>
      </c>
      <c r="B89" s="47"/>
      <c r="C89" s="47">
        <f>C88-B88</f>
        <v>1179999.9999999991</v>
      </c>
      <c r="D89" s="47">
        <f t="shared" ref="D89:J89" si="51">D88-C88</f>
        <v>120000</v>
      </c>
      <c r="E89" s="47">
        <f>E88-D88</f>
        <v>-400000</v>
      </c>
      <c r="F89" s="47">
        <f>F88-E88</f>
        <v>100000</v>
      </c>
      <c r="G89" s="47">
        <f>G88-F88</f>
        <v>430000</v>
      </c>
      <c r="H89" s="47">
        <f t="shared" si="51"/>
        <v>0</v>
      </c>
      <c r="I89" s="47">
        <f t="shared" si="51"/>
        <v>0</v>
      </c>
      <c r="J89" s="47">
        <f t="shared" si="51"/>
        <v>0</v>
      </c>
      <c r="K89" s="48">
        <v>245000</v>
      </c>
      <c r="L89" s="48">
        <f>K89</f>
        <v>245000</v>
      </c>
      <c r="M89" s="48">
        <f t="shared" ref="M89:P89" si="52">L89</f>
        <v>245000</v>
      </c>
      <c r="N89" s="48">
        <f t="shared" si="52"/>
        <v>245000</v>
      </c>
      <c r="O89" s="48">
        <f t="shared" si="52"/>
        <v>245000</v>
      </c>
      <c r="P89" s="48">
        <f t="shared" si="52"/>
        <v>245000</v>
      </c>
    </row>
    <row r="90" spans="1:23" ht="13.8" x14ac:dyDescent="0.25">
      <c r="A90" s="25"/>
      <c r="B90" s="49"/>
      <c r="C90" s="49"/>
      <c r="D90" s="49"/>
      <c r="E90" s="49"/>
      <c r="F90" s="49"/>
      <c r="G90" s="49"/>
      <c r="H90" s="49"/>
      <c r="I90" s="49"/>
      <c r="J90" s="27"/>
      <c r="K90" s="23"/>
      <c r="L90" s="23"/>
      <c r="M90" s="23"/>
      <c r="N90" s="23"/>
      <c r="O90" s="23"/>
      <c r="P90" s="23"/>
    </row>
    <row r="91" spans="1:23" ht="13.8" x14ac:dyDescent="0.25">
      <c r="A91" s="25" t="s">
        <v>62</v>
      </c>
      <c r="B91" s="49">
        <v>6421913</v>
      </c>
      <c r="C91" s="49">
        <v>6482123</v>
      </c>
      <c r="D91" s="49">
        <v>7382678</v>
      </c>
      <c r="E91" s="49">
        <v>7612689</v>
      </c>
      <c r="F91" s="49">
        <v>6219739</v>
      </c>
      <c r="G91" s="49">
        <v>5608391</v>
      </c>
      <c r="H91" s="49">
        <v>4643376</v>
      </c>
      <c r="I91" s="49">
        <f>5156000</f>
        <v>5156000</v>
      </c>
      <c r="J91" s="49">
        <f>5420000</f>
        <v>5420000</v>
      </c>
      <c r="K91" s="50"/>
      <c r="L91" s="50"/>
      <c r="M91" s="50"/>
      <c r="N91" s="50"/>
      <c r="O91" s="50"/>
      <c r="P91" s="50"/>
    </row>
    <row r="92" spans="1:23" ht="13.8" x14ac:dyDescent="0.25">
      <c r="A92" s="25" t="s">
        <v>63</v>
      </c>
      <c r="B92" s="49">
        <v>210409</v>
      </c>
      <c r="C92" s="49">
        <v>182117</v>
      </c>
      <c r="D92" s="49">
        <v>204476</v>
      </c>
      <c r="E92" s="49">
        <v>208056</v>
      </c>
      <c r="F92" s="49">
        <v>178261</v>
      </c>
      <c r="G92" s="49">
        <v>191609</v>
      </c>
      <c r="H92" s="49">
        <v>300624</v>
      </c>
      <c r="I92" s="49">
        <f>172753</f>
        <v>172753</v>
      </c>
      <c r="J92" s="49">
        <f>200923</f>
        <v>200923</v>
      </c>
      <c r="K92" s="50"/>
      <c r="L92" s="50"/>
      <c r="M92" s="50"/>
      <c r="N92" s="50"/>
      <c r="O92" s="50"/>
      <c r="P92" s="50"/>
    </row>
    <row r="93" spans="1:23" s="2" customFormat="1" ht="13.8" x14ac:dyDescent="0.25">
      <c r="A93" s="51" t="s">
        <v>38</v>
      </c>
      <c r="B93" s="52">
        <f>SUM(B91:B92)</f>
        <v>6632322</v>
      </c>
      <c r="C93" s="52">
        <f>SUM(C91:C92)</f>
        <v>6664240</v>
      </c>
      <c r="D93" s="52">
        <f>SUM(D91:D92)</f>
        <v>7587154</v>
      </c>
      <c r="E93" s="52">
        <f t="shared" ref="E93:G93" si="53">SUM(E91:E92)</f>
        <v>7820745</v>
      </c>
      <c r="F93" s="52">
        <f t="shared" si="53"/>
        <v>6398000</v>
      </c>
      <c r="G93" s="52">
        <f t="shared" si="53"/>
        <v>5800000</v>
      </c>
      <c r="H93" s="52">
        <f>SUM(H91:H92)</f>
        <v>4944000</v>
      </c>
      <c r="I93" s="52">
        <f>SUM(I91:I92)</f>
        <v>5328753</v>
      </c>
      <c r="J93" s="52">
        <f>SUM(J91:J92)</f>
        <v>5620923</v>
      </c>
      <c r="K93" s="53">
        <f>K104*K111</f>
        <v>6544779.4643961107</v>
      </c>
      <c r="L93" s="53">
        <f t="shared" ref="L93:P93" si="54">L104*L111</f>
        <v>6699082.0655986713</v>
      </c>
      <c r="M93" s="53">
        <f t="shared" si="54"/>
        <v>6858395.6188325798</v>
      </c>
      <c r="N93" s="53">
        <f t="shared" si="54"/>
        <v>7022938.0121559575</v>
      </c>
      <c r="O93" s="53">
        <f t="shared" si="54"/>
        <v>7192938.216583224</v>
      </c>
      <c r="P93" s="53">
        <f t="shared" si="54"/>
        <v>7368636.8848631307</v>
      </c>
    </row>
    <row r="94" spans="1:23" ht="13.8" x14ac:dyDescent="0.25">
      <c r="A94" s="25"/>
      <c r="B94" s="23"/>
      <c r="C94" s="23"/>
      <c r="D94" s="23"/>
      <c r="E94" s="23"/>
      <c r="F94" s="23"/>
      <c r="G94" s="23"/>
      <c r="H94" s="23"/>
      <c r="I94" s="23"/>
      <c r="J94" s="27"/>
      <c r="K94" s="23"/>
      <c r="L94" s="23"/>
      <c r="M94" s="23"/>
      <c r="N94" s="23"/>
      <c r="O94" s="23"/>
      <c r="P94" s="23"/>
    </row>
    <row r="95" spans="1:23" s="2" customFormat="1" ht="13.8" x14ac:dyDescent="0.25">
      <c r="A95" s="51" t="s">
        <v>64</v>
      </c>
      <c r="B95" s="54">
        <f>B93/B88</f>
        <v>0.81880518518518508</v>
      </c>
      <c r="C95" s="54">
        <f t="shared" ref="C95:J95" si="55">C93/C88</f>
        <v>0.71812931034482763</v>
      </c>
      <c r="D95" s="54">
        <f t="shared" si="55"/>
        <v>0.8071440425531915</v>
      </c>
      <c r="E95" s="54">
        <f t="shared" si="55"/>
        <v>0.8689716666666667</v>
      </c>
      <c r="F95" s="54">
        <f t="shared" si="55"/>
        <v>0.70307692307692304</v>
      </c>
      <c r="G95" s="54">
        <f t="shared" si="55"/>
        <v>0.60860440713536201</v>
      </c>
      <c r="H95" s="54">
        <f t="shared" si="55"/>
        <v>0.51878279118572923</v>
      </c>
      <c r="I95" s="54">
        <f t="shared" si="55"/>
        <v>0.55915561385099688</v>
      </c>
      <c r="J95" s="54">
        <f t="shared" si="55"/>
        <v>0.58981353620146904</v>
      </c>
      <c r="K95" s="55">
        <f>K93/K88</f>
        <v>0.66954265620420572</v>
      </c>
      <c r="L95" s="55">
        <f t="shared" ref="L95:P95" si="56">L93/L88</f>
        <v>0.66857106443100511</v>
      </c>
      <c r="M95" s="55">
        <f t="shared" si="56"/>
        <v>0.66813401060229716</v>
      </c>
      <c r="N95" s="55">
        <f t="shared" si="56"/>
        <v>0.66821484416326904</v>
      </c>
      <c r="O95" s="55">
        <f t="shared" si="56"/>
        <v>0.66879946225785436</v>
      </c>
      <c r="P95" s="55">
        <f t="shared" si="56"/>
        <v>0.66987608044210278</v>
      </c>
    </row>
    <row r="96" spans="1:23" ht="13.8" x14ac:dyDescent="0.25">
      <c r="A96" s="25"/>
      <c r="B96" s="56"/>
      <c r="C96" s="56"/>
      <c r="D96" s="56"/>
      <c r="E96" s="56"/>
      <c r="F96" s="56"/>
      <c r="G96" s="56"/>
      <c r="H96" s="56"/>
      <c r="I96" s="56"/>
      <c r="J96" s="57"/>
      <c r="K96" s="23"/>
      <c r="L96" s="23"/>
      <c r="M96" s="23"/>
      <c r="N96" s="23"/>
      <c r="O96" s="23"/>
      <c r="P96" s="23"/>
    </row>
    <row r="97" spans="1:23" ht="13.8" x14ac:dyDescent="0.25">
      <c r="A97" s="25" t="s">
        <v>65</v>
      </c>
      <c r="B97" s="56"/>
      <c r="C97" s="57">
        <f>C91/B91-1</f>
        <v>9.3757109446983566E-3</v>
      </c>
      <c r="D97" s="57">
        <f t="shared" ref="D97:J97" si="57">D91/C91-1</f>
        <v>0.13892902063104939</v>
      </c>
      <c r="E97" s="57">
        <f t="shared" si="57"/>
        <v>3.115549669103812E-2</v>
      </c>
      <c r="F97" s="57">
        <f t="shared" si="57"/>
        <v>-0.18297739471558605</v>
      </c>
      <c r="G97" s="57">
        <f t="shared" si="57"/>
        <v>-9.8291584261011589E-2</v>
      </c>
      <c r="H97" s="57">
        <f t="shared" si="57"/>
        <v>-0.17206628425157944</v>
      </c>
      <c r="I97" s="57">
        <f t="shared" si="57"/>
        <v>0.11039898556567462</v>
      </c>
      <c r="J97" s="57">
        <f t="shared" si="57"/>
        <v>5.1202482544608241E-2</v>
      </c>
      <c r="K97" s="80"/>
      <c r="L97" s="80"/>
      <c r="M97" s="80"/>
      <c r="N97" s="80"/>
      <c r="O97" s="80"/>
      <c r="P97" s="80"/>
    </row>
    <row r="98" spans="1:23" ht="13.8" x14ac:dyDescent="0.25">
      <c r="A98" s="25" t="s">
        <v>66</v>
      </c>
      <c r="B98" s="56"/>
      <c r="C98" s="57">
        <f>C92/B92-1</f>
        <v>-0.13446192890988506</v>
      </c>
      <c r="D98" s="57">
        <f t="shared" ref="D98:J98" si="58">D92/C92-1</f>
        <v>0.12277272302970066</v>
      </c>
      <c r="E98" s="57">
        <f t="shared" si="58"/>
        <v>1.750816721766868E-2</v>
      </c>
      <c r="F98" s="57">
        <f t="shared" si="58"/>
        <v>-0.14320663667474143</v>
      </c>
      <c r="G98" s="57">
        <f t="shared" si="58"/>
        <v>7.4878969600753909E-2</v>
      </c>
      <c r="H98" s="57">
        <f t="shared" si="58"/>
        <v>0.5689450913057319</v>
      </c>
      <c r="I98" s="57">
        <f t="shared" si="58"/>
        <v>-0.42535193464261001</v>
      </c>
      <c r="J98" s="57">
        <f t="shared" si="58"/>
        <v>0.16306518555394112</v>
      </c>
      <c r="K98" s="80"/>
      <c r="L98" s="80"/>
      <c r="M98" s="80"/>
      <c r="N98" s="80"/>
      <c r="O98" s="80"/>
      <c r="P98" s="80"/>
    </row>
    <row r="99" spans="1:23" ht="13.8" x14ac:dyDescent="0.25">
      <c r="A99" s="51" t="s">
        <v>67</v>
      </c>
      <c r="B99" s="59"/>
      <c r="C99" s="54">
        <f>C93/B93-1</f>
        <v>4.8124925177035482E-3</v>
      </c>
      <c r="D99" s="54">
        <f t="shared" ref="D99:J99" si="59">D93/C93-1</f>
        <v>0.13848750945344102</v>
      </c>
      <c r="E99" s="54">
        <f t="shared" si="59"/>
        <v>3.0787697205038933E-2</v>
      </c>
      <c r="F99" s="54">
        <f t="shared" si="59"/>
        <v>-0.18191936957412624</v>
      </c>
      <c r="G99" s="54">
        <f t="shared" si="59"/>
        <v>-9.3466708346358285E-2</v>
      </c>
      <c r="H99" s="54">
        <f t="shared" si="59"/>
        <v>-0.14758620689655177</v>
      </c>
      <c r="I99" s="54">
        <f t="shared" si="59"/>
        <v>7.7822208737864162E-2</v>
      </c>
      <c r="J99" s="54">
        <f t="shared" si="59"/>
        <v>5.4828962798613379E-2</v>
      </c>
      <c r="K99" s="80"/>
      <c r="L99" s="80"/>
      <c r="M99" s="80"/>
      <c r="N99" s="80"/>
      <c r="O99" s="80"/>
      <c r="P99" s="80"/>
    </row>
    <row r="100" spans="1:23" ht="13.8" x14ac:dyDescent="0.25">
      <c r="A100" s="25"/>
      <c r="B100" s="23"/>
      <c r="C100" s="23"/>
      <c r="D100" s="23"/>
      <c r="E100" s="23"/>
      <c r="F100" s="23"/>
      <c r="G100" s="23"/>
      <c r="H100" s="23"/>
      <c r="I100" s="23"/>
      <c r="J100" s="27"/>
      <c r="K100" s="23"/>
      <c r="L100" s="23"/>
      <c r="M100" s="23"/>
      <c r="N100" s="23"/>
      <c r="O100" s="23"/>
      <c r="P100" s="23"/>
    </row>
    <row r="101" spans="1:23" ht="13.8" x14ac:dyDescent="0.25">
      <c r="A101" s="60" t="s">
        <v>68</v>
      </c>
      <c r="B101" s="23"/>
      <c r="C101" s="23"/>
      <c r="D101" s="23"/>
      <c r="E101" s="23"/>
      <c r="F101" s="23"/>
      <c r="G101" s="23"/>
      <c r="H101" s="23"/>
      <c r="I101" s="23"/>
      <c r="J101" s="27"/>
      <c r="K101" s="23"/>
      <c r="L101" s="23"/>
      <c r="M101" s="23"/>
      <c r="N101" s="23"/>
      <c r="O101" s="23"/>
      <c r="P101" s="23"/>
    </row>
    <row r="102" spans="1:23" ht="13.8" x14ac:dyDescent="0.25">
      <c r="A102" s="25" t="s">
        <v>69</v>
      </c>
      <c r="B102" s="47">
        <v>16455851</v>
      </c>
      <c r="C102" s="47">
        <v>17589738</v>
      </c>
      <c r="D102" s="47">
        <v>20200117</v>
      </c>
      <c r="E102" s="47">
        <v>21179847</v>
      </c>
      <c r="F102" s="47">
        <v>17416432</v>
      </c>
      <c r="G102" s="47">
        <v>15119387</v>
      </c>
      <c r="H102" s="47">
        <v>13456254</v>
      </c>
      <c r="I102" s="47">
        <v>15609255</v>
      </c>
      <c r="J102" s="47">
        <v>17638458</v>
      </c>
      <c r="K102" s="47">
        <f>J102*(1+K105)</f>
        <v>17938822.169757899</v>
      </c>
      <c r="L102" s="47">
        <f t="shared" ref="L102:P102" si="60">K102*(1+L105)</f>
        <v>18244301.221693952</v>
      </c>
      <c r="M102" s="47">
        <f t="shared" si="60"/>
        <v>18554982.25680865</v>
      </c>
      <c r="N102" s="47">
        <f t="shared" si="60"/>
        <v>18870953.859339826</v>
      </c>
      <c r="O102" s="47">
        <f t="shared" si="60"/>
        <v>19192306.122020621</v>
      </c>
      <c r="P102" s="47">
        <f t="shared" si="60"/>
        <v>19519130.671767551</v>
      </c>
      <c r="Q102" s="90"/>
      <c r="R102" s="90"/>
      <c r="S102" s="90"/>
      <c r="T102" s="90"/>
      <c r="U102" s="90"/>
    </row>
    <row r="103" spans="1:23" ht="13.8" x14ac:dyDescent="0.25">
      <c r="A103" s="25" t="s">
        <v>63</v>
      </c>
      <c r="B103" s="47">
        <v>2482876</v>
      </c>
      <c r="C103" s="47">
        <v>2340277</v>
      </c>
      <c r="D103" s="47">
        <v>2815003</v>
      </c>
      <c r="E103" s="47">
        <v>3280841</v>
      </c>
      <c r="F103" s="47">
        <v>3519405</v>
      </c>
      <c r="G103" s="47">
        <v>3277724</v>
      </c>
      <c r="H103" s="47">
        <v>4457704</v>
      </c>
      <c r="I103" s="47">
        <v>3655317</v>
      </c>
      <c r="J103" s="47">
        <v>3472551</v>
      </c>
      <c r="K103" s="47">
        <f t="shared" ref="K103:P103" si="61">J103*(1+K106)</f>
        <v>3665687.5019738753</v>
      </c>
      <c r="L103" s="47">
        <f t="shared" si="61"/>
        <v>3869565.8788387761</v>
      </c>
      <c r="M103" s="47">
        <f t="shared" si="61"/>
        <v>4084783.5726887402</v>
      </c>
      <c r="N103" s="47">
        <f t="shared" si="61"/>
        <v>4311971.2541797981</v>
      </c>
      <c r="O103" s="47">
        <f t="shared" si="61"/>
        <v>4551794.6706376672</v>
      </c>
      <c r="P103" s="47">
        <f t="shared" si="61"/>
        <v>4804956.5969535913</v>
      </c>
      <c r="Q103" s="90"/>
      <c r="R103" s="90"/>
      <c r="S103" s="90"/>
      <c r="T103" s="90"/>
      <c r="U103" s="90"/>
      <c r="W103" s="89"/>
    </row>
    <row r="104" spans="1:23" ht="13.8" x14ac:dyDescent="0.25">
      <c r="A104" s="51" t="s">
        <v>38</v>
      </c>
      <c r="B104" s="33">
        <f>SUM(B102:B103)</f>
        <v>18938727</v>
      </c>
      <c r="C104" s="33">
        <f t="shared" ref="C104:J104" si="62">SUM(C102:C103)</f>
        <v>19930015</v>
      </c>
      <c r="D104" s="33">
        <f t="shared" si="62"/>
        <v>23015120</v>
      </c>
      <c r="E104" s="33">
        <f t="shared" si="62"/>
        <v>24460688</v>
      </c>
      <c r="F104" s="33">
        <f t="shared" si="62"/>
        <v>20935837</v>
      </c>
      <c r="G104" s="33">
        <f t="shared" si="62"/>
        <v>18397111</v>
      </c>
      <c r="H104" s="33">
        <f t="shared" si="62"/>
        <v>17913958</v>
      </c>
      <c r="I104" s="33">
        <f t="shared" si="62"/>
        <v>19264572</v>
      </c>
      <c r="J104" s="33">
        <f t="shared" si="62"/>
        <v>21111009</v>
      </c>
      <c r="K104" s="33">
        <f>SUM(K102:K103)</f>
        <v>21604509.671731774</v>
      </c>
      <c r="L104" s="33">
        <f t="shared" ref="L104:P104" si="63">SUM(L102:L103)</f>
        <v>22113867.100532729</v>
      </c>
      <c r="M104" s="33">
        <f t="shared" si="63"/>
        <v>22639765.829497389</v>
      </c>
      <c r="N104" s="33">
        <f t="shared" si="63"/>
        <v>23182925.113519624</v>
      </c>
      <c r="O104" s="33">
        <f t="shared" si="63"/>
        <v>23744100.792658288</v>
      </c>
      <c r="P104" s="33">
        <f t="shared" si="63"/>
        <v>24324087.268721141</v>
      </c>
    </row>
    <row r="105" spans="1:23" ht="13.8" x14ac:dyDescent="0.25">
      <c r="A105" s="25" t="s">
        <v>70</v>
      </c>
      <c r="B105" s="23"/>
      <c r="C105" s="57">
        <f>C102/B102-1</f>
        <v>6.8904792587147323E-2</v>
      </c>
      <c r="D105" s="57">
        <f t="shared" ref="D105:J105" si="64">D102/C102-1</f>
        <v>0.14840351800578278</v>
      </c>
      <c r="E105" s="57">
        <f t="shared" si="64"/>
        <v>4.8501204225698258E-2</v>
      </c>
      <c r="F105" s="57">
        <f t="shared" si="64"/>
        <v>-0.17768848849569119</v>
      </c>
      <c r="G105" s="57">
        <f t="shared" si="64"/>
        <v>-0.13188952823402633</v>
      </c>
      <c r="H105" s="57">
        <f t="shared" si="64"/>
        <v>-0.11000002844030643</v>
      </c>
      <c r="I105" s="57">
        <f t="shared" si="64"/>
        <v>0.16000002675335945</v>
      </c>
      <c r="J105" s="57">
        <f t="shared" si="64"/>
        <v>0.12999999039031662</v>
      </c>
      <c r="K105" s="61">
        <f>AVERAGE(C105:J105)</f>
        <v>1.702893584903506E-2</v>
      </c>
      <c r="L105" s="61">
        <f>K105</f>
        <v>1.702893584903506E-2</v>
      </c>
      <c r="M105" s="61">
        <f t="shared" ref="M105:P105" si="65">L105</f>
        <v>1.702893584903506E-2</v>
      </c>
      <c r="N105" s="61">
        <f t="shared" si="65"/>
        <v>1.702893584903506E-2</v>
      </c>
      <c r="O105" s="61">
        <f t="shared" si="65"/>
        <v>1.702893584903506E-2</v>
      </c>
      <c r="P105" s="61">
        <f t="shared" si="65"/>
        <v>1.702893584903506E-2</v>
      </c>
    </row>
    <row r="106" spans="1:23" ht="13.8" x14ac:dyDescent="0.25">
      <c r="A106" s="25" t="s">
        <v>71</v>
      </c>
      <c r="B106" s="23"/>
      <c r="C106" s="57">
        <f t="shared" ref="C106:J106" si="66">C103/B103-1</f>
        <v>-5.7432993029051804E-2</v>
      </c>
      <c r="D106" s="57">
        <f t="shared" si="66"/>
        <v>0.20285034634788968</v>
      </c>
      <c r="E106" s="57">
        <f t="shared" si="66"/>
        <v>0.16548401546996572</v>
      </c>
      <c r="F106" s="57">
        <f t="shared" si="66"/>
        <v>7.2714282709829492E-2</v>
      </c>
      <c r="G106" s="57">
        <f t="shared" si="66"/>
        <v>-6.8670982737138786E-2</v>
      </c>
      <c r="H106" s="57">
        <f t="shared" si="66"/>
        <v>0.35999980474255922</v>
      </c>
      <c r="I106" s="57">
        <f t="shared" si="66"/>
        <v>-0.18000006281260483</v>
      </c>
      <c r="J106" s="57">
        <f t="shared" si="66"/>
        <v>-5.0000041036112552E-2</v>
      </c>
      <c r="K106" s="61">
        <f>AVERAGE(C106:J106)</f>
        <v>5.5618046206917016E-2</v>
      </c>
      <c r="L106" s="61">
        <f t="shared" ref="L106:P106" si="67">K106</f>
        <v>5.5618046206917016E-2</v>
      </c>
      <c r="M106" s="61">
        <f t="shared" si="67"/>
        <v>5.5618046206917016E-2</v>
      </c>
      <c r="N106" s="61">
        <f t="shared" si="67"/>
        <v>5.5618046206917016E-2</v>
      </c>
      <c r="O106" s="61">
        <f t="shared" si="67"/>
        <v>5.5618046206917016E-2</v>
      </c>
      <c r="P106" s="61">
        <f t="shared" si="67"/>
        <v>5.5618046206917016E-2</v>
      </c>
    </row>
    <row r="107" spans="1:23" ht="13.8" x14ac:dyDescent="0.25">
      <c r="A107" s="25"/>
      <c r="B107" s="23"/>
      <c r="C107" s="23"/>
      <c r="D107" s="23"/>
      <c r="E107" s="23"/>
      <c r="F107" s="23"/>
      <c r="G107" s="23"/>
      <c r="H107" s="23"/>
      <c r="I107" s="23"/>
      <c r="J107" s="27"/>
      <c r="K107" s="23"/>
      <c r="L107" s="23"/>
      <c r="M107" s="23"/>
      <c r="N107" s="23"/>
      <c r="O107" s="23"/>
      <c r="P107" s="23"/>
    </row>
    <row r="108" spans="1:23" ht="13.8" x14ac:dyDescent="0.25">
      <c r="A108" s="51" t="s">
        <v>72</v>
      </c>
      <c r="B108" s="23"/>
      <c r="C108" s="23"/>
      <c r="D108" s="23"/>
      <c r="E108" s="23"/>
      <c r="F108" s="23"/>
      <c r="G108" s="23"/>
      <c r="H108" s="23"/>
      <c r="I108" s="23"/>
      <c r="J108" s="27"/>
      <c r="K108" s="23"/>
      <c r="L108" s="23"/>
      <c r="M108" s="23"/>
      <c r="N108" s="23"/>
      <c r="O108" s="23"/>
      <c r="P108" s="23"/>
    </row>
    <row r="109" spans="1:23" ht="13.8" x14ac:dyDescent="0.25">
      <c r="A109" s="25" t="s">
        <v>62</v>
      </c>
      <c r="B109" s="57">
        <f>B91/B102</f>
        <v>0.39025104201539013</v>
      </c>
      <c r="C109" s="57">
        <f t="shared" ref="C109:J109" si="68">C91/C102</f>
        <v>0.36851731390200354</v>
      </c>
      <c r="D109" s="57">
        <f t="shared" si="68"/>
        <v>0.36547699203920453</v>
      </c>
      <c r="E109" s="57">
        <f t="shared" si="68"/>
        <v>0.35943078342350632</v>
      </c>
      <c r="F109" s="57">
        <f t="shared" si="68"/>
        <v>0.35711901266574003</v>
      </c>
      <c r="G109" s="57">
        <f t="shared" si="68"/>
        <v>0.37094036947397402</v>
      </c>
      <c r="H109" s="57">
        <f t="shared" si="68"/>
        <v>0.34507196430745141</v>
      </c>
      <c r="I109" s="57">
        <f t="shared" si="68"/>
        <v>0.33031685368712344</v>
      </c>
      <c r="J109" s="57">
        <f t="shared" si="68"/>
        <v>0.30728309696913414</v>
      </c>
      <c r="K109" s="62"/>
      <c r="L109" s="62"/>
      <c r="M109" s="62"/>
      <c r="N109" s="62"/>
      <c r="O109" s="62"/>
      <c r="P109" s="62"/>
    </row>
    <row r="110" spans="1:23" ht="13.8" x14ac:dyDescent="0.25">
      <c r="A110" s="25" t="s">
        <v>63</v>
      </c>
      <c r="B110" s="57">
        <f t="shared" ref="B110:J110" si="69">B92/B103</f>
        <v>8.4744062933469089E-2</v>
      </c>
      <c r="C110" s="57">
        <f t="shared" si="69"/>
        <v>7.7818565921897273E-2</v>
      </c>
      <c r="D110" s="57">
        <f t="shared" si="69"/>
        <v>7.2637933245541839E-2</v>
      </c>
      <c r="E110" s="57">
        <f t="shared" si="69"/>
        <v>6.3415447441677306E-2</v>
      </c>
      <c r="F110" s="57">
        <f t="shared" si="69"/>
        <v>5.065089127281458E-2</v>
      </c>
      <c r="G110" s="57">
        <f t="shared" si="69"/>
        <v>5.8457942157423871E-2</v>
      </c>
      <c r="H110" s="57">
        <f t="shared" si="69"/>
        <v>6.7439201885096001E-2</v>
      </c>
      <c r="I110" s="57">
        <f t="shared" si="69"/>
        <v>4.7260743733033274E-2</v>
      </c>
      <c r="J110" s="57">
        <f t="shared" si="69"/>
        <v>5.7860345319622378E-2</v>
      </c>
      <c r="K110" s="62"/>
      <c r="L110" s="62"/>
      <c r="M110" s="62"/>
      <c r="N110" s="62"/>
      <c r="O110" s="62"/>
      <c r="P110" s="62"/>
    </row>
    <row r="111" spans="1:23" ht="13.8" x14ac:dyDescent="0.25">
      <c r="A111" s="25" t="s">
        <v>73</v>
      </c>
      <c r="B111" s="57">
        <f t="shared" ref="B111:J111" si="70">B93/B104</f>
        <v>0.35019893364532895</v>
      </c>
      <c r="C111" s="57">
        <f t="shared" si="70"/>
        <v>0.33438208651624196</v>
      </c>
      <c r="D111" s="57">
        <f t="shared" si="70"/>
        <v>0.3296595455509248</v>
      </c>
      <c r="E111" s="57">
        <f t="shared" si="70"/>
        <v>0.31972710661286385</v>
      </c>
      <c r="F111" s="57">
        <f t="shared" si="70"/>
        <v>0.30560039228429225</v>
      </c>
      <c r="G111" s="57">
        <f t="shared" si="70"/>
        <v>0.31526689163314825</v>
      </c>
      <c r="H111" s="57">
        <f t="shared" si="70"/>
        <v>0.27598590998147926</v>
      </c>
      <c r="I111" s="57">
        <f t="shared" si="70"/>
        <v>0.27660894828081312</v>
      </c>
      <c r="J111" s="57">
        <f t="shared" si="70"/>
        <v>0.26625553520440448</v>
      </c>
      <c r="K111" s="61">
        <f>AVERAGE(C111:J111)</f>
        <v>0.30293580200802095</v>
      </c>
      <c r="L111" s="61">
        <f t="shared" ref="L111:P111" si="71">K111</f>
        <v>0.30293580200802095</v>
      </c>
      <c r="M111" s="61">
        <f t="shared" si="71"/>
        <v>0.30293580200802095</v>
      </c>
      <c r="N111" s="61">
        <f t="shared" si="71"/>
        <v>0.30293580200802095</v>
      </c>
      <c r="O111" s="61">
        <f t="shared" si="71"/>
        <v>0.30293580200802095</v>
      </c>
      <c r="P111" s="61">
        <f t="shared" si="71"/>
        <v>0.30293580200802095</v>
      </c>
      <c r="W111" s="91"/>
    </row>
    <row r="112" spans="1:23" ht="13.8" x14ac:dyDescent="0.25">
      <c r="A112" s="25"/>
      <c r="B112" s="23"/>
      <c r="C112" s="23"/>
      <c r="D112" s="23"/>
      <c r="E112" s="23"/>
      <c r="F112" s="23"/>
      <c r="G112" s="23"/>
      <c r="H112" s="23"/>
      <c r="I112" s="23"/>
      <c r="J112" s="27"/>
      <c r="K112" s="23"/>
      <c r="L112" s="23"/>
      <c r="M112" s="23"/>
      <c r="N112" s="23"/>
      <c r="O112" s="23"/>
      <c r="P112" s="23"/>
    </row>
    <row r="113" spans="1:16" ht="13.8" x14ac:dyDescent="0.25">
      <c r="A113" s="25"/>
      <c r="B113" s="23"/>
      <c r="C113" s="23"/>
      <c r="D113" s="23"/>
      <c r="E113" s="23"/>
      <c r="F113" s="23"/>
      <c r="G113" s="23"/>
      <c r="H113" s="23"/>
      <c r="I113" s="23"/>
      <c r="J113" s="27"/>
      <c r="K113" s="23"/>
      <c r="L113" s="23"/>
      <c r="M113" s="23"/>
      <c r="N113" s="23"/>
      <c r="O113" s="23"/>
      <c r="P113" s="23"/>
    </row>
    <row r="114" spans="1:16" s="2" customFormat="1" ht="13.8" x14ac:dyDescent="0.25">
      <c r="A114" s="51" t="s">
        <v>157</v>
      </c>
      <c r="B114" s="33">
        <f t="shared" ref="B114:J114" si="72">B3/B93*10000000</f>
        <v>46289.791116896922</v>
      </c>
      <c r="C114" s="33">
        <f t="shared" si="72"/>
        <v>46324.24702591743</v>
      </c>
      <c r="D114" s="33">
        <f t="shared" si="72"/>
        <v>43325.626447018214</v>
      </c>
      <c r="E114" s="33">
        <f t="shared" si="72"/>
        <v>43027.281927744742</v>
      </c>
      <c r="F114" s="33">
        <f t="shared" si="72"/>
        <v>45070.4751484839</v>
      </c>
      <c r="G114" s="33">
        <f t="shared" si="72"/>
        <v>53104.517241379312</v>
      </c>
      <c r="H114" s="33">
        <f t="shared" si="72"/>
        <v>59153.458737864079</v>
      </c>
      <c r="I114" s="33">
        <f t="shared" si="72"/>
        <v>63440.076881026383</v>
      </c>
      <c r="J114" s="33">
        <f t="shared" si="72"/>
        <v>66636.244616764903</v>
      </c>
      <c r="K114" s="33">
        <f>J114*(1+K115)</f>
        <v>69898.268074237887</v>
      </c>
      <c r="L114" s="33">
        <f t="shared" ref="L114:P114" si="73">K114*(1+L115)</f>
        <v>73319.976356362997</v>
      </c>
      <c r="M114" s="33">
        <f t="shared" si="73"/>
        <v>76909.186464935774</v>
      </c>
      <c r="N114" s="33">
        <f>M114*(1+N115)</f>
        <v>80674.098065021142</v>
      </c>
      <c r="O114" s="33">
        <f t="shared" si="73"/>
        <v>84623.312217350001</v>
      </c>
      <c r="P114" s="33">
        <f t="shared" si="73"/>
        <v>88765.851027716984</v>
      </c>
    </row>
    <row r="115" spans="1:16" ht="13.8" x14ac:dyDescent="0.25">
      <c r="A115" s="25" t="s">
        <v>74</v>
      </c>
      <c r="B115" s="23"/>
      <c r="C115" s="57">
        <f>C114/B114-1</f>
        <v>7.4435222516977539E-4</v>
      </c>
      <c r="D115" s="57">
        <f t="shared" ref="D115:J115" si="74">D114/C114-1</f>
        <v>-6.4731124009885121E-2</v>
      </c>
      <c r="E115" s="57">
        <f t="shared" si="74"/>
        <v>-6.886098222683712E-3</v>
      </c>
      <c r="F115" s="57">
        <f t="shared" si="74"/>
        <v>4.7485993286080053E-2</v>
      </c>
      <c r="G115" s="57">
        <f t="shared" si="74"/>
        <v>0.1782551008487796</v>
      </c>
      <c r="H115" s="57">
        <f t="shared" si="74"/>
        <v>0.11390634565022273</v>
      </c>
      <c r="I115" s="57">
        <f t="shared" si="74"/>
        <v>7.2466060896933637E-2</v>
      </c>
      <c r="J115" s="57">
        <f t="shared" si="74"/>
        <v>5.0380893165254514E-2</v>
      </c>
      <c r="K115" s="61">
        <f>AVERAGE(C115:J115)</f>
        <v>4.8952690479983935E-2</v>
      </c>
      <c r="L115" s="61">
        <f>K115</f>
        <v>4.8952690479983935E-2</v>
      </c>
      <c r="M115" s="61">
        <f t="shared" ref="M115:P115" si="75">L115</f>
        <v>4.8952690479983935E-2</v>
      </c>
      <c r="N115" s="61">
        <f t="shared" si="75"/>
        <v>4.8952690479983935E-2</v>
      </c>
      <c r="O115" s="61">
        <f t="shared" si="75"/>
        <v>4.8952690479983935E-2</v>
      </c>
      <c r="P115" s="61">
        <f t="shared" si="75"/>
        <v>4.8952690479983935E-2</v>
      </c>
    </row>
    <row r="116" spans="1:16" ht="13.8" x14ac:dyDescent="0.25">
      <c r="A116" s="25"/>
      <c r="B116" s="23"/>
      <c r="C116" s="23"/>
      <c r="D116" s="23"/>
      <c r="E116" s="23"/>
      <c r="F116" s="23"/>
      <c r="G116" s="23"/>
      <c r="H116" s="23"/>
      <c r="I116" s="23"/>
      <c r="J116" s="27"/>
      <c r="K116" s="23"/>
      <c r="L116" s="23"/>
      <c r="M116" s="23"/>
      <c r="N116" s="23"/>
      <c r="O116" s="23"/>
      <c r="P116" s="23"/>
    </row>
    <row r="117" spans="1:16" ht="13.2" x14ac:dyDescent="0.25">
      <c r="A117" s="23"/>
      <c r="B117" s="23"/>
      <c r="C117" s="23"/>
      <c r="D117" s="23"/>
      <c r="E117" s="23"/>
      <c r="F117" s="23"/>
      <c r="G117" s="23"/>
      <c r="H117" s="23"/>
      <c r="I117" s="23"/>
      <c r="J117" s="27"/>
      <c r="K117" s="23"/>
      <c r="L117" s="23"/>
      <c r="M117" s="23"/>
      <c r="N117" s="23"/>
      <c r="O117" s="23"/>
      <c r="P117" s="23"/>
    </row>
    <row r="118" spans="1:16" ht="13.8" x14ac:dyDescent="0.25">
      <c r="A118" s="60" t="s">
        <v>75</v>
      </c>
      <c r="B118" s="23"/>
      <c r="C118" s="23"/>
      <c r="D118" s="23"/>
      <c r="E118" s="23"/>
      <c r="F118" s="23"/>
      <c r="G118" s="23"/>
      <c r="H118" s="23"/>
      <c r="I118" s="23"/>
      <c r="J118" s="27"/>
      <c r="K118" s="63"/>
      <c r="L118" s="63"/>
      <c r="M118" s="63"/>
      <c r="N118" s="63"/>
      <c r="O118" s="63"/>
      <c r="P118" s="63"/>
    </row>
    <row r="119" spans="1:16" ht="13.8" x14ac:dyDescent="0.25">
      <c r="A119" s="26" t="s">
        <v>5</v>
      </c>
      <c r="B119" s="58">
        <f t="shared" ref="B119:J119" si="76">B9/B$3</f>
        <v>0.62935394685754942</v>
      </c>
      <c r="C119" s="58">
        <f t="shared" si="76"/>
        <v>0.61461395412416397</v>
      </c>
      <c r="D119" s="58">
        <f t="shared" si="76"/>
        <v>0.66494006112226223</v>
      </c>
      <c r="E119" s="58">
        <f t="shared" si="76"/>
        <v>0.69378084274427687</v>
      </c>
      <c r="F119" s="58">
        <f t="shared" si="76"/>
        <v>0.68896962105472681</v>
      </c>
      <c r="G119" s="58">
        <f t="shared" si="76"/>
        <v>0.71022369030233812</v>
      </c>
      <c r="H119" s="58">
        <f t="shared" si="76"/>
        <v>0.70807786641828629</v>
      </c>
      <c r="I119" s="58">
        <f t="shared" si="76"/>
        <v>0.71052412836315815</v>
      </c>
      <c r="J119" s="58">
        <f t="shared" si="76"/>
        <v>0.66124639974882338</v>
      </c>
      <c r="K119" s="64">
        <f>AVERAGE(B119:J119)</f>
        <v>0.67574783452617604</v>
      </c>
      <c r="L119" s="64">
        <f>K119</f>
        <v>0.67574783452617604</v>
      </c>
      <c r="M119" s="64">
        <f t="shared" ref="M119:P119" si="77">L119</f>
        <v>0.67574783452617604</v>
      </c>
      <c r="N119" s="64">
        <f t="shared" si="77"/>
        <v>0.67574783452617604</v>
      </c>
      <c r="O119" s="64">
        <f t="shared" si="77"/>
        <v>0.67574783452617604</v>
      </c>
      <c r="P119" s="64">
        <f t="shared" si="77"/>
        <v>0.67574783452617604</v>
      </c>
    </row>
    <row r="120" spans="1:16" ht="13.8" x14ac:dyDescent="0.25">
      <c r="A120" s="26" t="s">
        <v>6</v>
      </c>
      <c r="B120" s="58">
        <f t="shared" ref="B120:J120" si="78">B10/B$3</f>
        <v>0</v>
      </c>
      <c r="C120" s="58">
        <f t="shared" si="78"/>
        <v>0</v>
      </c>
      <c r="D120" s="58">
        <f t="shared" si="78"/>
        <v>0</v>
      </c>
      <c r="E120" s="58">
        <f t="shared" si="78"/>
        <v>0</v>
      </c>
      <c r="F120" s="58">
        <f t="shared" si="78"/>
        <v>0</v>
      </c>
      <c r="G120" s="58">
        <f t="shared" si="78"/>
        <v>9.8894113170449162E-4</v>
      </c>
      <c r="H120" s="58">
        <f t="shared" si="78"/>
        <v>1.5711835029493457E-3</v>
      </c>
      <c r="I120" s="58">
        <f t="shared" si="78"/>
        <v>1.4030199093938438E-3</v>
      </c>
      <c r="J120" s="58">
        <f t="shared" si="78"/>
        <v>1.2927264513938058E-2</v>
      </c>
      <c r="K120" s="64">
        <f>AVERAGE(B120:J120)</f>
        <v>1.8767121175539711E-3</v>
      </c>
      <c r="L120" s="64">
        <f t="shared" ref="L120:P120" si="79">K120</f>
        <v>1.8767121175539711E-3</v>
      </c>
      <c r="M120" s="64">
        <f t="shared" si="79"/>
        <v>1.8767121175539711E-3</v>
      </c>
      <c r="N120" s="64">
        <f t="shared" si="79"/>
        <v>1.8767121175539711E-3</v>
      </c>
      <c r="O120" s="64">
        <f t="shared" si="79"/>
        <v>1.8767121175539711E-3</v>
      </c>
      <c r="P120" s="64">
        <f t="shared" si="79"/>
        <v>1.8767121175539711E-3</v>
      </c>
    </row>
    <row r="121" spans="1:16" ht="13.8" x14ac:dyDescent="0.25">
      <c r="A121" s="26" t="s">
        <v>7</v>
      </c>
      <c r="B121" s="58">
        <f t="shared" ref="B121:J121" si="80">B11/B$3</f>
        <v>-3.8695959203775268E-4</v>
      </c>
      <c r="C121" s="58">
        <f t="shared" si="80"/>
        <v>2.046217898073925E-3</v>
      </c>
      <c r="D121" s="58">
        <f t="shared" si="80"/>
        <v>-7.0425063169608489E-4</v>
      </c>
      <c r="E121" s="58">
        <f t="shared" si="80"/>
        <v>-8.4337428166085884E-4</v>
      </c>
      <c r="F121" s="58">
        <f t="shared" si="80"/>
        <v>-5.8877607886506115E-3</v>
      </c>
      <c r="G121" s="58">
        <f t="shared" si="80"/>
        <v>-4.6576984489273268E-3</v>
      </c>
      <c r="H121" s="58">
        <f t="shared" si="80"/>
        <v>2.4861970076049383E-3</v>
      </c>
      <c r="I121" s="58">
        <f t="shared" si="80"/>
        <v>-6.1835817385555367E-3</v>
      </c>
      <c r="J121" s="58">
        <f t="shared" si="80"/>
        <v>4.7819131497138486E-3</v>
      </c>
      <c r="K121" s="64">
        <f>AVERAGE(B121:J121)</f>
        <v>-1.0388108251261621E-3</v>
      </c>
      <c r="L121" s="64">
        <f t="shared" ref="L121:P121" si="81">K121</f>
        <v>-1.0388108251261621E-3</v>
      </c>
      <c r="M121" s="64">
        <f t="shared" si="81"/>
        <v>-1.0388108251261621E-3</v>
      </c>
      <c r="N121" s="64">
        <f t="shared" si="81"/>
        <v>-1.0388108251261621E-3</v>
      </c>
      <c r="O121" s="64">
        <f t="shared" si="81"/>
        <v>-1.0388108251261621E-3</v>
      </c>
      <c r="P121" s="64">
        <f t="shared" si="81"/>
        <v>-1.0388108251261621E-3</v>
      </c>
    </row>
    <row r="122" spans="1:16" ht="13.8" x14ac:dyDescent="0.25">
      <c r="A122" s="26" t="s">
        <v>8</v>
      </c>
      <c r="B122" s="58">
        <f t="shared" ref="B122:J122" si="82">B12/B$3</f>
        <v>4.2862940736552176E-2</v>
      </c>
      <c r="C122" s="58">
        <f t="shared" si="82"/>
        <v>4.5219893112081369E-2</v>
      </c>
      <c r="D122" s="58">
        <f t="shared" si="82"/>
        <v>4.6852592889593585E-2</v>
      </c>
      <c r="E122" s="58">
        <f t="shared" si="82"/>
        <v>5.1417897008487826E-2</v>
      </c>
      <c r="F122" s="58">
        <f t="shared" si="82"/>
        <v>6.3867882226751271E-2</v>
      </c>
      <c r="G122" s="58">
        <f t="shared" si="82"/>
        <v>6.1645512330595946E-2</v>
      </c>
      <c r="H122" s="58">
        <f t="shared" si="82"/>
        <v>6.6179138170800469E-2</v>
      </c>
      <c r="I122" s="58">
        <f t="shared" si="82"/>
        <v>6.4777041707525213E-2</v>
      </c>
      <c r="J122" s="58">
        <f t="shared" si="82"/>
        <v>6.4138134308992054E-2</v>
      </c>
      <c r="K122" s="64">
        <f>AVERAGE(B122:J122)</f>
        <v>5.6329003610153326E-2</v>
      </c>
      <c r="L122" s="64">
        <f t="shared" ref="L122:P122" si="83">K122</f>
        <v>5.6329003610153326E-2</v>
      </c>
      <c r="M122" s="64">
        <f t="shared" si="83"/>
        <v>5.6329003610153326E-2</v>
      </c>
      <c r="N122" s="64">
        <f t="shared" si="83"/>
        <v>5.6329003610153326E-2</v>
      </c>
      <c r="O122" s="64">
        <f t="shared" si="83"/>
        <v>5.6329003610153326E-2</v>
      </c>
      <c r="P122" s="64">
        <f t="shared" si="83"/>
        <v>5.6329003610153326E-2</v>
      </c>
    </row>
    <row r="123" spans="1:16" ht="13.8" x14ac:dyDescent="0.25">
      <c r="A123" s="26" t="s">
        <v>9</v>
      </c>
      <c r="B123" s="58">
        <f t="shared" ref="B123:J123" si="84">(B13+B14)/B$3</f>
        <v>0.18306120215446592</v>
      </c>
      <c r="C123" s="58">
        <f t="shared" si="84"/>
        <v>0.1879880498542511</v>
      </c>
      <c r="D123" s="58">
        <f t="shared" si="84"/>
        <v>0.12828191441788137</v>
      </c>
      <c r="E123" s="58">
        <f t="shared" si="84"/>
        <v>0.10913613867712077</v>
      </c>
      <c r="F123" s="58">
        <f t="shared" si="84"/>
        <v>0.11579309122700061</v>
      </c>
      <c r="G123" s="58">
        <f t="shared" si="84"/>
        <v>0.10130737628008787</v>
      </c>
      <c r="H123" s="58">
        <f t="shared" si="84"/>
        <v>0.1064961513697677</v>
      </c>
      <c r="I123" s="58">
        <f t="shared" si="84"/>
        <v>0.11156330376726967</v>
      </c>
      <c r="J123" s="58">
        <f t="shared" si="84"/>
        <v>0.11658833417165655</v>
      </c>
      <c r="K123" s="64">
        <f>AVERAGE(B123:J123)</f>
        <v>0.12891284021327795</v>
      </c>
      <c r="L123" s="64">
        <f t="shared" ref="L123:P123" si="85">K123</f>
        <v>0.12891284021327795</v>
      </c>
      <c r="M123" s="64">
        <f t="shared" si="85"/>
        <v>0.12891284021327795</v>
      </c>
      <c r="N123" s="64">
        <f t="shared" si="85"/>
        <v>0.12891284021327795</v>
      </c>
      <c r="O123" s="64">
        <f t="shared" si="85"/>
        <v>0.12891284021327795</v>
      </c>
      <c r="P123" s="64">
        <f t="shared" si="85"/>
        <v>0.12891284021327795</v>
      </c>
    </row>
    <row r="124" spans="1:16" ht="13.8" x14ac:dyDescent="0.25">
      <c r="A124" s="26" t="s">
        <v>76</v>
      </c>
      <c r="B124" s="58"/>
      <c r="C124" s="58"/>
      <c r="D124" s="80"/>
      <c r="E124" s="80"/>
      <c r="F124" s="80"/>
      <c r="G124" s="80"/>
      <c r="H124" s="80"/>
      <c r="I124" s="80"/>
      <c r="J124" s="81"/>
      <c r="K124" s="80"/>
      <c r="L124" s="80"/>
      <c r="M124" s="80"/>
      <c r="N124" s="80"/>
      <c r="O124" s="80"/>
      <c r="P124" s="80"/>
    </row>
    <row r="125" spans="1:16" ht="13.8" x14ac:dyDescent="0.25">
      <c r="A125" s="25"/>
      <c r="B125" s="23"/>
      <c r="C125" s="23"/>
      <c r="D125" s="23"/>
      <c r="E125" s="23"/>
      <c r="F125" s="23"/>
      <c r="G125" s="23"/>
      <c r="H125" s="23"/>
      <c r="I125" s="23"/>
      <c r="J125" s="27"/>
      <c r="K125" s="23"/>
      <c r="L125" s="23"/>
      <c r="M125" s="23"/>
      <c r="N125" s="23"/>
      <c r="O125" s="23"/>
      <c r="P125" s="23"/>
    </row>
    <row r="126" spans="1:16" ht="13.8" hidden="1" x14ac:dyDescent="0.25">
      <c r="A126" s="25"/>
      <c r="B126" s="23"/>
      <c r="C126" s="23"/>
      <c r="D126" s="23"/>
      <c r="E126" s="23"/>
      <c r="F126" s="23"/>
      <c r="G126" s="23"/>
      <c r="H126" s="23"/>
      <c r="I126" s="23"/>
      <c r="J126" s="27"/>
      <c r="K126" s="23"/>
      <c r="L126" s="23"/>
      <c r="M126" s="23"/>
      <c r="N126" s="23"/>
      <c r="O126" s="23"/>
      <c r="P126" s="23"/>
    </row>
    <row r="127" spans="1:16" ht="13.8" hidden="1" x14ac:dyDescent="0.25">
      <c r="A127" s="24" t="s">
        <v>77</v>
      </c>
      <c r="B127" s="23"/>
      <c r="C127" s="23"/>
      <c r="D127" s="23"/>
      <c r="E127" s="23"/>
      <c r="F127" s="23"/>
      <c r="G127" s="23"/>
      <c r="H127" s="23"/>
      <c r="I127" s="23"/>
      <c r="J127" s="27"/>
      <c r="K127" s="23"/>
      <c r="L127" s="23"/>
      <c r="M127" s="23"/>
      <c r="N127" s="23"/>
      <c r="O127" s="23"/>
      <c r="P127" s="23"/>
    </row>
    <row r="128" spans="1:16" ht="13.8" hidden="1" x14ac:dyDescent="0.25">
      <c r="A128" s="26" t="s">
        <v>5</v>
      </c>
      <c r="B128" s="23"/>
      <c r="C128" s="23"/>
      <c r="D128" s="23"/>
      <c r="E128" s="23"/>
      <c r="F128" s="23"/>
      <c r="G128" s="23"/>
      <c r="H128" s="23"/>
      <c r="I128" s="23"/>
      <c r="J128" s="27"/>
      <c r="K128" s="23"/>
      <c r="L128" s="23"/>
      <c r="M128" s="23"/>
      <c r="N128" s="23"/>
      <c r="O128" s="23"/>
      <c r="P128" s="23"/>
    </row>
    <row r="129" spans="1:16" ht="13.8" hidden="1" x14ac:dyDescent="0.25">
      <c r="A129" s="26" t="s">
        <v>6</v>
      </c>
      <c r="B129" s="23"/>
      <c r="C129" s="23"/>
      <c r="D129" s="23"/>
      <c r="E129" s="23"/>
      <c r="F129" s="23"/>
      <c r="G129" s="23"/>
      <c r="H129" s="23"/>
      <c r="I129" s="23"/>
      <c r="J129" s="27"/>
      <c r="K129" s="23"/>
      <c r="L129" s="23"/>
      <c r="M129" s="23"/>
      <c r="N129" s="23"/>
      <c r="O129" s="23"/>
      <c r="P129" s="23"/>
    </row>
    <row r="130" spans="1:16" ht="13.8" hidden="1" x14ac:dyDescent="0.25">
      <c r="A130" s="26" t="s">
        <v>7</v>
      </c>
      <c r="B130" s="23"/>
      <c r="C130" s="23"/>
      <c r="D130" s="23"/>
      <c r="E130" s="23"/>
      <c r="F130" s="23"/>
      <c r="G130" s="23"/>
      <c r="H130" s="23"/>
      <c r="I130" s="23"/>
      <c r="J130" s="27"/>
      <c r="K130" s="23"/>
      <c r="L130" s="23"/>
      <c r="M130" s="23"/>
      <c r="N130" s="23"/>
      <c r="O130" s="23"/>
      <c r="P130" s="23"/>
    </row>
    <row r="131" spans="1:16" ht="13.8" hidden="1" x14ac:dyDescent="0.25">
      <c r="A131" s="26" t="s">
        <v>8</v>
      </c>
      <c r="B131" s="23"/>
      <c r="C131" s="23"/>
      <c r="D131" s="23"/>
      <c r="E131" s="23"/>
      <c r="F131" s="23"/>
      <c r="G131" s="23"/>
      <c r="H131" s="23"/>
      <c r="I131" s="23"/>
      <c r="J131" s="27"/>
      <c r="K131" s="23"/>
      <c r="L131" s="23"/>
      <c r="M131" s="23"/>
      <c r="N131" s="23"/>
      <c r="O131" s="23"/>
      <c r="P131" s="23"/>
    </row>
    <row r="132" spans="1:16" ht="13.8" hidden="1" x14ac:dyDescent="0.25">
      <c r="A132" s="26" t="s">
        <v>9</v>
      </c>
      <c r="B132" s="23"/>
      <c r="C132" s="23"/>
      <c r="D132" s="23"/>
      <c r="E132" s="23"/>
      <c r="F132" s="23"/>
      <c r="G132" s="23"/>
      <c r="H132" s="23"/>
      <c r="I132" s="23"/>
      <c r="J132" s="27"/>
      <c r="K132" s="23"/>
      <c r="L132" s="23"/>
      <c r="M132" s="23"/>
      <c r="N132" s="23"/>
      <c r="O132" s="23"/>
      <c r="P132" s="23"/>
    </row>
    <row r="133" spans="1:16" ht="13.8" hidden="1" x14ac:dyDescent="0.25">
      <c r="A133" s="26" t="s">
        <v>78</v>
      </c>
      <c r="B133" s="23"/>
      <c r="C133" s="23"/>
      <c r="D133" s="23"/>
      <c r="E133" s="23"/>
      <c r="F133" s="23"/>
      <c r="G133" s="23"/>
      <c r="H133" s="23"/>
      <c r="I133" s="23"/>
      <c r="J133" s="27"/>
      <c r="K133" s="23"/>
      <c r="L133" s="23"/>
      <c r="M133" s="23"/>
      <c r="N133" s="23"/>
      <c r="O133" s="23"/>
      <c r="P133" s="23"/>
    </row>
    <row r="134" spans="1:16" ht="13.2" hidden="1" x14ac:dyDescent="0.25">
      <c r="A134" s="23"/>
      <c r="B134" s="23"/>
      <c r="C134" s="23"/>
      <c r="D134" s="23"/>
      <c r="E134" s="23"/>
      <c r="F134" s="23"/>
      <c r="G134" s="23"/>
      <c r="H134" s="23"/>
      <c r="I134" s="23"/>
      <c r="J134" s="27"/>
      <c r="K134" s="23"/>
      <c r="L134" s="23"/>
      <c r="M134" s="23"/>
      <c r="N134" s="23"/>
      <c r="O134" s="23"/>
      <c r="P134" s="23"/>
    </row>
    <row r="135" spans="1:16" ht="13.8" hidden="1" x14ac:dyDescent="0.25">
      <c r="A135" s="25"/>
      <c r="B135" s="23"/>
      <c r="C135" s="23"/>
      <c r="D135" s="23"/>
      <c r="E135" s="23"/>
      <c r="F135" s="23"/>
      <c r="G135" s="23"/>
      <c r="H135" s="23"/>
      <c r="I135" s="23"/>
      <c r="J135" s="27"/>
      <c r="K135" s="23"/>
      <c r="L135" s="23"/>
      <c r="M135" s="23"/>
      <c r="N135" s="23"/>
      <c r="O135" s="23"/>
      <c r="P135" s="23"/>
    </row>
    <row r="136" spans="1:16" ht="13.8" hidden="1" x14ac:dyDescent="0.25">
      <c r="A136" s="24" t="s">
        <v>74</v>
      </c>
      <c r="B136" s="23"/>
      <c r="C136" s="23"/>
      <c r="D136" s="23"/>
      <c r="E136" s="23"/>
      <c r="F136" s="23"/>
      <c r="G136" s="23"/>
      <c r="H136" s="23"/>
      <c r="I136" s="23"/>
      <c r="J136" s="27"/>
      <c r="K136" s="23"/>
      <c r="L136" s="23"/>
      <c r="M136" s="23"/>
      <c r="N136" s="23"/>
      <c r="O136" s="23"/>
      <c r="P136" s="23"/>
    </row>
    <row r="137" spans="1:16" ht="13.8" hidden="1" x14ac:dyDescent="0.25">
      <c r="A137" s="26" t="s">
        <v>5</v>
      </c>
      <c r="B137" s="23"/>
      <c r="C137" s="23"/>
      <c r="D137" s="23"/>
      <c r="E137" s="23"/>
      <c r="F137" s="23"/>
      <c r="G137" s="23"/>
      <c r="H137" s="23"/>
      <c r="I137" s="23"/>
      <c r="J137" s="27"/>
      <c r="K137" s="23"/>
      <c r="L137" s="23"/>
      <c r="M137" s="23"/>
      <c r="N137" s="23"/>
      <c r="O137" s="23"/>
      <c r="P137" s="23"/>
    </row>
    <row r="138" spans="1:16" ht="13.8" hidden="1" x14ac:dyDescent="0.25">
      <c r="A138" s="26" t="s">
        <v>6</v>
      </c>
      <c r="B138" s="23"/>
      <c r="C138" s="23"/>
      <c r="D138" s="23"/>
      <c r="E138" s="23"/>
      <c r="F138" s="23"/>
      <c r="G138" s="23"/>
      <c r="H138" s="23"/>
      <c r="I138" s="23"/>
      <c r="J138" s="27"/>
      <c r="K138" s="23"/>
      <c r="L138" s="23"/>
      <c r="M138" s="23"/>
      <c r="N138" s="23"/>
      <c r="O138" s="23"/>
      <c r="P138" s="23"/>
    </row>
    <row r="139" spans="1:16" ht="13.8" hidden="1" x14ac:dyDescent="0.25">
      <c r="A139" s="26" t="s">
        <v>7</v>
      </c>
      <c r="B139" s="23"/>
      <c r="C139" s="23"/>
      <c r="D139" s="23"/>
      <c r="E139" s="23"/>
      <c r="F139" s="23"/>
      <c r="G139" s="23"/>
      <c r="H139" s="23"/>
      <c r="I139" s="23"/>
      <c r="J139" s="27"/>
      <c r="K139" s="23"/>
      <c r="L139" s="23"/>
      <c r="M139" s="23"/>
      <c r="N139" s="23"/>
      <c r="O139" s="23"/>
      <c r="P139" s="23"/>
    </row>
    <row r="140" spans="1:16" ht="13.8" hidden="1" x14ac:dyDescent="0.25">
      <c r="A140" s="26" t="s">
        <v>8</v>
      </c>
      <c r="B140" s="23"/>
      <c r="C140" s="23"/>
      <c r="D140" s="23"/>
      <c r="E140" s="23"/>
      <c r="F140" s="23"/>
      <c r="G140" s="23"/>
      <c r="H140" s="23"/>
      <c r="I140" s="23"/>
      <c r="J140" s="27"/>
      <c r="K140" s="23"/>
      <c r="L140" s="23"/>
      <c r="M140" s="23"/>
      <c r="N140" s="23"/>
      <c r="O140" s="23"/>
      <c r="P140" s="23"/>
    </row>
    <row r="141" spans="1:16" ht="13.8" hidden="1" x14ac:dyDescent="0.25">
      <c r="A141" s="26" t="s">
        <v>9</v>
      </c>
      <c r="B141" s="23"/>
      <c r="C141" s="23"/>
      <c r="D141" s="23"/>
      <c r="E141" s="23"/>
      <c r="F141" s="23"/>
      <c r="G141" s="23"/>
      <c r="H141" s="23"/>
      <c r="I141" s="23"/>
      <c r="J141" s="27"/>
      <c r="K141" s="23"/>
      <c r="L141" s="23"/>
      <c r="M141" s="23"/>
      <c r="N141" s="23"/>
      <c r="O141" s="23"/>
      <c r="P141" s="23"/>
    </row>
    <row r="142" spans="1:16" ht="13.8" hidden="1" x14ac:dyDescent="0.25">
      <c r="A142" s="26" t="s">
        <v>78</v>
      </c>
      <c r="B142" s="23"/>
      <c r="C142" s="23"/>
      <c r="D142" s="23"/>
      <c r="E142" s="23"/>
      <c r="F142" s="23"/>
      <c r="G142" s="23"/>
      <c r="H142" s="23"/>
      <c r="I142" s="23"/>
      <c r="J142" s="27"/>
      <c r="K142" s="23"/>
      <c r="L142" s="23"/>
      <c r="M142" s="23"/>
      <c r="N142" s="23"/>
      <c r="O142" s="23"/>
      <c r="P142" s="23"/>
    </row>
    <row r="143" spans="1:16" ht="13.8" hidden="1" x14ac:dyDescent="0.25">
      <c r="A143" s="25"/>
      <c r="B143" s="23"/>
      <c r="C143" s="23"/>
      <c r="D143" s="23"/>
      <c r="E143" s="23"/>
      <c r="F143" s="23"/>
      <c r="G143" s="23"/>
      <c r="H143" s="23"/>
      <c r="I143" s="23"/>
      <c r="J143" s="27"/>
      <c r="K143" s="23"/>
      <c r="L143" s="23"/>
      <c r="M143" s="23"/>
      <c r="N143" s="23"/>
      <c r="O143" s="23"/>
      <c r="P143" s="23"/>
    </row>
    <row r="144" spans="1:16" ht="13.8" hidden="1" x14ac:dyDescent="0.25">
      <c r="A144" s="25"/>
      <c r="B144" s="23"/>
      <c r="C144" s="23"/>
      <c r="D144" s="23"/>
      <c r="E144" s="23"/>
      <c r="F144" s="23"/>
      <c r="G144" s="23"/>
      <c r="H144" s="23"/>
      <c r="I144" s="23"/>
      <c r="J144" s="27"/>
      <c r="K144" s="23"/>
      <c r="L144" s="23"/>
      <c r="M144" s="23"/>
      <c r="N144" s="23"/>
      <c r="O144" s="23"/>
      <c r="P144" s="23"/>
    </row>
    <row r="145" spans="1:16" ht="13.8" hidden="1" x14ac:dyDescent="0.25">
      <c r="A145" s="25"/>
      <c r="B145" s="23"/>
      <c r="C145" s="23"/>
      <c r="D145" s="23"/>
      <c r="E145" s="23"/>
      <c r="F145" s="23"/>
      <c r="G145" s="23"/>
      <c r="H145" s="23"/>
      <c r="I145" s="23"/>
      <c r="J145" s="27"/>
      <c r="K145" s="23"/>
      <c r="L145" s="23"/>
      <c r="M145" s="23"/>
      <c r="N145" s="23"/>
      <c r="O145" s="23"/>
      <c r="P145" s="23"/>
    </row>
    <row r="146" spans="1:16" ht="13.8" x14ac:dyDescent="0.25">
      <c r="A146" s="24" t="s">
        <v>79</v>
      </c>
      <c r="B146" s="23"/>
      <c r="C146" s="23"/>
      <c r="D146" s="23"/>
      <c r="E146" s="23"/>
      <c r="F146" s="23"/>
      <c r="G146" s="23"/>
      <c r="H146" s="23"/>
      <c r="I146" s="23"/>
      <c r="J146" s="27"/>
      <c r="K146" s="23"/>
      <c r="L146" s="23"/>
      <c r="M146" s="23"/>
      <c r="N146" s="23"/>
      <c r="O146" s="23"/>
      <c r="P146" s="23"/>
    </row>
    <row r="147" spans="1:16" ht="13.8" x14ac:dyDescent="0.25">
      <c r="A147" s="25"/>
      <c r="B147" s="23"/>
      <c r="C147" s="23"/>
      <c r="D147" s="23"/>
      <c r="E147" s="23"/>
      <c r="F147" s="23"/>
      <c r="G147" s="23"/>
      <c r="H147" s="23"/>
      <c r="I147" s="23"/>
      <c r="J147" s="27"/>
      <c r="K147" s="23"/>
      <c r="L147" s="23"/>
      <c r="M147" s="23"/>
      <c r="N147" s="23"/>
      <c r="O147" s="23"/>
      <c r="P147" s="23"/>
    </row>
    <row r="148" spans="1:16" ht="13.8" x14ac:dyDescent="0.25">
      <c r="A148" s="51" t="s">
        <v>51</v>
      </c>
      <c r="B148" s="65">
        <f>SUM(B149:B154)</f>
        <v>6019.8600000000006</v>
      </c>
      <c r="C148" s="65">
        <f t="shared" ref="C148:J148" si="86">SUM(C149:C154)</f>
        <v>7316.45</v>
      </c>
      <c r="D148" s="65">
        <f t="shared" si="86"/>
        <v>8706.84</v>
      </c>
      <c r="E148" s="65">
        <f t="shared" si="86"/>
        <v>7979.18</v>
      </c>
      <c r="F148" s="65">
        <f t="shared" si="86"/>
        <v>8046.6999999999989</v>
      </c>
      <c r="G148" s="65">
        <f t="shared" si="86"/>
        <v>10695.64</v>
      </c>
      <c r="H148" s="65">
        <f t="shared" si="86"/>
        <v>9939.84</v>
      </c>
      <c r="I148" s="65">
        <f t="shared" si="86"/>
        <v>8691.2900000000009</v>
      </c>
      <c r="J148" s="65">
        <f t="shared" si="86"/>
        <v>9187.09</v>
      </c>
      <c r="K148" s="65">
        <f t="shared" ref="K148" si="87">SUM(K149:K154)</f>
        <v>12217.582334167098</v>
      </c>
      <c r="L148" s="65">
        <f t="shared" ref="L148" si="88">SUM(L149:L154)</f>
        <v>13117.813639465978</v>
      </c>
      <c r="M148" s="65">
        <f t="shared" ref="M148" si="89">SUM(M149:M154)</f>
        <v>14087.197169792991</v>
      </c>
      <c r="N148" s="65">
        <f t="shared" ref="N148" si="90">SUM(N149:N154)</f>
        <v>15131.319315913945</v>
      </c>
      <c r="O148" s="65">
        <f t="shared" ref="O148" si="91">SUM(O149:O154)</f>
        <v>16256.24336664534</v>
      </c>
      <c r="P148" s="65">
        <f t="shared" ref="P148" si="92">SUM(P149:P154)</f>
        <v>17468.552493014955</v>
      </c>
    </row>
    <row r="149" spans="1:16" ht="13.8" x14ac:dyDescent="0.25">
      <c r="A149" s="40" t="s">
        <v>52</v>
      </c>
      <c r="B149" s="28">
        <f>B76</f>
        <v>672.98</v>
      </c>
      <c r="C149" s="28">
        <f t="shared" ref="C149:J149" si="93">C76</f>
        <v>656.31</v>
      </c>
      <c r="D149" s="28">
        <f t="shared" si="93"/>
        <v>823.58</v>
      </c>
      <c r="E149" s="28">
        <f t="shared" si="93"/>
        <v>1072.3699999999999</v>
      </c>
      <c r="F149" s="28">
        <f t="shared" si="93"/>
        <v>1091.97</v>
      </c>
      <c r="G149" s="28">
        <f t="shared" si="93"/>
        <v>1469.55</v>
      </c>
      <c r="H149" s="28">
        <f t="shared" si="93"/>
        <v>1122.6500000000001</v>
      </c>
      <c r="I149" s="28">
        <f t="shared" si="93"/>
        <v>1434.09</v>
      </c>
      <c r="J149" s="28">
        <f t="shared" si="93"/>
        <v>1443.76</v>
      </c>
      <c r="K149" s="28">
        <f>K$164*K168</f>
        <v>1550.4959140757064</v>
      </c>
      <c r="L149" s="28">
        <f t="shared" ref="L149:P149" si="94">L$164*L168</f>
        <v>1664.7415088596688</v>
      </c>
      <c r="M149" s="28">
        <f t="shared" si="94"/>
        <v>1787.7630004964412</v>
      </c>
      <c r="N149" s="28">
        <f t="shared" si="94"/>
        <v>1920.2693407098511</v>
      </c>
      <c r="O149" s="28">
        <f t="shared" si="94"/>
        <v>2063.0300028931379</v>
      </c>
      <c r="P149" s="28">
        <f t="shared" si="94"/>
        <v>2216.8804370969788</v>
      </c>
    </row>
    <row r="150" spans="1:16" ht="13.8" x14ac:dyDescent="0.25">
      <c r="A150" s="40" t="s">
        <v>53</v>
      </c>
      <c r="B150" s="28">
        <f t="shared" ref="B150:J150" si="95">B77</f>
        <v>1282.8</v>
      </c>
      <c r="C150" s="28">
        <f t="shared" si="95"/>
        <v>1561.87</v>
      </c>
      <c r="D150" s="28">
        <f t="shared" si="95"/>
        <v>1520.18</v>
      </c>
      <c r="E150" s="28">
        <f t="shared" si="95"/>
        <v>2821.57</v>
      </c>
      <c r="F150" s="28">
        <f t="shared" si="95"/>
        <v>1603.14</v>
      </c>
      <c r="G150" s="28">
        <f t="shared" si="95"/>
        <v>2426.7600000000002</v>
      </c>
      <c r="H150" s="28">
        <f t="shared" si="95"/>
        <v>2304.27</v>
      </c>
      <c r="I150" s="28">
        <f t="shared" si="95"/>
        <v>2798.21</v>
      </c>
      <c r="J150" s="28">
        <f t="shared" si="95"/>
        <v>2703.44</v>
      </c>
      <c r="K150" s="28">
        <f t="shared" ref="K150:P150" si="96">K$164*K169</f>
        <v>3001.9935902030456</v>
      </c>
      <c r="L150" s="28">
        <f t="shared" si="96"/>
        <v>3223.1902667868985</v>
      </c>
      <c r="M150" s="28">
        <f t="shared" si="96"/>
        <v>3461.3784013044697</v>
      </c>
      <c r="N150" s="28">
        <f t="shared" si="96"/>
        <v>3717.9306310593283</v>
      </c>
      <c r="O150" s="28">
        <f t="shared" si="96"/>
        <v>3994.336772421429</v>
      </c>
      <c r="P150" s="28">
        <f t="shared" si="96"/>
        <v>4292.2143825054336</v>
      </c>
    </row>
    <row r="151" spans="1:16" ht="13.8" x14ac:dyDescent="0.25">
      <c r="A151" s="40" t="s">
        <v>55</v>
      </c>
      <c r="B151" s="28">
        <f>B79</f>
        <v>23.12</v>
      </c>
      <c r="C151" s="28">
        <f t="shared" ref="C151:J151" si="97">C79</f>
        <v>24.18</v>
      </c>
      <c r="D151" s="28">
        <f t="shared" si="97"/>
        <v>27.56</v>
      </c>
      <c r="E151" s="28">
        <f t="shared" si="97"/>
        <v>25.03</v>
      </c>
      <c r="F151" s="28">
        <f t="shared" si="97"/>
        <v>22.36</v>
      </c>
      <c r="G151" s="28">
        <f t="shared" si="97"/>
        <v>22.95</v>
      </c>
      <c r="H151" s="28">
        <f t="shared" si="97"/>
        <v>22.81</v>
      </c>
      <c r="I151" s="28">
        <f t="shared" si="97"/>
        <v>23.71</v>
      </c>
      <c r="J151" s="28">
        <f t="shared" si="97"/>
        <v>24.56</v>
      </c>
      <c r="K151" s="28">
        <f t="shared" ref="K151:P151" si="98">K$164*K170</f>
        <v>34.442814916264325</v>
      </c>
      <c r="L151" s="28">
        <f t="shared" si="98"/>
        <v>36.980673829932137</v>
      </c>
      <c r="M151" s="28">
        <f t="shared" si="98"/>
        <v>39.71348107482838</v>
      </c>
      <c r="N151" s="28">
        <f t="shared" si="98"/>
        <v>42.656985349667245</v>
      </c>
      <c r="O151" s="28">
        <f t="shared" si="98"/>
        <v>45.828279785379117</v>
      </c>
      <c r="P151" s="28">
        <f t="shared" si="98"/>
        <v>49.245923122561784</v>
      </c>
    </row>
    <row r="152" spans="1:16" ht="13.8" x14ac:dyDescent="0.25">
      <c r="A152" s="40" t="s">
        <v>56</v>
      </c>
      <c r="B152" s="28">
        <f>B80</f>
        <v>549.57000000000005</v>
      </c>
      <c r="C152" s="28">
        <f t="shared" ref="C152:J153" si="99">C80</f>
        <v>388.29</v>
      </c>
      <c r="D152" s="28">
        <f t="shared" si="99"/>
        <v>205.03</v>
      </c>
      <c r="E152" s="28">
        <f t="shared" si="99"/>
        <v>239.22</v>
      </c>
      <c r="F152" s="28">
        <f t="shared" si="99"/>
        <v>280.14</v>
      </c>
      <c r="G152" s="28">
        <f t="shared" si="99"/>
        <v>213.37</v>
      </c>
      <c r="H152" s="28">
        <f t="shared" si="99"/>
        <v>197.65</v>
      </c>
      <c r="I152" s="28">
        <f t="shared" si="99"/>
        <v>235.07</v>
      </c>
      <c r="J152" s="28">
        <f t="shared" si="99"/>
        <v>457.3</v>
      </c>
      <c r="K152" s="28">
        <f t="shared" ref="K152:P152" si="100">K$164*K171</f>
        <v>439.10856582441994</v>
      </c>
      <c r="L152" s="28">
        <f t="shared" si="100"/>
        <v>471.46351679328404</v>
      </c>
      <c r="M152" s="28">
        <f t="shared" si="100"/>
        <v>506.30384772727865</v>
      </c>
      <c r="N152" s="28">
        <f t="shared" si="100"/>
        <v>543.83033746874855</v>
      </c>
      <c r="O152" s="28">
        <f t="shared" si="100"/>
        <v>584.26090491388584</v>
      </c>
      <c r="P152" s="28">
        <f t="shared" si="100"/>
        <v>627.83215389391648</v>
      </c>
    </row>
    <row r="153" spans="1:16" ht="13.8" x14ac:dyDescent="0.25">
      <c r="A153" s="40" t="s">
        <v>57</v>
      </c>
      <c r="B153" s="28">
        <f>B81</f>
        <v>0</v>
      </c>
      <c r="C153" s="28">
        <f t="shared" si="99"/>
        <v>0</v>
      </c>
      <c r="D153" s="28">
        <f t="shared" si="99"/>
        <v>0</v>
      </c>
      <c r="E153" s="28">
        <f t="shared" si="99"/>
        <v>0</v>
      </c>
      <c r="F153" s="28">
        <f t="shared" si="99"/>
        <v>0</v>
      </c>
      <c r="G153" s="28">
        <f t="shared" si="99"/>
        <v>0</v>
      </c>
      <c r="H153" s="28">
        <f t="shared" si="99"/>
        <v>0</v>
      </c>
      <c r="I153" s="28">
        <f t="shared" si="99"/>
        <v>0</v>
      </c>
      <c r="J153" s="28">
        <f t="shared" si="99"/>
        <v>0</v>
      </c>
      <c r="K153" s="28">
        <f t="shared" ref="K153:P153" si="101">K$164*K172</f>
        <v>0</v>
      </c>
      <c r="L153" s="28">
        <f t="shared" si="101"/>
        <v>0</v>
      </c>
      <c r="M153" s="28">
        <f t="shared" si="101"/>
        <v>0</v>
      </c>
      <c r="N153" s="28">
        <f t="shared" si="101"/>
        <v>0</v>
      </c>
      <c r="O153" s="28">
        <f t="shared" si="101"/>
        <v>0</v>
      </c>
      <c r="P153" s="28">
        <f t="shared" si="101"/>
        <v>0</v>
      </c>
    </row>
    <row r="154" spans="1:16" ht="13.8" x14ac:dyDescent="0.25">
      <c r="A154" s="26" t="s">
        <v>47</v>
      </c>
      <c r="B154" s="28">
        <f>B82+B83</f>
        <v>3491.3900000000003</v>
      </c>
      <c r="C154" s="28">
        <f t="shared" ref="C154:J154" si="102">C82+C83</f>
        <v>4685.8</v>
      </c>
      <c r="D154" s="28">
        <f t="shared" si="102"/>
        <v>6130.49</v>
      </c>
      <c r="E154" s="28">
        <f t="shared" si="102"/>
        <v>3820.99</v>
      </c>
      <c r="F154" s="28">
        <f t="shared" si="102"/>
        <v>5049.0899999999992</v>
      </c>
      <c r="G154" s="28">
        <f t="shared" si="102"/>
        <v>6563.01</v>
      </c>
      <c r="H154" s="28">
        <f t="shared" si="102"/>
        <v>6292.46</v>
      </c>
      <c r="I154" s="28">
        <f t="shared" si="102"/>
        <v>4200.21</v>
      </c>
      <c r="J154" s="28">
        <f t="shared" si="102"/>
        <v>4558.0300000000007</v>
      </c>
      <c r="K154" s="28">
        <f t="shared" ref="K154:P154" si="103">K$164*K173</f>
        <v>7191.5414491476631</v>
      </c>
      <c r="L154" s="28">
        <f t="shared" si="103"/>
        <v>7721.4376731961956</v>
      </c>
      <c r="M154" s="28">
        <f t="shared" si="103"/>
        <v>8292.0384391899734</v>
      </c>
      <c r="N154" s="28">
        <f t="shared" si="103"/>
        <v>8906.632021326348</v>
      </c>
      <c r="O154" s="28">
        <f t="shared" si="103"/>
        <v>9568.7874066315071</v>
      </c>
      <c r="P154" s="28">
        <f t="shared" si="103"/>
        <v>10282.379596396066</v>
      </c>
    </row>
    <row r="155" spans="1:16" ht="13.8" x14ac:dyDescent="0.25">
      <c r="A155" s="25"/>
      <c r="B155" s="23"/>
      <c r="C155" s="23"/>
      <c r="D155" s="23"/>
      <c r="E155" s="23"/>
      <c r="F155" s="23"/>
      <c r="G155" s="23"/>
      <c r="H155" s="23"/>
      <c r="I155" s="23"/>
      <c r="J155" s="27"/>
      <c r="K155" s="23"/>
      <c r="L155" s="23"/>
      <c r="M155" s="23"/>
      <c r="N155" s="23"/>
      <c r="O155" s="23"/>
      <c r="P155" s="23"/>
    </row>
    <row r="156" spans="1:16" ht="13.8" x14ac:dyDescent="0.25">
      <c r="A156" s="51" t="s">
        <v>32</v>
      </c>
      <c r="B156" s="66">
        <f>SUM(B157:B162)</f>
        <v>3448.3199999999997</v>
      </c>
      <c r="C156" s="66">
        <f t="shared" ref="C156:J156" si="104">SUM(C157:C162)</f>
        <v>4093.3300000000004</v>
      </c>
      <c r="D156" s="66">
        <f t="shared" si="104"/>
        <v>4343.3200000000006</v>
      </c>
      <c r="E156" s="66">
        <f t="shared" si="104"/>
        <v>4130.3600000000006</v>
      </c>
      <c r="F156" s="66">
        <f t="shared" si="104"/>
        <v>3976.0599999999995</v>
      </c>
      <c r="G156" s="66">
        <f t="shared" si="104"/>
        <v>6110.2199999999993</v>
      </c>
      <c r="H156" s="66">
        <f t="shared" si="104"/>
        <v>5072.38</v>
      </c>
      <c r="I156" s="66">
        <f t="shared" si="104"/>
        <v>5623.9800000000005</v>
      </c>
      <c r="J156" s="66">
        <f t="shared" si="104"/>
        <v>6544.26</v>
      </c>
      <c r="K156" s="66">
        <f t="shared" ref="K156" si="105">SUM(K157:K162)</f>
        <v>6864.9387275068593</v>
      </c>
      <c r="L156" s="66">
        <f t="shared" ref="L156" si="106">SUM(L157:L162)</f>
        <v>7370.7697980434214</v>
      </c>
      <c r="M156" s="66">
        <f t="shared" ref="M156" si="107">SUM(M157:M162)</f>
        <v>7915.4568201671727</v>
      </c>
      <c r="N156" s="66">
        <f t="shared" ref="N156" si="108">SUM(N157:N162)</f>
        <v>8502.1387316209693</v>
      </c>
      <c r="O156" s="66">
        <f t="shared" ref="O156" si="109">SUM(O157:O162)</f>
        <v>9134.2224344476235</v>
      </c>
      <c r="P156" s="66">
        <f t="shared" ref="P156" si="110">SUM(P157:P162)</f>
        <v>9815.4069473647742</v>
      </c>
    </row>
    <row r="157" spans="1:16" ht="13.8" x14ac:dyDescent="0.25">
      <c r="A157" s="26" t="s">
        <v>80</v>
      </c>
      <c r="B157" s="23">
        <v>0</v>
      </c>
      <c r="C157" s="23">
        <v>0</v>
      </c>
      <c r="D157" s="23">
        <v>0</v>
      </c>
      <c r="E157" s="23">
        <v>0</v>
      </c>
      <c r="F157" s="23">
        <v>0</v>
      </c>
      <c r="G157" s="23">
        <v>0</v>
      </c>
      <c r="H157" s="23">
        <v>0</v>
      </c>
      <c r="I157" s="23">
        <v>0</v>
      </c>
      <c r="J157" s="27">
        <v>0</v>
      </c>
      <c r="K157" s="67">
        <f>K$164*K176</f>
        <v>0</v>
      </c>
      <c r="L157" s="67">
        <f t="shared" ref="L157:P157" si="111">L$164*L176</f>
        <v>0</v>
      </c>
      <c r="M157" s="67">
        <f t="shared" si="111"/>
        <v>0</v>
      </c>
      <c r="N157" s="67">
        <f t="shared" si="111"/>
        <v>0</v>
      </c>
      <c r="O157" s="67">
        <f t="shared" si="111"/>
        <v>0</v>
      </c>
      <c r="P157" s="67">
        <f t="shared" si="111"/>
        <v>0</v>
      </c>
    </row>
    <row r="158" spans="1:16" ht="13.8" x14ac:dyDescent="0.25">
      <c r="A158" s="26" t="s">
        <v>33</v>
      </c>
      <c r="B158" s="28">
        <f t="shared" ref="B158:J158" si="112">B52</f>
        <v>0</v>
      </c>
      <c r="C158" s="28">
        <f t="shared" si="112"/>
        <v>0</v>
      </c>
      <c r="D158" s="28">
        <f t="shared" si="112"/>
        <v>0</v>
      </c>
      <c r="E158" s="28">
        <f t="shared" si="112"/>
        <v>0</v>
      </c>
      <c r="F158" s="28">
        <f t="shared" si="112"/>
        <v>28.29</v>
      </c>
      <c r="G158" s="28">
        <f t="shared" si="112"/>
        <v>19.7</v>
      </c>
      <c r="H158" s="28">
        <f t="shared" si="112"/>
        <v>25.75</v>
      </c>
      <c r="I158" s="28">
        <f t="shared" si="112"/>
        <v>22.02</v>
      </c>
      <c r="J158" s="28">
        <f t="shared" si="112"/>
        <v>26.08</v>
      </c>
      <c r="K158" s="67">
        <f t="shared" ref="K158:P158" si="113">K$164*K177</f>
        <v>19.563383100640728</v>
      </c>
      <c r="L158" s="67">
        <f t="shared" si="113"/>
        <v>21.004876959495288</v>
      </c>
      <c r="M158" s="67">
        <f t="shared" si="113"/>
        <v>22.557100702011343</v>
      </c>
      <c r="N158" s="67">
        <f t="shared" si="113"/>
        <v>24.228999526978001</v>
      </c>
      <c r="O158" s="67">
        <f t="shared" si="113"/>
        <v>26.030282265383477</v>
      </c>
      <c r="P158" s="67">
        <f t="shared" si="113"/>
        <v>27.971490208729719</v>
      </c>
    </row>
    <row r="159" spans="1:16" ht="13.8" x14ac:dyDescent="0.25">
      <c r="A159" s="26" t="s">
        <v>34</v>
      </c>
      <c r="B159" s="28">
        <f t="shared" ref="B159:J159" si="114">B53</f>
        <v>2650.56</v>
      </c>
      <c r="C159" s="28">
        <f t="shared" si="114"/>
        <v>3247.27</v>
      </c>
      <c r="D159" s="28">
        <f t="shared" si="114"/>
        <v>3318.81</v>
      </c>
      <c r="E159" s="28">
        <f t="shared" si="114"/>
        <v>3355.28</v>
      </c>
      <c r="F159" s="28">
        <f t="shared" si="114"/>
        <v>3030.5099999999998</v>
      </c>
      <c r="G159" s="28">
        <f t="shared" si="114"/>
        <v>5204.6099999999997</v>
      </c>
      <c r="H159" s="28">
        <f t="shared" si="114"/>
        <v>4260.34</v>
      </c>
      <c r="I159" s="28">
        <f t="shared" si="114"/>
        <v>4704.46</v>
      </c>
      <c r="J159" s="28">
        <f t="shared" si="114"/>
        <v>5528.15</v>
      </c>
      <c r="K159" s="67">
        <f t="shared" ref="K159:P159" si="115">K$164*K178</f>
        <v>5584.6442883295204</v>
      </c>
      <c r="L159" s="67">
        <f t="shared" si="115"/>
        <v>5996.1390898217305</v>
      </c>
      <c r="M159" s="67">
        <f t="shared" si="115"/>
        <v>6439.2433020767094</v>
      </c>
      <c r="N159" s="67">
        <f t="shared" si="115"/>
        <v>6916.5104585538047</v>
      </c>
      <c r="O159" s="67">
        <f t="shared" si="115"/>
        <v>7430.7120823196474</v>
      </c>
      <c r="P159" s="67">
        <f t="shared" si="115"/>
        <v>7984.8573340636276</v>
      </c>
    </row>
    <row r="160" spans="1:16" ht="13.8" x14ac:dyDescent="0.25">
      <c r="A160" s="26" t="s">
        <v>35</v>
      </c>
      <c r="B160" s="28">
        <f t="shared" ref="B160:J160" si="116">B54</f>
        <v>502.4</v>
      </c>
      <c r="C160" s="28">
        <f t="shared" si="116"/>
        <v>454.28</v>
      </c>
      <c r="D160" s="28">
        <f t="shared" si="116"/>
        <v>762.58</v>
      </c>
      <c r="E160" s="28">
        <f t="shared" si="116"/>
        <v>495.18</v>
      </c>
      <c r="F160" s="28">
        <f t="shared" si="116"/>
        <v>518.26</v>
      </c>
      <c r="G160" s="28">
        <f t="shared" si="116"/>
        <v>566.01</v>
      </c>
      <c r="H160" s="28">
        <f t="shared" si="116"/>
        <v>492.12</v>
      </c>
      <c r="I160" s="28">
        <f t="shared" si="116"/>
        <v>557.84</v>
      </c>
      <c r="J160" s="28">
        <f t="shared" si="116"/>
        <v>585.6</v>
      </c>
      <c r="K160" s="67">
        <f t="shared" ref="K160:P160" si="117">K$164*K179</f>
        <v>784.33383103333085</v>
      </c>
      <c r="L160" s="67">
        <f t="shared" si="117"/>
        <v>842.12610524838669</v>
      </c>
      <c r="M160" s="67">
        <f t="shared" si="117"/>
        <v>904.35775446393768</v>
      </c>
      <c r="N160" s="67">
        <f t="shared" si="117"/>
        <v>971.38740898433991</v>
      </c>
      <c r="O160" s="67">
        <f t="shared" si="117"/>
        <v>1043.604314604386</v>
      </c>
      <c r="P160" s="67">
        <f t="shared" si="117"/>
        <v>1121.4310920694363</v>
      </c>
    </row>
    <row r="161" spans="1:16" ht="13.8" x14ac:dyDescent="0.25">
      <c r="A161" s="26" t="s">
        <v>36</v>
      </c>
      <c r="B161" s="28">
        <f t="shared" ref="B161:J161" si="118">B55</f>
        <v>29.66</v>
      </c>
      <c r="C161" s="28">
        <f t="shared" si="118"/>
        <v>39.01</v>
      </c>
      <c r="D161" s="28">
        <f t="shared" si="118"/>
        <v>59.79</v>
      </c>
      <c r="E161" s="28">
        <f t="shared" si="118"/>
        <v>59.03</v>
      </c>
      <c r="F161" s="28">
        <f t="shared" si="118"/>
        <v>146.56</v>
      </c>
      <c r="G161" s="28">
        <f t="shared" si="118"/>
        <v>160.37</v>
      </c>
      <c r="H161" s="28">
        <f t="shared" si="118"/>
        <v>160.41999999999999</v>
      </c>
      <c r="I161" s="28">
        <f t="shared" si="118"/>
        <v>175.69</v>
      </c>
      <c r="J161" s="28">
        <f t="shared" si="118"/>
        <v>154.13999999999999</v>
      </c>
      <c r="K161" s="67">
        <f t="shared" ref="K161:P161" si="119">K$164*K180</f>
        <v>157.01168185228113</v>
      </c>
      <c r="L161" s="67">
        <f t="shared" si="119"/>
        <v>168.58081455260009</v>
      </c>
      <c r="M161" s="67">
        <f t="shared" si="119"/>
        <v>181.03864248398204</v>
      </c>
      <c r="N161" s="67">
        <f t="shared" si="119"/>
        <v>194.45695796880582</v>
      </c>
      <c r="O161" s="67">
        <f t="shared" si="119"/>
        <v>208.91368208413863</v>
      </c>
      <c r="P161" s="67">
        <f t="shared" si="119"/>
        <v>224.49341706360741</v>
      </c>
    </row>
    <row r="162" spans="1:16" ht="13.8" x14ac:dyDescent="0.25">
      <c r="A162" s="26" t="s">
        <v>37</v>
      </c>
      <c r="B162" s="28">
        <f t="shared" ref="B162:J162" si="120">B56</f>
        <v>265.7</v>
      </c>
      <c r="C162" s="28">
        <f t="shared" si="120"/>
        <v>352.77</v>
      </c>
      <c r="D162" s="28">
        <f t="shared" si="120"/>
        <v>202.14</v>
      </c>
      <c r="E162" s="28">
        <f t="shared" si="120"/>
        <v>220.87</v>
      </c>
      <c r="F162" s="28">
        <f t="shared" si="120"/>
        <v>252.44</v>
      </c>
      <c r="G162" s="28">
        <f t="shared" si="120"/>
        <v>159.53</v>
      </c>
      <c r="H162" s="28">
        <f t="shared" si="120"/>
        <v>133.75</v>
      </c>
      <c r="I162" s="28">
        <f t="shared" si="120"/>
        <v>163.97</v>
      </c>
      <c r="J162" s="28">
        <f t="shared" si="120"/>
        <v>250.29</v>
      </c>
      <c r="K162" s="67">
        <f t="shared" ref="K162:P162" si="121">K$164*K181</f>
        <v>319.38554319108573</v>
      </c>
      <c r="L162" s="67">
        <f t="shared" si="121"/>
        <v>342.91891146120872</v>
      </c>
      <c r="M162" s="67">
        <f t="shared" si="121"/>
        <v>368.26002044053217</v>
      </c>
      <c r="N162" s="67">
        <f t="shared" si="121"/>
        <v>395.55490658704048</v>
      </c>
      <c r="O162" s="67">
        <f t="shared" si="121"/>
        <v>424.96207317406692</v>
      </c>
      <c r="P162" s="67">
        <f t="shared" si="121"/>
        <v>456.65361395937128</v>
      </c>
    </row>
    <row r="163" spans="1:16" ht="13.8" x14ac:dyDescent="0.25">
      <c r="A163" s="25"/>
      <c r="B163" s="23"/>
      <c r="C163" s="23"/>
      <c r="D163" s="23"/>
      <c r="E163" s="23"/>
      <c r="F163" s="23"/>
      <c r="G163" s="23"/>
      <c r="H163" s="23"/>
      <c r="I163" s="23"/>
      <c r="J163" s="27"/>
      <c r="K163" s="23"/>
      <c r="L163" s="23"/>
      <c r="M163" s="23"/>
      <c r="N163" s="23"/>
      <c r="O163" s="23"/>
      <c r="P163" s="23"/>
    </row>
    <row r="164" spans="1:16" s="2" customFormat="1" ht="13.8" x14ac:dyDescent="0.25">
      <c r="A164" s="20" t="s">
        <v>81</v>
      </c>
      <c r="B164" s="65">
        <f t="shared" ref="B164:P164" si="122">B3</f>
        <v>30700.880000000001</v>
      </c>
      <c r="C164" s="65">
        <f t="shared" si="122"/>
        <v>30871.59</v>
      </c>
      <c r="D164" s="65">
        <f t="shared" si="122"/>
        <v>32871.82</v>
      </c>
      <c r="E164" s="65">
        <f t="shared" si="122"/>
        <v>33650.54</v>
      </c>
      <c r="F164" s="65">
        <f t="shared" si="122"/>
        <v>28836.09</v>
      </c>
      <c r="G164" s="65">
        <f t="shared" si="122"/>
        <v>30800.62</v>
      </c>
      <c r="H164" s="65">
        <f t="shared" si="122"/>
        <v>29245.47</v>
      </c>
      <c r="I164" s="65">
        <f t="shared" si="122"/>
        <v>33805.65</v>
      </c>
      <c r="J164" s="65">
        <f t="shared" si="122"/>
        <v>37455.72</v>
      </c>
      <c r="K164" s="65">
        <f t="shared" si="122"/>
        <v>45746.874948912642</v>
      </c>
      <c r="L164" s="65">
        <f t="shared" si="122"/>
        <v>49117.653865902997</v>
      </c>
      <c r="M164" s="65">
        <f t="shared" si="122"/>
        <v>52747.362749909342</v>
      </c>
      <c r="N164" s="65">
        <f t="shared" si="122"/>
        <v>56656.918989723439</v>
      </c>
      <c r="O164" s="65">
        <f t="shared" si="122"/>
        <v>60869.025646203088</v>
      </c>
      <c r="P164" s="65">
        <f t="shared" si="122"/>
        <v>65408.332399910119</v>
      </c>
    </row>
    <row r="165" spans="1:16" ht="13.8" x14ac:dyDescent="0.25">
      <c r="A165" s="25"/>
      <c r="B165" s="23"/>
      <c r="C165" s="23"/>
      <c r="D165" s="23"/>
      <c r="E165" s="23"/>
      <c r="F165" s="23"/>
      <c r="G165" s="23"/>
      <c r="H165" s="23"/>
      <c r="I165" s="23"/>
      <c r="J165" s="27"/>
      <c r="K165" s="23"/>
      <c r="L165" s="23"/>
      <c r="M165" s="23"/>
      <c r="N165" s="23"/>
      <c r="O165" s="23"/>
      <c r="P165" s="23"/>
    </row>
    <row r="166" spans="1:16" ht="13.8" x14ac:dyDescent="0.25">
      <c r="A166" s="24" t="s">
        <v>82</v>
      </c>
      <c r="B166" s="23"/>
      <c r="C166" s="23"/>
      <c r="D166" s="23"/>
      <c r="E166" s="23"/>
      <c r="F166" s="23"/>
      <c r="G166" s="23"/>
      <c r="H166" s="23"/>
      <c r="I166" s="23"/>
      <c r="J166" s="27"/>
      <c r="K166" s="23"/>
      <c r="L166" s="23"/>
      <c r="M166" s="23"/>
      <c r="N166" s="23"/>
      <c r="O166" s="23"/>
      <c r="P166" s="23"/>
    </row>
    <row r="167" spans="1:16" ht="13.8" x14ac:dyDescent="0.25">
      <c r="A167" s="25" t="s">
        <v>51</v>
      </c>
      <c r="B167" s="23"/>
      <c r="C167" s="23"/>
      <c r="D167" s="23"/>
      <c r="E167" s="23"/>
      <c r="F167" s="23"/>
      <c r="G167" s="23"/>
      <c r="H167" s="23"/>
      <c r="I167" s="23"/>
      <c r="J167" s="27"/>
      <c r="K167" s="23"/>
      <c r="L167" s="23"/>
      <c r="M167" s="23"/>
      <c r="N167" s="23"/>
      <c r="O167" s="23"/>
      <c r="P167" s="23"/>
    </row>
    <row r="168" spans="1:16" ht="13.8" x14ac:dyDescent="0.25">
      <c r="A168" s="40" t="s">
        <v>52</v>
      </c>
      <c r="B168" s="68">
        <f>B149/B$164</f>
        <v>2.192054429710158E-2</v>
      </c>
      <c r="C168" s="68">
        <f t="shared" ref="C168:J168" si="123">C149/C$164</f>
        <v>2.1259352045035578E-2</v>
      </c>
      <c r="D168" s="68">
        <f t="shared" si="123"/>
        <v>2.5054286619968107E-2</v>
      </c>
      <c r="E168" s="68">
        <f t="shared" si="123"/>
        <v>3.1867839267958255E-2</v>
      </c>
      <c r="F168" s="68">
        <f t="shared" si="123"/>
        <v>3.7868171447654655E-2</v>
      </c>
      <c r="G168" s="68">
        <f t="shared" si="123"/>
        <v>4.7711701907299266E-2</v>
      </c>
      <c r="H168" s="68">
        <f t="shared" si="123"/>
        <v>3.8387141666726507E-2</v>
      </c>
      <c r="I168" s="68">
        <f t="shared" si="123"/>
        <v>4.2421607039060033E-2</v>
      </c>
      <c r="J168" s="68">
        <f t="shared" si="123"/>
        <v>3.8545781525491964E-2</v>
      </c>
      <c r="K168" s="69">
        <f t="shared" ref="K168:K173" si="124">AVERAGE(B168:J168)</f>
        <v>3.3892936201810657E-2</v>
      </c>
      <c r="L168" s="69">
        <f>K168</f>
        <v>3.3892936201810657E-2</v>
      </c>
      <c r="M168" s="69">
        <f t="shared" ref="M168:P168" si="125">L168</f>
        <v>3.3892936201810657E-2</v>
      </c>
      <c r="N168" s="69">
        <f t="shared" si="125"/>
        <v>3.3892936201810657E-2</v>
      </c>
      <c r="O168" s="69">
        <f t="shared" si="125"/>
        <v>3.3892936201810657E-2</v>
      </c>
      <c r="P168" s="69">
        <f t="shared" si="125"/>
        <v>3.3892936201810657E-2</v>
      </c>
    </row>
    <row r="169" spans="1:16" ht="13.8" x14ac:dyDescent="0.25">
      <c r="A169" s="40" t="s">
        <v>53</v>
      </c>
      <c r="B169" s="68">
        <f t="shared" ref="B169:J169" si="126">B150/B$164</f>
        <v>4.178381857458157E-2</v>
      </c>
      <c r="C169" s="68">
        <f t="shared" si="126"/>
        <v>5.0592470293885083E-2</v>
      </c>
      <c r="D169" s="68">
        <f t="shared" si="126"/>
        <v>4.6245690077397601E-2</v>
      </c>
      <c r="E169" s="68">
        <f t="shared" si="126"/>
        <v>8.3849174485758626E-2</v>
      </c>
      <c r="F169" s="68">
        <f t="shared" si="126"/>
        <v>5.559491595427813E-2</v>
      </c>
      <c r="G169" s="68">
        <f t="shared" si="126"/>
        <v>7.878932307206804E-2</v>
      </c>
      <c r="H169" s="68">
        <f t="shared" si="126"/>
        <v>7.8790663990012805E-2</v>
      </c>
      <c r="I169" s="68">
        <f t="shared" si="126"/>
        <v>8.2773441717582705E-2</v>
      </c>
      <c r="J169" s="68">
        <f t="shared" si="126"/>
        <v>7.2176959887568573E-2</v>
      </c>
      <c r="K169" s="69">
        <f t="shared" si="124"/>
        <v>6.562182867257034E-2</v>
      </c>
      <c r="L169" s="69">
        <f t="shared" ref="L169:P169" si="127">K169</f>
        <v>6.562182867257034E-2</v>
      </c>
      <c r="M169" s="69">
        <f t="shared" si="127"/>
        <v>6.562182867257034E-2</v>
      </c>
      <c r="N169" s="69">
        <f t="shared" si="127"/>
        <v>6.562182867257034E-2</v>
      </c>
      <c r="O169" s="69">
        <f t="shared" si="127"/>
        <v>6.562182867257034E-2</v>
      </c>
      <c r="P169" s="69">
        <f t="shared" si="127"/>
        <v>6.562182867257034E-2</v>
      </c>
    </row>
    <row r="170" spans="1:16" ht="13.8" x14ac:dyDescent="0.25">
      <c r="A170" s="40" t="s">
        <v>55</v>
      </c>
      <c r="B170" s="68">
        <f t="shared" ref="B170:J170" si="128">B151/B$164</f>
        <v>7.5307287608693957E-4</v>
      </c>
      <c r="C170" s="68">
        <f t="shared" si="128"/>
        <v>7.8324440043418559E-4</v>
      </c>
      <c r="D170" s="68">
        <f t="shared" si="128"/>
        <v>8.3840809544466965E-4</v>
      </c>
      <c r="E170" s="68">
        <f t="shared" si="128"/>
        <v>7.4382164446692392E-4</v>
      </c>
      <c r="F170" s="68">
        <f t="shared" si="128"/>
        <v>7.7541719421738515E-4</v>
      </c>
      <c r="G170" s="68">
        <f t="shared" si="128"/>
        <v>7.4511487106428381E-4</v>
      </c>
      <c r="H170" s="68">
        <f t="shared" si="128"/>
        <v>7.7994985206255869E-4</v>
      </c>
      <c r="I170" s="68">
        <f t="shared" si="128"/>
        <v>7.0136205042648197E-4</v>
      </c>
      <c r="J170" s="68">
        <f t="shared" si="128"/>
        <v>6.5570759285898115E-4</v>
      </c>
      <c r="K170" s="64">
        <f t="shared" si="124"/>
        <v>7.5289984189582325E-4</v>
      </c>
      <c r="L170" s="64">
        <f t="shared" ref="L170:P170" si="129">K170</f>
        <v>7.5289984189582325E-4</v>
      </c>
      <c r="M170" s="64">
        <f t="shared" si="129"/>
        <v>7.5289984189582325E-4</v>
      </c>
      <c r="N170" s="64">
        <f t="shared" si="129"/>
        <v>7.5289984189582325E-4</v>
      </c>
      <c r="O170" s="64">
        <f t="shared" si="129"/>
        <v>7.5289984189582325E-4</v>
      </c>
      <c r="P170" s="64">
        <f t="shared" si="129"/>
        <v>7.5289984189582325E-4</v>
      </c>
    </row>
    <row r="171" spans="1:16" ht="13.8" x14ac:dyDescent="0.25">
      <c r="A171" s="40" t="s">
        <v>56</v>
      </c>
      <c r="B171" s="68">
        <f t="shared" ref="B171:J171" si="130">B152/B$164</f>
        <v>1.7900789814493917E-2</v>
      </c>
      <c r="C171" s="68">
        <f t="shared" si="130"/>
        <v>1.2577583467518194E-2</v>
      </c>
      <c r="D171" s="68">
        <f t="shared" si="130"/>
        <v>6.237257322533404E-3</v>
      </c>
      <c r="E171" s="68">
        <f t="shared" si="130"/>
        <v>7.1089498118009397E-3</v>
      </c>
      <c r="F171" s="68">
        <f t="shared" si="130"/>
        <v>9.71490933756969E-3</v>
      </c>
      <c r="G171" s="68">
        <f t="shared" si="130"/>
        <v>6.9274579537684632E-3</v>
      </c>
      <c r="H171" s="68">
        <f t="shared" si="130"/>
        <v>6.7583116291172612E-3</v>
      </c>
      <c r="I171" s="68">
        <f t="shared" si="130"/>
        <v>6.953571370466179E-3</v>
      </c>
      <c r="J171" s="68">
        <f t="shared" si="130"/>
        <v>1.2209083152052611E-2</v>
      </c>
      <c r="K171" s="69">
        <f t="shared" si="124"/>
        <v>9.5986570954800735E-3</v>
      </c>
      <c r="L171" s="69">
        <f t="shared" ref="L171:P171" si="131">K171</f>
        <v>9.5986570954800735E-3</v>
      </c>
      <c r="M171" s="69">
        <f t="shared" si="131"/>
        <v>9.5986570954800735E-3</v>
      </c>
      <c r="N171" s="69">
        <f t="shared" si="131"/>
        <v>9.5986570954800735E-3</v>
      </c>
      <c r="O171" s="69">
        <f t="shared" si="131"/>
        <v>9.5986570954800735E-3</v>
      </c>
      <c r="P171" s="69">
        <f t="shared" si="131"/>
        <v>9.5986570954800735E-3</v>
      </c>
    </row>
    <row r="172" spans="1:16" ht="13.8" x14ac:dyDescent="0.25">
      <c r="A172" s="40" t="s">
        <v>57</v>
      </c>
      <c r="B172" s="68">
        <f t="shared" ref="B172:J172" si="132">B153/B$164</f>
        <v>0</v>
      </c>
      <c r="C172" s="68">
        <f t="shared" si="132"/>
        <v>0</v>
      </c>
      <c r="D172" s="68">
        <f t="shared" si="132"/>
        <v>0</v>
      </c>
      <c r="E172" s="68">
        <f t="shared" si="132"/>
        <v>0</v>
      </c>
      <c r="F172" s="68">
        <f t="shared" si="132"/>
        <v>0</v>
      </c>
      <c r="G172" s="68">
        <f t="shared" si="132"/>
        <v>0</v>
      </c>
      <c r="H172" s="68">
        <f t="shared" si="132"/>
        <v>0</v>
      </c>
      <c r="I172" s="68">
        <f t="shared" si="132"/>
        <v>0</v>
      </c>
      <c r="J172" s="68">
        <f t="shared" si="132"/>
        <v>0</v>
      </c>
      <c r="K172" s="69">
        <f t="shared" si="124"/>
        <v>0</v>
      </c>
      <c r="L172" s="69">
        <f t="shared" ref="L172:P172" si="133">K172</f>
        <v>0</v>
      </c>
      <c r="M172" s="69">
        <f t="shared" si="133"/>
        <v>0</v>
      </c>
      <c r="N172" s="69">
        <f t="shared" si="133"/>
        <v>0</v>
      </c>
      <c r="O172" s="69">
        <f t="shared" si="133"/>
        <v>0</v>
      </c>
      <c r="P172" s="69">
        <f t="shared" si="133"/>
        <v>0</v>
      </c>
    </row>
    <row r="173" spans="1:16" ht="13.8" x14ac:dyDescent="0.25">
      <c r="A173" s="26" t="s">
        <v>47</v>
      </c>
      <c r="B173" s="68">
        <f t="shared" ref="B173:J173" si="134">B154/B$164</f>
        <v>0.11372279882531056</v>
      </c>
      <c r="C173" s="68">
        <f t="shared" si="134"/>
        <v>0.15178356540754784</v>
      </c>
      <c r="D173" s="68">
        <f t="shared" si="134"/>
        <v>0.18649682311475299</v>
      </c>
      <c r="E173" s="68">
        <f t="shared" si="134"/>
        <v>0.11354914363929969</v>
      </c>
      <c r="F173" s="68">
        <f t="shared" si="134"/>
        <v>0.17509620756489522</v>
      </c>
      <c r="G173" s="68">
        <f t="shared" si="134"/>
        <v>0.21308045097793488</v>
      </c>
      <c r="H173" s="68">
        <f t="shared" si="134"/>
        <v>0.21516015984697801</v>
      </c>
      <c r="I173" s="68">
        <f t="shared" si="134"/>
        <v>0.12424579914895882</v>
      </c>
      <c r="J173" s="68">
        <f t="shared" si="134"/>
        <v>0.12169115958790808</v>
      </c>
      <c r="K173" s="69">
        <f t="shared" si="124"/>
        <v>0.15720290090150954</v>
      </c>
      <c r="L173" s="69">
        <f t="shared" ref="L173:P173" si="135">K173</f>
        <v>0.15720290090150954</v>
      </c>
      <c r="M173" s="69">
        <f t="shared" si="135"/>
        <v>0.15720290090150954</v>
      </c>
      <c r="N173" s="69">
        <f t="shared" si="135"/>
        <v>0.15720290090150954</v>
      </c>
      <c r="O173" s="69">
        <f t="shared" si="135"/>
        <v>0.15720290090150954</v>
      </c>
      <c r="P173" s="69">
        <f t="shared" si="135"/>
        <v>0.15720290090150954</v>
      </c>
    </row>
    <row r="174" spans="1:16" ht="13.8" x14ac:dyDescent="0.25">
      <c r="A174" s="25"/>
      <c r="B174" s="23"/>
      <c r="C174" s="23"/>
      <c r="D174" s="23"/>
      <c r="E174" s="23"/>
      <c r="F174" s="23"/>
      <c r="G174" s="23"/>
      <c r="H174" s="23"/>
      <c r="I174" s="23"/>
      <c r="J174" s="27"/>
      <c r="K174" s="23"/>
      <c r="L174" s="23"/>
      <c r="M174" s="23"/>
      <c r="N174" s="23"/>
      <c r="O174" s="23"/>
      <c r="P174" s="23"/>
    </row>
    <row r="175" spans="1:16" ht="13.8" x14ac:dyDescent="0.25">
      <c r="A175" s="25" t="s">
        <v>32</v>
      </c>
      <c r="B175" s="23"/>
      <c r="C175" s="23"/>
      <c r="D175" s="23"/>
      <c r="E175" s="23"/>
      <c r="F175" s="23"/>
      <c r="G175" s="23"/>
      <c r="H175" s="23"/>
      <c r="I175" s="23"/>
      <c r="J175" s="27"/>
      <c r="K175" s="23"/>
      <c r="L175" s="23"/>
      <c r="M175" s="23"/>
      <c r="N175" s="23"/>
      <c r="O175" s="23"/>
      <c r="P175" s="23"/>
    </row>
    <row r="176" spans="1:16" ht="13.8" x14ac:dyDescent="0.25">
      <c r="A176" s="26" t="s">
        <v>80</v>
      </c>
      <c r="B176" s="68">
        <f>B157/B$164</f>
        <v>0</v>
      </c>
      <c r="C176" s="68">
        <f t="shared" ref="C176:J176" si="136">C157/C$164</f>
        <v>0</v>
      </c>
      <c r="D176" s="68">
        <f t="shared" si="136"/>
        <v>0</v>
      </c>
      <c r="E176" s="68">
        <f t="shared" si="136"/>
        <v>0</v>
      </c>
      <c r="F176" s="68">
        <f t="shared" si="136"/>
        <v>0</v>
      </c>
      <c r="G176" s="68">
        <f t="shared" si="136"/>
        <v>0</v>
      </c>
      <c r="H176" s="68">
        <f t="shared" si="136"/>
        <v>0</v>
      </c>
      <c r="I176" s="68">
        <f t="shared" si="136"/>
        <v>0</v>
      </c>
      <c r="J176" s="68">
        <f t="shared" si="136"/>
        <v>0</v>
      </c>
      <c r="K176" s="69">
        <f t="shared" ref="K176:K181" si="137">AVERAGE(B176:J176)</f>
        <v>0</v>
      </c>
      <c r="L176" s="69">
        <f t="shared" ref="L176:P176" si="138">K176</f>
        <v>0</v>
      </c>
      <c r="M176" s="69">
        <f t="shared" si="138"/>
        <v>0</v>
      </c>
      <c r="N176" s="69">
        <f t="shared" si="138"/>
        <v>0</v>
      </c>
      <c r="O176" s="69">
        <f t="shared" si="138"/>
        <v>0</v>
      </c>
      <c r="P176" s="69">
        <f t="shared" si="138"/>
        <v>0</v>
      </c>
    </row>
    <row r="177" spans="1:16" ht="13.8" x14ac:dyDescent="0.25">
      <c r="A177" s="26" t="s">
        <v>33</v>
      </c>
      <c r="B177" s="68">
        <f t="shared" ref="B177:J177" si="139">B158/B$164</f>
        <v>0</v>
      </c>
      <c r="C177" s="68">
        <f t="shared" si="139"/>
        <v>0</v>
      </c>
      <c r="D177" s="68">
        <f t="shared" si="139"/>
        <v>0</v>
      </c>
      <c r="E177" s="68">
        <f t="shared" si="139"/>
        <v>0</v>
      </c>
      <c r="F177" s="68">
        <f t="shared" si="139"/>
        <v>9.8106227300580632E-4</v>
      </c>
      <c r="G177" s="68">
        <f t="shared" si="139"/>
        <v>6.3959751459548536E-4</v>
      </c>
      <c r="H177" s="68">
        <f t="shared" si="139"/>
        <v>8.8047824158750052E-4</v>
      </c>
      <c r="I177" s="68">
        <f t="shared" si="139"/>
        <v>6.513704070177618E-4</v>
      </c>
      <c r="J177" s="68">
        <f t="shared" si="139"/>
        <v>6.9628884453429274E-4</v>
      </c>
      <c r="K177" s="64">
        <f t="shared" si="137"/>
        <v>4.2764414230453851E-4</v>
      </c>
      <c r="L177" s="64">
        <f t="shared" ref="L177:P177" si="140">K177</f>
        <v>4.2764414230453851E-4</v>
      </c>
      <c r="M177" s="64">
        <f t="shared" si="140"/>
        <v>4.2764414230453851E-4</v>
      </c>
      <c r="N177" s="64">
        <f t="shared" si="140"/>
        <v>4.2764414230453851E-4</v>
      </c>
      <c r="O177" s="64">
        <f t="shared" si="140"/>
        <v>4.2764414230453851E-4</v>
      </c>
      <c r="P177" s="64">
        <f t="shared" si="140"/>
        <v>4.2764414230453851E-4</v>
      </c>
    </row>
    <row r="178" spans="1:16" ht="13.8" x14ac:dyDescent="0.25">
      <c r="A178" s="26" t="s">
        <v>34</v>
      </c>
      <c r="B178" s="68">
        <f t="shared" ref="B178:J178" si="141">B159/B$164</f>
        <v>8.6334984534645262E-2</v>
      </c>
      <c r="C178" s="68">
        <f t="shared" si="141"/>
        <v>0.10518635418519098</v>
      </c>
      <c r="D178" s="68">
        <f t="shared" si="141"/>
        <v>0.10096216151098418</v>
      </c>
      <c r="E178" s="68">
        <f t="shared" si="141"/>
        <v>9.9709544037034775E-2</v>
      </c>
      <c r="F178" s="68">
        <f t="shared" si="141"/>
        <v>0.10509434531519356</v>
      </c>
      <c r="G178" s="68">
        <f t="shared" si="141"/>
        <v>0.16897744266186848</v>
      </c>
      <c r="H178" s="68">
        <f t="shared" si="141"/>
        <v>0.14567521055397639</v>
      </c>
      <c r="I178" s="68">
        <f t="shared" si="141"/>
        <v>0.13916194482283287</v>
      </c>
      <c r="J178" s="68">
        <f t="shared" si="141"/>
        <v>0.1475916095058378</v>
      </c>
      <c r="K178" s="69">
        <f t="shared" si="137"/>
        <v>0.12207706634750713</v>
      </c>
      <c r="L178" s="69">
        <f t="shared" ref="L178:P178" si="142">K178</f>
        <v>0.12207706634750713</v>
      </c>
      <c r="M178" s="69">
        <f t="shared" si="142"/>
        <v>0.12207706634750713</v>
      </c>
      <c r="N178" s="69">
        <f t="shared" si="142"/>
        <v>0.12207706634750713</v>
      </c>
      <c r="O178" s="69">
        <f t="shared" si="142"/>
        <v>0.12207706634750713</v>
      </c>
      <c r="P178" s="69">
        <f t="shared" si="142"/>
        <v>0.12207706634750713</v>
      </c>
    </row>
    <row r="179" spans="1:16" ht="13.8" x14ac:dyDescent="0.25">
      <c r="A179" s="26" t="s">
        <v>35</v>
      </c>
      <c r="B179" s="68">
        <f t="shared" ref="B179:J179" si="143">B160/B$164</f>
        <v>1.6364351771024153E-2</v>
      </c>
      <c r="C179" s="68">
        <f t="shared" si="143"/>
        <v>1.4715147486734567E-2</v>
      </c>
      <c r="D179" s="68">
        <f t="shared" si="143"/>
        <v>2.3198593810747323E-2</v>
      </c>
      <c r="E179" s="68">
        <f t="shared" si="143"/>
        <v>1.471536563752023E-2</v>
      </c>
      <c r="F179" s="68">
        <f t="shared" si="143"/>
        <v>1.7972616953269321E-2</v>
      </c>
      <c r="G179" s="68">
        <f t="shared" si="143"/>
        <v>1.8376578133816789E-2</v>
      </c>
      <c r="H179" s="68">
        <f t="shared" si="143"/>
        <v>1.6827221446603525E-2</v>
      </c>
      <c r="I179" s="68">
        <f t="shared" si="143"/>
        <v>1.6501383644449967E-2</v>
      </c>
      <c r="J179" s="68">
        <f t="shared" si="143"/>
        <v>1.5634461171751605E-2</v>
      </c>
      <c r="K179" s="69">
        <f t="shared" si="137"/>
        <v>1.7145080006213051E-2</v>
      </c>
      <c r="L179" s="69">
        <f t="shared" ref="L179:P179" si="144">K179</f>
        <v>1.7145080006213051E-2</v>
      </c>
      <c r="M179" s="69">
        <f t="shared" si="144"/>
        <v>1.7145080006213051E-2</v>
      </c>
      <c r="N179" s="69">
        <f t="shared" si="144"/>
        <v>1.7145080006213051E-2</v>
      </c>
      <c r="O179" s="69">
        <f t="shared" si="144"/>
        <v>1.7145080006213051E-2</v>
      </c>
      <c r="P179" s="69">
        <f t="shared" si="144"/>
        <v>1.7145080006213051E-2</v>
      </c>
    </row>
    <row r="180" spans="1:16" ht="13.8" x14ac:dyDescent="0.25">
      <c r="A180" s="26" t="s">
        <v>36</v>
      </c>
      <c r="B180" s="68">
        <f t="shared" ref="B180:J180" si="145">B161/B$164</f>
        <v>9.6609608584509628E-4</v>
      </c>
      <c r="C180" s="68">
        <f t="shared" si="145"/>
        <v>1.2636213424705367E-3</v>
      </c>
      <c r="D180" s="68">
        <f t="shared" si="145"/>
        <v>1.8188831649723076E-3</v>
      </c>
      <c r="E180" s="68">
        <f t="shared" si="145"/>
        <v>1.7542066189725335E-3</v>
      </c>
      <c r="F180" s="68">
        <f t="shared" si="145"/>
        <v>5.0825198561940954E-3</v>
      </c>
      <c r="G180" s="68">
        <f t="shared" si="145"/>
        <v>5.206713371354213E-3</v>
      </c>
      <c r="H180" s="68">
        <f t="shared" si="145"/>
        <v>5.4852939617657023E-3</v>
      </c>
      <c r="I180" s="68">
        <f t="shared" si="145"/>
        <v>5.197060254720734E-3</v>
      </c>
      <c r="J180" s="68">
        <f t="shared" si="145"/>
        <v>4.1152592981792899E-3</v>
      </c>
      <c r="K180" s="64">
        <f t="shared" si="137"/>
        <v>3.4321837727193899E-3</v>
      </c>
      <c r="L180" s="69">
        <f t="shared" ref="L180:P180" si="146">K180</f>
        <v>3.4321837727193899E-3</v>
      </c>
      <c r="M180" s="69">
        <f t="shared" si="146"/>
        <v>3.4321837727193899E-3</v>
      </c>
      <c r="N180" s="69">
        <f t="shared" si="146"/>
        <v>3.4321837727193899E-3</v>
      </c>
      <c r="O180" s="69">
        <f t="shared" si="146"/>
        <v>3.4321837727193899E-3</v>
      </c>
      <c r="P180" s="69">
        <f t="shared" si="146"/>
        <v>3.4321837727193899E-3</v>
      </c>
    </row>
    <row r="181" spans="1:16" ht="13.8" x14ac:dyDescent="0.25">
      <c r="A181" s="26" t="s">
        <v>37</v>
      </c>
      <c r="B181" s="68">
        <f t="shared" ref="B181:J181" si="147">B162/B$164</f>
        <v>8.6544750508780206E-3</v>
      </c>
      <c r="C181" s="68">
        <f t="shared" si="147"/>
        <v>1.1427011048021822E-2</v>
      </c>
      <c r="D181" s="68">
        <f t="shared" si="147"/>
        <v>6.1493400730473699E-3</v>
      </c>
      <c r="E181" s="68">
        <f t="shared" si="147"/>
        <v>6.5636390976192361E-3</v>
      </c>
      <c r="F181" s="68">
        <f t="shared" si="147"/>
        <v>8.7543075361465432E-3</v>
      </c>
      <c r="G181" s="68">
        <f t="shared" si="147"/>
        <v>5.1794411930668931E-3</v>
      </c>
      <c r="H181" s="68">
        <f t="shared" si="147"/>
        <v>4.5733578567894442E-3</v>
      </c>
      <c r="I181" s="68">
        <f t="shared" si="147"/>
        <v>4.8503726448093729E-3</v>
      </c>
      <c r="J181" s="68">
        <f t="shared" si="147"/>
        <v>6.6822904485616614E-3</v>
      </c>
      <c r="K181" s="69">
        <f t="shared" si="137"/>
        <v>6.9815816609933752E-3</v>
      </c>
      <c r="L181" s="69">
        <f t="shared" ref="L181:P181" si="148">K181</f>
        <v>6.9815816609933752E-3</v>
      </c>
      <c r="M181" s="69">
        <f t="shared" si="148"/>
        <v>6.9815816609933752E-3</v>
      </c>
      <c r="N181" s="69">
        <f t="shared" si="148"/>
        <v>6.9815816609933752E-3</v>
      </c>
      <c r="O181" s="69">
        <f t="shared" si="148"/>
        <v>6.9815816609933752E-3</v>
      </c>
      <c r="P181" s="69">
        <f t="shared" si="148"/>
        <v>6.9815816609933752E-3</v>
      </c>
    </row>
    <row r="182" spans="1:16" ht="13.8" x14ac:dyDescent="0.25">
      <c r="A182" s="25"/>
      <c r="B182" s="23"/>
      <c r="C182" s="23"/>
      <c r="D182" s="23"/>
      <c r="E182" s="23"/>
      <c r="F182" s="23"/>
      <c r="G182" s="23"/>
      <c r="H182" s="23"/>
      <c r="I182" s="23"/>
      <c r="J182" s="27"/>
      <c r="K182" s="23"/>
      <c r="L182" s="23"/>
      <c r="M182" s="23"/>
      <c r="N182" s="23"/>
      <c r="O182" s="23"/>
      <c r="P182" s="23"/>
    </row>
    <row r="183" spans="1:16" s="2" customFormat="1" ht="13.8" x14ac:dyDescent="0.25">
      <c r="A183" s="20" t="s">
        <v>83</v>
      </c>
      <c r="B183" s="65">
        <f>B148-B156</f>
        <v>2571.5400000000009</v>
      </c>
      <c r="C183" s="65">
        <f t="shared" ref="C183:P183" si="149">C148-C156</f>
        <v>3223.1199999999994</v>
      </c>
      <c r="D183" s="65">
        <f t="shared" si="149"/>
        <v>4363.5199999999995</v>
      </c>
      <c r="E183" s="65">
        <f t="shared" si="149"/>
        <v>3848.8199999999997</v>
      </c>
      <c r="F183" s="65">
        <f t="shared" si="149"/>
        <v>4070.6399999999994</v>
      </c>
      <c r="G183" s="65">
        <f t="shared" si="149"/>
        <v>4585.42</v>
      </c>
      <c r="H183" s="65">
        <f t="shared" si="149"/>
        <v>4867.46</v>
      </c>
      <c r="I183" s="65">
        <f t="shared" si="149"/>
        <v>3067.3100000000004</v>
      </c>
      <c r="J183" s="65">
        <f t="shared" si="149"/>
        <v>2642.83</v>
      </c>
      <c r="K183" s="65">
        <f t="shared" si="149"/>
        <v>5352.6436066602391</v>
      </c>
      <c r="L183" s="65">
        <f t="shared" si="149"/>
        <v>5747.0438414225564</v>
      </c>
      <c r="M183" s="65">
        <f t="shared" si="149"/>
        <v>6171.7403496258185</v>
      </c>
      <c r="N183" s="65">
        <f t="shared" si="149"/>
        <v>6629.1805842929753</v>
      </c>
      <c r="O183" s="65">
        <f t="shared" si="149"/>
        <v>7122.0209321977163</v>
      </c>
      <c r="P183" s="65">
        <f t="shared" si="149"/>
        <v>7653.1455456501808</v>
      </c>
    </row>
    <row r="184" spans="1:16" s="2" customFormat="1" ht="13.8" x14ac:dyDescent="0.25">
      <c r="A184" s="20" t="s">
        <v>84</v>
      </c>
      <c r="B184" s="34"/>
      <c r="C184" s="70">
        <f>C183-B183</f>
        <v>651.57999999999856</v>
      </c>
      <c r="D184" s="70">
        <f t="shared" ref="D184:P184" si="150">D183-C183</f>
        <v>1140.4000000000001</v>
      </c>
      <c r="E184" s="70">
        <f t="shared" si="150"/>
        <v>-514.69999999999982</v>
      </c>
      <c r="F184" s="70">
        <f t="shared" si="150"/>
        <v>221.81999999999971</v>
      </c>
      <c r="G184" s="70">
        <f t="shared" si="150"/>
        <v>514.78000000000065</v>
      </c>
      <c r="H184" s="70">
        <f t="shared" si="150"/>
        <v>282.03999999999996</v>
      </c>
      <c r="I184" s="70">
        <f t="shared" si="150"/>
        <v>-1800.1499999999996</v>
      </c>
      <c r="J184" s="70">
        <f t="shared" si="150"/>
        <v>-424.48000000000047</v>
      </c>
      <c r="K184" s="70">
        <f t="shared" si="150"/>
        <v>2709.8136066602392</v>
      </c>
      <c r="L184" s="70">
        <f t="shared" si="150"/>
        <v>394.40023476231727</v>
      </c>
      <c r="M184" s="70">
        <f t="shared" si="150"/>
        <v>424.69650820326206</v>
      </c>
      <c r="N184" s="70">
        <f t="shared" si="150"/>
        <v>457.4402346671568</v>
      </c>
      <c r="O184" s="70">
        <f t="shared" si="150"/>
        <v>492.84034790474107</v>
      </c>
      <c r="P184" s="70">
        <f t="shared" si="150"/>
        <v>531.12461345246447</v>
      </c>
    </row>
    <row r="185" spans="1:16" ht="13.8" x14ac:dyDescent="0.25">
      <c r="A185" s="25"/>
      <c r="B185" s="23"/>
      <c r="C185" s="23"/>
      <c r="D185" s="23"/>
      <c r="E185" s="23"/>
      <c r="F185" s="23"/>
      <c r="G185" s="23"/>
      <c r="H185" s="23"/>
      <c r="I185" s="23"/>
      <c r="J185" s="27"/>
      <c r="K185" s="23"/>
      <c r="L185" s="23"/>
      <c r="M185" s="23"/>
      <c r="N185" s="23"/>
      <c r="O185" s="23"/>
      <c r="P185" s="23"/>
    </row>
    <row r="186" spans="1:16" ht="13.8" x14ac:dyDescent="0.25">
      <c r="A186" s="24" t="s">
        <v>85</v>
      </c>
      <c r="B186" s="23"/>
      <c r="C186" s="23"/>
      <c r="D186" s="23"/>
      <c r="E186" s="23"/>
      <c r="F186" s="23"/>
      <c r="G186" s="23"/>
      <c r="H186" s="23"/>
      <c r="I186" s="23"/>
      <c r="J186" s="27"/>
      <c r="K186" s="23"/>
      <c r="L186" s="23"/>
      <c r="M186" s="23"/>
      <c r="N186" s="23"/>
      <c r="O186" s="23"/>
      <c r="P186" s="23"/>
    </row>
    <row r="187" spans="1:16" ht="13.8" x14ac:dyDescent="0.25">
      <c r="A187" s="25" t="s">
        <v>86</v>
      </c>
      <c r="B187" s="28">
        <f t="shared" ref="B187:J187" si="151">B62+B65</f>
        <v>3753.8</v>
      </c>
      <c r="C187" s="28">
        <f t="shared" si="151"/>
        <v>4581.45</v>
      </c>
      <c r="D187" s="28">
        <f t="shared" si="151"/>
        <v>4689.67</v>
      </c>
      <c r="E187" s="28">
        <f t="shared" si="151"/>
        <v>4838.2</v>
      </c>
      <c r="F187" s="28">
        <f t="shared" si="151"/>
        <v>5722.67</v>
      </c>
      <c r="G187" s="28">
        <f t="shared" si="151"/>
        <v>5471.2599999999993</v>
      </c>
      <c r="H187" s="28">
        <f t="shared" si="151"/>
        <v>5181.71</v>
      </c>
      <c r="I187" s="28">
        <f t="shared" si="151"/>
        <v>4996.75</v>
      </c>
      <c r="J187" s="28">
        <f t="shared" si="151"/>
        <v>5054.45</v>
      </c>
      <c r="K187" s="23"/>
      <c r="L187" s="23"/>
      <c r="M187" s="23"/>
      <c r="N187" s="23"/>
      <c r="O187" s="23"/>
      <c r="P187" s="23"/>
    </row>
    <row r="188" spans="1:16" ht="13.8" x14ac:dyDescent="0.25">
      <c r="A188" s="25" t="s">
        <v>87</v>
      </c>
      <c r="B188" s="28">
        <f t="shared" ref="B188:J188" si="152">B63+B64+B66</f>
        <v>435.95</v>
      </c>
      <c r="C188" s="28">
        <f t="shared" si="152"/>
        <v>279.19</v>
      </c>
      <c r="D188" s="28">
        <f t="shared" si="152"/>
        <v>283.26</v>
      </c>
      <c r="E188" s="28">
        <f t="shared" si="152"/>
        <v>322.24</v>
      </c>
      <c r="F188" s="28">
        <f t="shared" si="152"/>
        <v>735.68</v>
      </c>
      <c r="G188" s="28">
        <f t="shared" si="152"/>
        <v>953.74</v>
      </c>
      <c r="H188" s="28">
        <f t="shared" si="152"/>
        <v>1082.9699999999998</v>
      </c>
      <c r="I188" s="28">
        <f t="shared" si="152"/>
        <v>1228.46</v>
      </c>
      <c r="J188" s="28">
        <f t="shared" si="152"/>
        <v>1260.0899999999999</v>
      </c>
      <c r="K188" s="23"/>
      <c r="L188" s="23"/>
      <c r="M188" s="23"/>
      <c r="N188" s="23"/>
      <c r="O188" s="23"/>
      <c r="P188" s="23"/>
    </row>
    <row r="189" spans="1:16" s="2" customFormat="1" ht="13.8" x14ac:dyDescent="0.25">
      <c r="A189" s="51" t="s">
        <v>38</v>
      </c>
      <c r="B189" s="65">
        <f>SUM(B187:B188)</f>
        <v>4189.75</v>
      </c>
      <c r="C189" s="65">
        <f t="shared" ref="C189:J189" si="153">SUM(C187:C188)</f>
        <v>4860.6399999999994</v>
      </c>
      <c r="D189" s="65">
        <f t="shared" si="153"/>
        <v>4972.93</v>
      </c>
      <c r="E189" s="65">
        <f t="shared" si="153"/>
        <v>5160.4399999999996</v>
      </c>
      <c r="F189" s="65">
        <f t="shared" si="153"/>
        <v>6458.35</v>
      </c>
      <c r="G189" s="65">
        <f t="shared" si="153"/>
        <v>6424.9999999999991</v>
      </c>
      <c r="H189" s="65">
        <f t="shared" si="153"/>
        <v>6264.68</v>
      </c>
      <c r="I189" s="65">
        <f t="shared" si="153"/>
        <v>6225.21</v>
      </c>
      <c r="J189" s="65">
        <f t="shared" si="153"/>
        <v>6314.54</v>
      </c>
      <c r="K189" s="65">
        <f t="shared" ref="K189:P189" si="154">(K191*K88)/10^7</f>
        <v>6549.25</v>
      </c>
      <c r="L189" s="65">
        <f t="shared" si="154"/>
        <v>6713.4</v>
      </c>
      <c r="M189" s="65">
        <f t="shared" si="154"/>
        <v>6877.55</v>
      </c>
      <c r="N189" s="65">
        <f t="shared" si="154"/>
        <v>7041.7</v>
      </c>
      <c r="O189" s="65">
        <f t="shared" si="154"/>
        <v>7205.85</v>
      </c>
      <c r="P189" s="65">
        <f t="shared" si="154"/>
        <v>7370</v>
      </c>
    </row>
    <row r="190" spans="1:16" ht="13.8" x14ac:dyDescent="0.25">
      <c r="A190" s="25"/>
      <c r="B190" s="23"/>
      <c r="C190" s="23"/>
      <c r="D190" s="23"/>
      <c r="E190" s="23"/>
      <c r="F190" s="23"/>
      <c r="G190" s="23"/>
      <c r="H190" s="23"/>
      <c r="I190" s="23"/>
      <c r="J190" s="27"/>
      <c r="K190" s="23"/>
      <c r="L190" s="23"/>
      <c r="M190" s="23"/>
      <c r="N190" s="23"/>
      <c r="O190" s="23"/>
      <c r="P190" s="23"/>
    </row>
    <row r="191" spans="1:16" ht="13.8" x14ac:dyDescent="0.25">
      <c r="A191" s="25" t="s">
        <v>147</v>
      </c>
      <c r="B191" s="28">
        <f t="shared" ref="B191:J191" si="155">B189/B88*10000000</f>
        <v>5172.5308641975307</v>
      </c>
      <c r="C191" s="28">
        <f t="shared" si="155"/>
        <v>5237.7586206896549</v>
      </c>
      <c r="D191" s="28">
        <f t="shared" si="155"/>
        <v>5290.3510638297876</v>
      </c>
      <c r="E191" s="28">
        <f t="shared" si="155"/>
        <v>5733.8222222222221</v>
      </c>
      <c r="F191" s="28">
        <f t="shared" si="155"/>
        <v>7097.0879120879126</v>
      </c>
      <c r="G191" s="28">
        <f t="shared" si="155"/>
        <v>6741.8677859391382</v>
      </c>
      <c r="H191" s="28">
        <f t="shared" si="155"/>
        <v>6573.6411332633788</v>
      </c>
      <c r="I191" s="28">
        <f t="shared" si="155"/>
        <v>6532.2245540398735</v>
      </c>
      <c r="J191" s="28">
        <f t="shared" si="155"/>
        <v>6625.9601259181527</v>
      </c>
      <c r="K191" s="71">
        <v>6700</v>
      </c>
      <c r="L191" s="72">
        <f>K191</f>
        <v>6700</v>
      </c>
      <c r="M191" s="72">
        <f t="shared" ref="M191:P191" si="156">L191</f>
        <v>6700</v>
      </c>
      <c r="N191" s="72">
        <f t="shared" si="156"/>
        <v>6700</v>
      </c>
      <c r="O191" s="72">
        <f t="shared" si="156"/>
        <v>6700</v>
      </c>
      <c r="P191" s="72">
        <f t="shared" si="156"/>
        <v>6700</v>
      </c>
    </row>
    <row r="192" spans="1:16" ht="13.8" x14ac:dyDescent="0.25">
      <c r="A192" s="25"/>
      <c r="B192" s="23"/>
      <c r="C192" s="23"/>
      <c r="D192" s="23"/>
      <c r="E192" s="23"/>
      <c r="F192" s="23"/>
      <c r="G192" s="23"/>
      <c r="H192" s="23"/>
      <c r="I192" s="23"/>
      <c r="J192" s="27"/>
      <c r="K192" s="23"/>
      <c r="L192" s="23"/>
      <c r="M192" s="23"/>
      <c r="N192" s="23"/>
      <c r="O192" s="23"/>
      <c r="P192" s="23"/>
    </row>
    <row r="193" spans="1:21" ht="13.8" x14ac:dyDescent="0.25">
      <c r="A193" s="25" t="s">
        <v>88</v>
      </c>
      <c r="B193" s="23"/>
      <c r="C193" s="23"/>
      <c r="D193" s="23"/>
      <c r="E193" s="23"/>
      <c r="F193" s="23"/>
      <c r="G193" s="23"/>
      <c r="H193" s="23"/>
      <c r="I193" s="23"/>
      <c r="J193" s="27"/>
      <c r="K193" s="31">
        <f t="shared" ref="K193:P193" si="157">(K191*K89)/10^7</f>
        <v>164.15</v>
      </c>
      <c r="L193" s="31">
        <f t="shared" si="157"/>
        <v>164.15</v>
      </c>
      <c r="M193" s="31">
        <f t="shared" si="157"/>
        <v>164.15</v>
      </c>
      <c r="N193" s="31">
        <f t="shared" si="157"/>
        <v>164.15</v>
      </c>
      <c r="O193" s="31">
        <f t="shared" si="157"/>
        <v>164.15</v>
      </c>
      <c r="P193" s="31">
        <f t="shared" si="157"/>
        <v>164.15</v>
      </c>
    </row>
    <row r="194" spans="1:21" ht="13.8" x14ac:dyDescent="0.25">
      <c r="A194" s="25" t="s">
        <v>89</v>
      </c>
      <c r="B194" s="23"/>
      <c r="C194" s="23"/>
      <c r="D194" s="23"/>
      <c r="E194" s="23"/>
      <c r="F194" s="23"/>
      <c r="G194" s="23"/>
      <c r="H194" s="23"/>
      <c r="I194" s="23"/>
      <c r="J194" s="27"/>
      <c r="K194" s="28">
        <f>J197</f>
        <v>711.41</v>
      </c>
      <c r="L194" s="28">
        <f t="shared" ref="L194:P194" si="158">K197</f>
        <v>785.91</v>
      </c>
      <c r="M194" s="28">
        <f t="shared" si="158"/>
        <v>805.60799999999995</v>
      </c>
      <c r="N194" s="28">
        <f>M197</f>
        <v>825.30600000000004</v>
      </c>
      <c r="O194" s="28">
        <f t="shared" si="158"/>
        <v>845.00399999999991</v>
      </c>
      <c r="P194" s="28">
        <f t="shared" si="158"/>
        <v>864.702</v>
      </c>
    </row>
    <row r="195" spans="1:21" s="2" customFormat="1" ht="13.8" x14ac:dyDescent="0.25">
      <c r="A195" s="51" t="s">
        <v>90</v>
      </c>
      <c r="B195" s="34"/>
      <c r="C195" s="34"/>
      <c r="D195" s="34"/>
      <c r="E195" s="34"/>
      <c r="F195" s="34"/>
      <c r="G195" s="34"/>
      <c r="H195" s="34"/>
      <c r="I195" s="34"/>
      <c r="J195" s="33"/>
      <c r="K195" s="66">
        <f>SUM(K193:K194)</f>
        <v>875.56</v>
      </c>
      <c r="L195" s="66">
        <f t="shared" ref="L195:P195" si="159">SUM(L193:L194)</f>
        <v>950.06</v>
      </c>
      <c r="M195" s="66">
        <f t="shared" si="159"/>
        <v>969.75799999999992</v>
      </c>
      <c r="N195" s="66">
        <f t="shared" si="159"/>
        <v>989.45600000000002</v>
      </c>
      <c r="O195" s="66">
        <f t="shared" si="159"/>
        <v>1009.1539999999999</v>
      </c>
      <c r="P195" s="66">
        <f t="shared" si="159"/>
        <v>1028.8520000000001</v>
      </c>
    </row>
    <row r="196" spans="1:21" ht="13.8" x14ac:dyDescent="0.25">
      <c r="A196" s="25"/>
      <c r="B196" s="23"/>
      <c r="C196" s="23"/>
      <c r="D196" s="23"/>
      <c r="E196" s="23"/>
      <c r="F196" s="23"/>
      <c r="G196" s="23"/>
      <c r="H196" s="23"/>
      <c r="I196" s="23"/>
      <c r="J196" s="27"/>
      <c r="K196" s="23"/>
      <c r="L196" s="23"/>
      <c r="M196" s="23"/>
      <c r="N196" s="23"/>
      <c r="O196" s="23"/>
      <c r="P196" s="23"/>
    </row>
    <row r="197" spans="1:21" ht="13.8" x14ac:dyDescent="0.25">
      <c r="A197" s="25" t="s">
        <v>91</v>
      </c>
      <c r="B197" s="28">
        <f t="shared" ref="B197:J197" si="160">B20</f>
        <v>437.64</v>
      </c>
      <c r="C197" s="28">
        <f t="shared" si="160"/>
        <v>492.73</v>
      </c>
      <c r="D197" s="28">
        <f t="shared" si="160"/>
        <v>555.6</v>
      </c>
      <c r="E197" s="28">
        <f t="shared" si="160"/>
        <v>602.01</v>
      </c>
      <c r="F197" s="28">
        <f t="shared" si="160"/>
        <v>817.96</v>
      </c>
      <c r="G197" s="28">
        <f t="shared" si="160"/>
        <v>676.87</v>
      </c>
      <c r="H197" s="28">
        <f t="shared" si="160"/>
        <v>649.75</v>
      </c>
      <c r="I197" s="28">
        <f t="shared" si="160"/>
        <v>656.96</v>
      </c>
      <c r="J197" s="28">
        <f t="shared" si="160"/>
        <v>711.41</v>
      </c>
      <c r="K197" s="28">
        <f>K189*K198</f>
        <v>785.91</v>
      </c>
      <c r="L197" s="28">
        <f t="shared" ref="L197:P197" si="161">L189*L198</f>
        <v>805.60799999999995</v>
      </c>
      <c r="M197" s="28">
        <f t="shared" si="161"/>
        <v>825.30600000000004</v>
      </c>
      <c r="N197" s="28">
        <f t="shared" si="161"/>
        <v>845.00399999999991</v>
      </c>
      <c r="O197" s="28">
        <f t="shared" si="161"/>
        <v>864.702</v>
      </c>
      <c r="P197" s="28">
        <f t="shared" si="161"/>
        <v>884.4</v>
      </c>
    </row>
    <row r="198" spans="1:21" ht="13.8" x14ac:dyDescent="0.25">
      <c r="A198" s="25" t="s">
        <v>92</v>
      </c>
      <c r="B198" s="73">
        <f>B197/B189</f>
        <v>0.10445491974461484</v>
      </c>
      <c r="C198" s="73">
        <f t="shared" ref="C198:J198" si="162">C197/C189</f>
        <v>0.10137142433918168</v>
      </c>
      <c r="D198" s="73">
        <f t="shared" si="162"/>
        <v>0.11172487849215654</v>
      </c>
      <c r="E198" s="73">
        <f t="shared" si="162"/>
        <v>0.11665865701374302</v>
      </c>
      <c r="F198" s="73">
        <f t="shared" si="162"/>
        <v>0.12665154412504742</v>
      </c>
      <c r="G198" s="73">
        <f t="shared" si="162"/>
        <v>0.10534941634241246</v>
      </c>
      <c r="H198" s="73">
        <f t="shared" si="162"/>
        <v>0.10371639094095787</v>
      </c>
      <c r="I198" s="73">
        <f t="shared" si="162"/>
        <v>0.10553218285005647</v>
      </c>
      <c r="J198" s="73">
        <f t="shared" si="162"/>
        <v>0.11266220500622373</v>
      </c>
      <c r="K198" s="74">
        <v>0.12</v>
      </c>
      <c r="L198" s="74">
        <f>K198</f>
        <v>0.12</v>
      </c>
      <c r="M198" s="74">
        <f t="shared" ref="M198:P198" si="163">L198</f>
        <v>0.12</v>
      </c>
      <c r="N198" s="74">
        <f t="shared" si="163"/>
        <v>0.12</v>
      </c>
      <c r="O198" s="74">
        <f t="shared" si="163"/>
        <v>0.12</v>
      </c>
      <c r="P198" s="74">
        <f t="shared" si="163"/>
        <v>0.12</v>
      </c>
    </row>
    <row r="199" spans="1:21" ht="13.8" x14ac:dyDescent="0.25">
      <c r="A199" s="26"/>
      <c r="B199" s="23"/>
      <c r="C199" s="23"/>
      <c r="D199" s="23"/>
      <c r="E199" s="23"/>
      <c r="F199" s="23"/>
      <c r="G199" s="23"/>
      <c r="H199" s="23"/>
      <c r="I199" s="23"/>
      <c r="J199" s="27"/>
      <c r="K199" s="23"/>
      <c r="L199" s="23"/>
      <c r="M199" s="23"/>
      <c r="N199" s="23"/>
      <c r="O199" s="23"/>
      <c r="P199" s="23"/>
    </row>
    <row r="200" spans="1:21" ht="13.8" x14ac:dyDescent="0.25">
      <c r="A200" s="75" t="s">
        <v>99</v>
      </c>
      <c r="B200" s="23"/>
      <c r="C200" s="23"/>
      <c r="D200" s="23"/>
      <c r="E200" s="23"/>
      <c r="F200" s="23"/>
      <c r="G200" s="23"/>
      <c r="H200" s="23"/>
      <c r="I200" s="23"/>
      <c r="J200" s="27"/>
      <c r="K200" s="23"/>
      <c r="L200" s="23"/>
      <c r="M200" s="23"/>
      <c r="N200" s="23"/>
      <c r="O200" s="23"/>
      <c r="P200" s="23"/>
    </row>
    <row r="201" spans="1:21" ht="13.8" x14ac:dyDescent="0.25">
      <c r="A201" s="76" t="s">
        <v>100</v>
      </c>
      <c r="B201" s="28">
        <f t="shared" ref="B201:P201" si="164">B35</f>
        <v>3160.0800000000008</v>
      </c>
      <c r="C201" s="28">
        <f t="shared" si="164"/>
        <v>3377.1200000000017</v>
      </c>
      <c r="D201" s="28">
        <f t="shared" si="164"/>
        <v>3697.3599999999979</v>
      </c>
      <c r="E201" s="28">
        <f t="shared" si="164"/>
        <v>3384.8700000000035</v>
      </c>
      <c r="F201" s="28">
        <f t="shared" si="164"/>
        <v>3633.2599999999998</v>
      </c>
      <c r="G201" s="28">
        <f t="shared" si="164"/>
        <v>2964.199999999993</v>
      </c>
      <c r="H201" s="28">
        <f t="shared" si="164"/>
        <v>2473.0200000000036</v>
      </c>
      <c r="I201" s="28">
        <f t="shared" si="164"/>
        <v>2910.5800000000067</v>
      </c>
      <c r="J201" s="28">
        <f t="shared" si="164"/>
        <v>3967.9500000000021</v>
      </c>
      <c r="K201" s="28">
        <f t="shared" si="164"/>
        <v>4486.3675048530858</v>
      </c>
      <c r="L201" s="28">
        <f t="shared" si="164"/>
        <v>4798.6029818695988</v>
      </c>
      <c r="M201" s="28">
        <f t="shared" si="164"/>
        <v>5135.8823450581713</v>
      </c>
      <c r="N201" s="28">
        <f t="shared" si="164"/>
        <v>5500.2287387846645</v>
      </c>
      <c r="O201" s="28">
        <f t="shared" si="164"/>
        <v>5893.838018856849</v>
      </c>
      <c r="P201" s="28">
        <f t="shared" si="164"/>
        <v>6319.094319491709</v>
      </c>
    </row>
    <row r="202" spans="1:21" ht="13.8" x14ac:dyDescent="0.25">
      <c r="A202" s="76" t="s">
        <v>101</v>
      </c>
      <c r="B202" s="28">
        <f t="shared" ref="B202:P202" si="165">B20</f>
        <v>437.64</v>
      </c>
      <c r="C202" s="28">
        <f t="shared" si="165"/>
        <v>492.73</v>
      </c>
      <c r="D202" s="28">
        <f t="shared" si="165"/>
        <v>555.6</v>
      </c>
      <c r="E202" s="28">
        <f t="shared" si="165"/>
        <v>602.01</v>
      </c>
      <c r="F202" s="28">
        <f t="shared" si="165"/>
        <v>817.96</v>
      </c>
      <c r="G202" s="28">
        <f t="shared" si="165"/>
        <v>676.87</v>
      </c>
      <c r="H202" s="28">
        <f t="shared" si="165"/>
        <v>649.75</v>
      </c>
      <c r="I202" s="28">
        <f t="shared" si="165"/>
        <v>656.96</v>
      </c>
      <c r="J202" s="28">
        <f t="shared" si="165"/>
        <v>711.41</v>
      </c>
      <c r="K202" s="28">
        <f t="shared" si="165"/>
        <v>785.91</v>
      </c>
      <c r="L202" s="28">
        <f t="shared" si="165"/>
        <v>805.60799999999995</v>
      </c>
      <c r="M202" s="28">
        <f t="shared" si="165"/>
        <v>825.30600000000004</v>
      </c>
      <c r="N202" s="28">
        <f t="shared" si="165"/>
        <v>845.00399999999991</v>
      </c>
      <c r="O202" s="28">
        <f t="shared" si="165"/>
        <v>864.702</v>
      </c>
      <c r="P202" s="28">
        <f t="shared" si="165"/>
        <v>884.4</v>
      </c>
    </row>
    <row r="203" spans="1:21" ht="13.8" x14ac:dyDescent="0.25">
      <c r="A203" s="76" t="s">
        <v>102</v>
      </c>
      <c r="B203" s="23">
        <v>0</v>
      </c>
      <c r="C203" s="23">
        <v>0</v>
      </c>
      <c r="D203" s="23">
        <v>0</v>
      </c>
      <c r="E203" s="23">
        <v>0</v>
      </c>
      <c r="F203" s="23">
        <v>0</v>
      </c>
      <c r="G203" s="23">
        <v>0</v>
      </c>
      <c r="H203" s="23">
        <v>0</v>
      </c>
      <c r="I203" s="23">
        <v>0</v>
      </c>
      <c r="J203" s="23">
        <v>0</v>
      </c>
      <c r="K203" s="28">
        <f t="shared" ref="K203:P203" si="166">K45-J45</f>
        <v>0</v>
      </c>
      <c r="L203" s="28">
        <f t="shared" si="166"/>
        <v>0</v>
      </c>
      <c r="M203" s="28">
        <f t="shared" si="166"/>
        <v>0</v>
      </c>
      <c r="N203" s="28">
        <f t="shared" si="166"/>
        <v>0</v>
      </c>
      <c r="O203" s="28">
        <f t="shared" si="166"/>
        <v>0</v>
      </c>
      <c r="P203" s="28">
        <f t="shared" si="166"/>
        <v>0</v>
      </c>
    </row>
    <row r="204" spans="1:21" ht="13.8" x14ac:dyDescent="0.25">
      <c r="A204" s="76" t="s">
        <v>103</v>
      </c>
      <c r="B204" s="31">
        <f t="shared" ref="B204:P204" si="167">B184</f>
        <v>0</v>
      </c>
      <c r="C204" s="31">
        <f t="shared" si="167"/>
        <v>651.57999999999856</v>
      </c>
      <c r="D204" s="31">
        <f t="shared" si="167"/>
        <v>1140.4000000000001</v>
      </c>
      <c r="E204" s="31">
        <f t="shared" si="167"/>
        <v>-514.69999999999982</v>
      </c>
      <c r="F204" s="31">
        <f t="shared" si="167"/>
        <v>221.81999999999971</v>
      </c>
      <c r="G204" s="31">
        <f t="shared" si="167"/>
        <v>514.78000000000065</v>
      </c>
      <c r="H204" s="31">
        <f t="shared" si="167"/>
        <v>282.03999999999996</v>
      </c>
      <c r="I204" s="31">
        <f t="shared" si="167"/>
        <v>-1800.1499999999996</v>
      </c>
      <c r="J204" s="31">
        <f t="shared" si="167"/>
        <v>-424.48000000000047</v>
      </c>
      <c r="K204" s="31">
        <f t="shared" si="167"/>
        <v>2709.8136066602392</v>
      </c>
      <c r="L204" s="31">
        <f t="shared" si="167"/>
        <v>394.40023476231727</v>
      </c>
      <c r="M204" s="31">
        <f t="shared" si="167"/>
        <v>424.69650820326206</v>
      </c>
      <c r="N204" s="31">
        <f t="shared" si="167"/>
        <v>457.4402346671568</v>
      </c>
      <c r="O204" s="31">
        <f t="shared" si="167"/>
        <v>492.84034790474107</v>
      </c>
      <c r="P204" s="31">
        <f t="shared" si="167"/>
        <v>531.12461345246447</v>
      </c>
    </row>
    <row r="205" spans="1:21" ht="13.8" x14ac:dyDescent="0.25">
      <c r="A205" s="76" t="s">
        <v>104</v>
      </c>
      <c r="B205" s="28">
        <f>B195</f>
        <v>0</v>
      </c>
      <c r="C205" s="28">
        <f t="shared" ref="C205:P205" si="168">C195</f>
        <v>0</v>
      </c>
      <c r="D205" s="28">
        <f t="shared" si="168"/>
        <v>0</v>
      </c>
      <c r="E205" s="28">
        <f t="shared" si="168"/>
        <v>0</v>
      </c>
      <c r="F205" s="28">
        <f t="shared" si="168"/>
        <v>0</v>
      </c>
      <c r="G205" s="28">
        <f t="shared" si="168"/>
        <v>0</v>
      </c>
      <c r="H205" s="28">
        <f t="shared" si="168"/>
        <v>0</v>
      </c>
      <c r="I205" s="28">
        <f t="shared" si="168"/>
        <v>0</v>
      </c>
      <c r="J205" s="28">
        <f t="shared" si="168"/>
        <v>0</v>
      </c>
      <c r="K205" s="28">
        <f t="shared" si="168"/>
        <v>875.56</v>
      </c>
      <c r="L205" s="28">
        <f t="shared" si="168"/>
        <v>950.06</v>
      </c>
      <c r="M205" s="28">
        <f t="shared" si="168"/>
        <v>969.75799999999992</v>
      </c>
      <c r="N205" s="28">
        <f t="shared" si="168"/>
        <v>989.45600000000002</v>
      </c>
      <c r="O205" s="28">
        <f t="shared" si="168"/>
        <v>1009.1539999999999</v>
      </c>
      <c r="P205" s="28">
        <f t="shared" si="168"/>
        <v>1028.8520000000001</v>
      </c>
    </row>
    <row r="206" spans="1:21" ht="13.8" x14ac:dyDescent="0.25">
      <c r="A206" s="76"/>
      <c r="B206" s="23"/>
      <c r="C206" s="23"/>
      <c r="D206" s="23"/>
      <c r="E206" s="23"/>
      <c r="F206" s="23"/>
      <c r="G206" s="23"/>
      <c r="H206" s="23"/>
      <c r="I206" s="23"/>
      <c r="J206" s="27"/>
      <c r="K206" s="23"/>
      <c r="L206" s="23"/>
      <c r="M206" s="23"/>
      <c r="N206" s="23"/>
      <c r="O206" s="23"/>
      <c r="P206" s="23"/>
    </row>
    <row r="207" spans="1:21" ht="13.8" x14ac:dyDescent="0.25">
      <c r="A207" s="76" t="s">
        <v>105</v>
      </c>
      <c r="B207" s="23"/>
      <c r="C207" s="23"/>
      <c r="D207" s="23"/>
      <c r="E207" s="23"/>
      <c r="F207" s="23"/>
      <c r="G207" s="23"/>
      <c r="H207" s="23"/>
      <c r="I207" s="23"/>
      <c r="J207" s="27"/>
      <c r="K207" s="28">
        <f>J209</f>
        <v>608.92999999999995</v>
      </c>
      <c r="L207" s="28">
        <f t="shared" ref="L207:P207" si="169">K209</f>
        <v>2295.8338981928464</v>
      </c>
      <c r="M207" s="28">
        <f t="shared" si="169"/>
        <v>6555.5846453001286</v>
      </c>
      <c r="N207" s="28">
        <f t="shared" si="169"/>
        <v>11122.318482155039</v>
      </c>
      <c r="O207" s="28">
        <f t="shared" si="169"/>
        <v>16020.654986272546</v>
      </c>
      <c r="P207" s="92">
        <f t="shared" si="169"/>
        <v>21277.200657224654</v>
      </c>
    </row>
    <row r="208" spans="1:21" ht="13.8" x14ac:dyDescent="0.25">
      <c r="A208" s="76" t="s">
        <v>164</v>
      </c>
      <c r="B208" s="23"/>
      <c r="C208" s="23"/>
      <c r="D208" s="23"/>
      <c r="E208" s="23"/>
      <c r="F208" s="23"/>
      <c r="G208" s="23"/>
      <c r="H208" s="23"/>
      <c r="I208" s="23"/>
      <c r="J208" s="27"/>
      <c r="K208" s="28">
        <f>K201+K202+K203-K204-K205</f>
        <v>1686.9038981928466</v>
      </c>
      <c r="L208" s="28">
        <f>L201+L202+L203-L204-L205</f>
        <v>4259.7507471072822</v>
      </c>
      <c r="M208" s="28">
        <f t="shared" ref="M208:P208" si="170">M201+M202+M203-M204-M205</f>
        <v>4566.7338368549099</v>
      </c>
      <c r="N208" s="28">
        <f t="shared" si="170"/>
        <v>4898.3365041175075</v>
      </c>
      <c r="O208" s="28">
        <f t="shared" si="170"/>
        <v>5256.5456709521086</v>
      </c>
      <c r="P208" s="28">
        <f t="shared" si="170"/>
        <v>5643.5177060392443</v>
      </c>
      <c r="Q208" s="28">
        <f>P208*(1+Q210)</f>
        <v>6002.5423515434159</v>
      </c>
      <c r="R208" s="28">
        <f t="shared" ref="R208:T208" si="171">Q208*(1+R210)</f>
        <v>6324.3817067245163</v>
      </c>
      <c r="S208" s="28">
        <f t="shared" si="171"/>
        <v>6600.2333614098361</v>
      </c>
      <c r="T208" s="28">
        <f t="shared" si="171"/>
        <v>6822.1145519856636</v>
      </c>
      <c r="U208" s="28">
        <f>T208*(1+U210)/(B215-U210)</f>
        <v>69585.56843025377</v>
      </c>
    </row>
    <row r="209" spans="1:21" s="2" customFormat="1" ht="13.8" x14ac:dyDescent="0.25">
      <c r="A209" s="75" t="s">
        <v>106</v>
      </c>
      <c r="B209" s="34"/>
      <c r="C209" s="34"/>
      <c r="D209" s="34"/>
      <c r="E209" s="34"/>
      <c r="F209" s="34"/>
      <c r="G209" s="34"/>
      <c r="H209" s="34"/>
      <c r="I209" s="34"/>
      <c r="J209" s="33">
        <f>J78</f>
        <v>608.92999999999995</v>
      </c>
      <c r="K209" s="65">
        <f>K208+K207</f>
        <v>2295.8338981928464</v>
      </c>
      <c r="L209" s="65">
        <f t="shared" ref="L209:P209" si="172">L208+L207</f>
        <v>6555.5846453001286</v>
      </c>
      <c r="M209" s="65">
        <f t="shared" si="172"/>
        <v>11122.318482155039</v>
      </c>
      <c r="N209" s="65">
        <f t="shared" si="172"/>
        <v>16020.654986272546</v>
      </c>
      <c r="O209" s="65">
        <f t="shared" si="172"/>
        <v>21277.200657224654</v>
      </c>
      <c r="P209" s="93">
        <f t="shared" si="172"/>
        <v>26920.718363263899</v>
      </c>
    </row>
    <row r="210" spans="1:21" ht="13.8" x14ac:dyDescent="0.25">
      <c r="A210" s="76" t="s">
        <v>107</v>
      </c>
      <c r="B210" s="23"/>
      <c r="C210" s="23"/>
      <c r="D210" s="23"/>
      <c r="E210" s="23"/>
      <c r="F210" s="23"/>
      <c r="G210" s="23"/>
      <c r="H210" s="23"/>
      <c r="I210" s="23"/>
      <c r="J210" s="27"/>
      <c r="K210" s="23"/>
      <c r="L210" s="73">
        <f>L208/K208-1</f>
        <v>1.5251887506281099</v>
      </c>
      <c r="M210" s="73">
        <f t="shared" ref="M210:P210" si="173">M208/L208-1</f>
        <v>7.2065974741854166E-2</v>
      </c>
      <c r="N210" s="73">
        <f t="shared" si="173"/>
        <v>7.2612654713192448E-2</v>
      </c>
      <c r="O210" s="73">
        <f t="shared" si="173"/>
        <v>7.3128737997786075E-2</v>
      </c>
      <c r="P210" s="73">
        <f t="shared" si="173"/>
        <v>7.3617173579516137E-2</v>
      </c>
      <c r="Q210" s="56">
        <f>P210-$B$214</f>
        <v>6.3617173579516142E-2</v>
      </c>
      <c r="R210" s="56">
        <f t="shared" ref="R210:T210" si="174">Q210-$B$214</f>
        <v>5.3617173579516141E-2</v>
      </c>
      <c r="S210" s="56">
        <f t="shared" si="174"/>
        <v>4.3617173579516139E-2</v>
      </c>
      <c r="T210" s="56">
        <f t="shared" si="174"/>
        <v>3.3617173579516137E-2</v>
      </c>
      <c r="U210" s="56">
        <f>B213</f>
        <v>0.02</v>
      </c>
    </row>
    <row r="211" spans="1:21" ht="13.8" x14ac:dyDescent="0.25">
      <c r="A211" s="76"/>
      <c r="B211" s="23"/>
      <c r="C211" s="23"/>
      <c r="D211" s="23"/>
      <c r="E211" s="23"/>
      <c r="F211" s="23"/>
      <c r="G211" s="23"/>
      <c r="H211" s="23"/>
      <c r="I211" s="23"/>
      <c r="J211" s="27"/>
      <c r="K211" s="23"/>
      <c r="L211" s="23"/>
      <c r="M211" s="23"/>
      <c r="N211" s="23"/>
      <c r="O211" s="23"/>
      <c r="P211" s="94"/>
    </row>
    <row r="212" spans="1:21" ht="13.8" x14ac:dyDescent="0.25">
      <c r="A212" s="76"/>
      <c r="B212" s="23"/>
      <c r="C212" s="23"/>
      <c r="D212" s="23"/>
      <c r="E212" s="23"/>
      <c r="F212" s="23"/>
      <c r="G212" s="23"/>
      <c r="H212" s="23"/>
      <c r="I212" s="23"/>
      <c r="J212" s="27"/>
      <c r="K212" s="23"/>
      <c r="L212" s="23"/>
      <c r="M212" s="23"/>
      <c r="N212" s="23"/>
      <c r="O212" s="23"/>
      <c r="P212" s="23"/>
    </row>
    <row r="213" spans="1:21" ht="13.8" x14ac:dyDescent="0.25">
      <c r="A213" s="76" t="s">
        <v>108</v>
      </c>
      <c r="B213" s="77">
        <v>0.02</v>
      </c>
      <c r="C213" s="23"/>
      <c r="D213" s="23"/>
      <c r="E213" s="23"/>
      <c r="F213" s="23"/>
      <c r="G213" s="23"/>
      <c r="H213" s="23"/>
      <c r="I213" s="23"/>
      <c r="J213" s="27"/>
      <c r="K213" s="23"/>
      <c r="L213" s="23"/>
      <c r="M213" s="23"/>
      <c r="N213" s="23"/>
      <c r="O213" s="23"/>
      <c r="P213" s="23"/>
    </row>
    <row r="214" spans="1:21" ht="13.8" x14ac:dyDescent="0.25">
      <c r="A214" s="76" t="s">
        <v>109</v>
      </c>
      <c r="B214" s="77">
        <v>0.01</v>
      </c>
      <c r="C214" s="23"/>
      <c r="D214" s="23"/>
      <c r="E214" s="23"/>
      <c r="F214" s="23"/>
      <c r="G214" s="23"/>
      <c r="H214" s="23"/>
      <c r="I214" s="23"/>
      <c r="J214" s="27"/>
      <c r="K214" s="23"/>
      <c r="L214" s="23"/>
      <c r="M214" s="23"/>
      <c r="N214" s="23"/>
      <c r="O214" s="23"/>
      <c r="P214" s="23"/>
    </row>
    <row r="215" spans="1:21" ht="13.8" x14ac:dyDescent="0.25">
      <c r="A215" s="76" t="s">
        <v>110</v>
      </c>
      <c r="B215" s="73">
        <f>B216+B218*(B217-B216)</f>
        <v>0.12</v>
      </c>
      <c r="C215" s="23"/>
      <c r="D215" s="23"/>
      <c r="E215" s="23"/>
      <c r="F215" s="23"/>
      <c r="G215" s="23"/>
      <c r="H215" s="23"/>
      <c r="I215" s="23"/>
      <c r="J215" s="27"/>
      <c r="K215" s="23"/>
      <c r="L215" s="23"/>
      <c r="M215" s="23"/>
      <c r="N215" s="23"/>
      <c r="O215" s="23"/>
      <c r="P215" s="23"/>
    </row>
    <row r="216" spans="1:21" ht="13.8" x14ac:dyDescent="0.25">
      <c r="A216" s="76" t="s">
        <v>111</v>
      </c>
      <c r="B216" s="77">
        <v>7.0000000000000007E-2</v>
      </c>
      <c r="C216" s="23"/>
      <c r="D216" s="23"/>
      <c r="E216" s="23"/>
      <c r="F216" s="23"/>
      <c r="G216" s="23"/>
      <c r="H216" s="23"/>
      <c r="I216" s="23"/>
      <c r="J216" s="27"/>
      <c r="K216" s="23"/>
      <c r="L216" s="23"/>
      <c r="M216" s="23"/>
      <c r="N216" s="23"/>
      <c r="O216" s="23"/>
      <c r="P216" s="23"/>
    </row>
    <row r="217" spans="1:21" ht="13.8" x14ac:dyDescent="0.25">
      <c r="A217" s="76" t="s">
        <v>121</v>
      </c>
      <c r="B217" s="77">
        <v>0.12</v>
      </c>
      <c r="C217" s="23"/>
      <c r="D217" s="23"/>
      <c r="E217" s="23"/>
      <c r="F217" s="23"/>
      <c r="G217" s="23"/>
      <c r="H217" s="23"/>
      <c r="I217" s="23"/>
      <c r="J217" s="27"/>
      <c r="K217" s="23"/>
      <c r="L217" s="23"/>
      <c r="M217" s="23"/>
      <c r="N217" s="23"/>
      <c r="O217" s="23"/>
      <c r="P217" s="23"/>
    </row>
    <row r="218" spans="1:21" ht="13.8" x14ac:dyDescent="0.25">
      <c r="A218" s="76" t="s">
        <v>154</v>
      </c>
      <c r="B218" s="78">
        <v>1</v>
      </c>
      <c r="C218" s="23"/>
      <c r="D218" s="23"/>
      <c r="E218" s="23"/>
      <c r="F218" s="23"/>
      <c r="G218" s="23"/>
      <c r="H218" s="23"/>
      <c r="I218" s="23"/>
      <c r="J218" s="27"/>
      <c r="K218" s="23"/>
      <c r="L218" s="23"/>
      <c r="M218" s="23"/>
      <c r="N218" s="23"/>
      <c r="O218" s="23"/>
      <c r="P218" s="95"/>
    </row>
    <row r="219" spans="1:21" ht="13.8" x14ac:dyDescent="0.25">
      <c r="A219" s="76" t="s">
        <v>112</v>
      </c>
      <c r="B219" s="31">
        <f>SUM(K219:U219)</f>
        <v>49358.286968640547</v>
      </c>
      <c r="C219" s="23"/>
      <c r="D219" s="23"/>
      <c r="E219" s="23"/>
      <c r="F219" s="23"/>
      <c r="G219" s="23"/>
      <c r="H219" s="23"/>
      <c r="I219" s="23"/>
      <c r="J219" s="27"/>
      <c r="K219" s="79">
        <f t="shared" ref="K219:T219" si="175">-PV($B$215,K1-$J$1,,K208)</f>
        <v>1506.1641948150414</v>
      </c>
      <c r="L219" s="79">
        <f t="shared" si="175"/>
        <v>3395.8472154873098</v>
      </c>
      <c r="M219" s="79">
        <f t="shared" si="175"/>
        <v>3250.5109420944764</v>
      </c>
      <c r="N219" s="79">
        <f t="shared" si="175"/>
        <v>3112.9814024769967</v>
      </c>
      <c r="O219" s="79">
        <f t="shared" si="175"/>
        <v>2982.7051820095694</v>
      </c>
      <c r="P219" s="79">
        <f t="shared" si="175"/>
        <v>2859.1817027947232</v>
      </c>
      <c r="Q219" s="79">
        <f t="shared" si="175"/>
        <v>2715.2453227471356</v>
      </c>
      <c r="R219" s="79">
        <f t="shared" si="175"/>
        <v>2554.3116986855694</v>
      </c>
      <c r="S219" s="79">
        <f t="shared" si="175"/>
        <v>2380.1103173422557</v>
      </c>
      <c r="T219" s="79">
        <f t="shared" si="175"/>
        <v>2196.53830269531</v>
      </c>
      <c r="U219" s="79">
        <f>-PV($B$215,T1-$J$1,,U208)</f>
        <v>22404.690687492162</v>
      </c>
    </row>
    <row r="220" spans="1:21" ht="13.8" x14ac:dyDescent="0.25">
      <c r="A220" s="76" t="s">
        <v>113</v>
      </c>
      <c r="B220" s="28">
        <f>SUM(J78,J82,J83)</f>
        <v>5166.9600000000009</v>
      </c>
      <c r="C220" s="23"/>
      <c r="D220" s="23"/>
      <c r="E220" s="23"/>
      <c r="F220" s="23"/>
      <c r="G220" s="23"/>
      <c r="H220" s="23"/>
      <c r="I220" s="23"/>
      <c r="J220" s="27"/>
      <c r="K220" s="23"/>
      <c r="L220" s="23"/>
      <c r="M220" s="23"/>
      <c r="N220" s="23"/>
      <c r="O220" s="23"/>
      <c r="P220" s="94"/>
    </row>
    <row r="221" spans="1:21" ht="13.8" x14ac:dyDescent="0.25">
      <c r="A221" s="75" t="s">
        <v>114</v>
      </c>
      <c r="B221" s="66">
        <f>SUM(B219:B220)</f>
        <v>54525.246968640546</v>
      </c>
      <c r="C221" s="34" t="s">
        <v>155</v>
      </c>
      <c r="D221" s="23"/>
      <c r="E221" s="23"/>
      <c r="F221" s="23"/>
      <c r="G221" s="23"/>
      <c r="H221" s="23"/>
      <c r="I221" s="23"/>
      <c r="J221" s="27"/>
      <c r="K221" s="23"/>
      <c r="L221" s="23"/>
      <c r="M221" s="23"/>
      <c r="N221" s="23"/>
      <c r="O221" s="23"/>
      <c r="P221" s="23"/>
    </row>
    <row r="222" spans="1:21" ht="13.8" x14ac:dyDescent="0.25">
      <c r="A222" s="76" t="s">
        <v>115</v>
      </c>
      <c r="B222" s="79">
        <f>199921741/10^7</f>
        <v>19.9921741</v>
      </c>
      <c r="C222" s="23"/>
      <c r="D222" s="23"/>
      <c r="E222" s="23"/>
      <c r="F222" s="23"/>
      <c r="G222" s="23"/>
      <c r="H222" s="23"/>
      <c r="I222" s="23"/>
      <c r="J222" s="27"/>
      <c r="K222" s="23"/>
      <c r="L222" s="23"/>
      <c r="M222" s="23"/>
      <c r="N222" s="23"/>
      <c r="O222" s="23"/>
      <c r="P222" s="23"/>
    </row>
    <row r="223" spans="1:21" ht="13.8" x14ac:dyDescent="0.25">
      <c r="A223" s="76" t="s">
        <v>116</v>
      </c>
      <c r="B223" s="79">
        <f>B221/B222</f>
        <v>2727.3295388439292</v>
      </c>
      <c r="C223" s="23"/>
      <c r="D223" s="23"/>
      <c r="E223" s="23"/>
      <c r="F223" s="23"/>
      <c r="G223" s="23"/>
      <c r="H223" s="23"/>
      <c r="I223" s="23"/>
      <c r="J223" s="27"/>
      <c r="K223" s="23"/>
      <c r="L223" s="23"/>
      <c r="M223" s="23"/>
      <c r="N223" s="23"/>
      <c r="O223" s="23"/>
      <c r="P223" s="23"/>
    </row>
    <row r="224" spans="1:21" ht="13.8" x14ac:dyDescent="0.25">
      <c r="A224" s="75" t="s">
        <v>117</v>
      </c>
      <c r="B224" s="79">
        <v>5418</v>
      </c>
      <c r="C224" s="23"/>
      <c r="D224" s="23"/>
      <c r="E224" s="23"/>
      <c r="F224" s="23"/>
      <c r="G224" s="23"/>
      <c r="H224" s="23"/>
      <c r="I224" s="23"/>
      <c r="J224" s="27"/>
      <c r="K224" s="23"/>
      <c r="L224" s="23"/>
      <c r="M224" s="23"/>
      <c r="N224" s="23"/>
      <c r="O224" s="23"/>
      <c r="P224" s="23"/>
    </row>
    <row r="225" spans="1:16" ht="13.2" x14ac:dyDescent="0.25">
      <c r="A225" s="34" t="s">
        <v>97</v>
      </c>
      <c r="B225" s="79">
        <f>B224-B223</f>
        <v>2690.6704611560708</v>
      </c>
      <c r="C225" s="23"/>
      <c r="D225" s="23"/>
      <c r="E225" s="23"/>
      <c r="F225" s="23"/>
      <c r="G225" s="23"/>
      <c r="H225" s="23"/>
      <c r="I225" s="23"/>
      <c r="J225" s="27"/>
      <c r="K225" s="23"/>
      <c r="L225" s="23"/>
      <c r="M225" s="23"/>
      <c r="N225" s="23"/>
      <c r="O225" s="23"/>
      <c r="P225" s="23"/>
    </row>
    <row r="226" spans="1:16" ht="13.8" x14ac:dyDescent="0.25">
      <c r="A226" s="84"/>
      <c r="J226" s="85"/>
    </row>
    <row r="227" spans="1:16" ht="13.8" x14ac:dyDescent="0.25">
      <c r="A227" s="84"/>
      <c r="J227" s="85"/>
    </row>
    <row r="228" spans="1:16" ht="13.8" x14ac:dyDescent="0.25">
      <c r="A228" s="84"/>
      <c r="J228" s="85"/>
    </row>
    <row r="229" spans="1:16" ht="13.8" x14ac:dyDescent="0.25">
      <c r="A229" s="84"/>
      <c r="J229" s="85"/>
    </row>
    <row r="230" spans="1:16" ht="13.8" x14ac:dyDescent="0.25">
      <c r="A230" s="84"/>
      <c r="J230" s="85"/>
    </row>
    <row r="231" spans="1:16" ht="13.8" x14ac:dyDescent="0.25">
      <c r="A231" s="84"/>
      <c r="J231" s="85"/>
    </row>
    <row r="232" spans="1:16" ht="13.8" x14ac:dyDescent="0.25">
      <c r="A232" s="84"/>
      <c r="J232" s="85"/>
    </row>
    <row r="233" spans="1:16" ht="13.8" x14ac:dyDescent="0.25">
      <c r="A233" s="84"/>
      <c r="J233" s="85"/>
    </row>
    <row r="234" spans="1:16" ht="13.8" x14ac:dyDescent="0.25">
      <c r="A234" s="84"/>
      <c r="J234" s="85"/>
    </row>
    <row r="235" spans="1:16" ht="13.8" x14ac:dyDescent="0.25">
      <c r="A235" s="84"/>
      <c r="J235" s="85"/>
    </row>
    <row r="236" spans="1:16" ht="13.8" x14ac:dyDescent="0.25">
      <c r="A236" s="84"/>
      <c r="J236" s="85"/>
    </row>
    <row r="237" spans="1:16" ht="13.8" x14ac:dyDescent="0.25">
      <c r="A237" s="84"/>
      <c r="J237" s="85"/>
    </row>
    <row r="238" spans="1:16" ht="13.8" x14ac:dyDescent="0.25">
      <c r="A238" s="84"/>
      <c r="J238" s="85"/>
    </row>
    <row r="239" spans="1:16" ht="13.8" x14ac:dyDescent="0.25">
      <c r="A239" s="84"/>
      <c r="J239" s="85"/>
    </row>
    <row r="240" spans="1:16" ht="13.8" x14ac:dyDescent="0.25">
      <c r="A240" s="84"/>
      <c r="J240" s="85"/>
    </row>
    <row r="241" spans="1:10" ht="13.8" x14ac:dyDescent="0.25">
      <c r="A241" s="84"/>
      <c r="J241" s="85"/>
    </row>
    <row r="242" spans="1:10" ht="13.8" x14ac:dyDescent="0.25">
      <c r="A242" s="84"/>
      <c r="J242" s="85"/>
    </row>
    <row r="243" spans="1:10" ht="13.8" x14ac:dyDescent="0.25">
      <c r="A243" s="84"/>
      <c r="J243" s="85"/>
    </row>
    <row r="244" spans="1:10" ht="13.8" x14ac:dyDescent="0.25">
      <c r="A244" s="84"/>
      <c r="J244" s="85"/>
    </row>
    <row r="245" spans="1:10" ht="13.8" x14ac:dyDescent="0.25">
      <c r="A245" s="84"/>
      <c r="J245" s="85"/>
    </row>
    <row r="246" spans="1:10" ht="13.8" x14ac:dyDescent="0.25">
      <c r="A246" s="84"/>
      <c r="J246" s="85"/>
    </row>
    <row r="247" spans="1:10" ht="13.8" x14ac:dyDescent="0.25">
      <c r="A247" s="84"/>
      <c r="J247" s="85"/>
    </row>
    <row r="248" spans="1:10" ht="13.8" x14ac:dyDescent="0.25">
      <c r="A248" s="84"/>
      <c r="J248" s="85"/>
    </row>
    <row r="249" spans="1:10" ht="13.8" x14ac:dyDescent="0.25">
      <c r="A249" s="84"/>
      <c r="J249" s="85"/>
    </row>
    <row r="250" spans="1:10" ht="13.8" x14ac:dyDescent="0.25">
      <c r="A250" s="84"/>
      <c r="J250" s="85"/>
    </row>
    <row r="251" spans="1:10" ht="13.8" x14ac:dyDescent="0.25">
      <c r="A251" s="84"/>
    </row>
    <row r="252" spans="1:10" ht="13.8" x14ac:dyDescent="0.25">
      <c r="A252" s="84"/>
    </row>
    <row r="253" spans="1:10" ht="13.8" x14ac:dyDescent="0.25">
      <c r="A253" s="84"/>
    </row>
    <row r="254" spans="1:10" ht="13.8" x14ac:dyDescent="0.25">
      <c r="A254" s="84"/>
    </row>
    <row r="255" spans="1:10" ht="13.8" x14ac:dyDescent="0.25">
      <c r="A255" s="84"/>
    </row>
    <row r="256" spans="1:10" ht="13.8" x14ac:dyDescent="0.25">
      <c r="A256" s="84"/>
    </row>
    <row r="257" spans="1:1" ht="13.8" x14ac:dyDescent="0.25">
      <c r="A257" s="84"/>
    </row>
    <row r="258" spans="1:1" ht="13.8" x14ac:dyDescent="0.25">
      <c r="A258" s="84"/>
    </row>
    <row r="259" spans="1:1" ht="13.8" x14ac:dyDescent="0.25">
      <c r="A259" s="84"/>
    </row>
    <row r="260" spans="1:1" ht="13.8" x14ac:dyDescent="0.25">
      <c r="A260" s="84"/>
    </row>
    <row r="261" spans="1:1" ht="13.8" x14ac:dyDescent="0.25">
      <c r="A261" s="84"/>
    </row>
    <row r="262" spans="1:1" ht="13.8" x14ac:dyDescent="0.25">
      <c r="A262" s="84"/>
    </row>
    <row r="263" spans="1:1" ht="13.8" x14ac:dyDescent="0.25">
      <c r="A263" s="84"/>
    </row>
    <row r="264" spans="1:1" ht="13.8" x14ac:dyDescent="0.25">
      <c r="A264" s="84"/>
    </row>
    <row r="265" spans="1:1" ht="13.8" x14ac:dyDescent="0.25">
      <c r="A265" s="84"/>
    </row>
    <row r="266" spans="1:1" ht="13.8" x14ac:dyDescent="0.25">
      <c r="A266" s="84"/>
    </row>
    <row r="267" spans="1:1" ht="13.8" x14ac:dyDescent="0.25">
      <c r="A267" s="84"/>
    </row>
    <row r="268" spans="1:1" ht="13.8" x14ac:dyDescent="0.25">
      <c r="A268" s="84"/>
    </row>
    <row r="269" spans="1:1" ht="13.8" x14ac:dyDescent="0.25">
      <c r="A269" s="84"/>
    </row>
    <row r="270" spans="1:1" ht="13.8" x14ac:dyDescent="0.25">
      <c r="A270" s="84"/>
    </row>
    <row r="271" spans="1:1" ht="13.8" x14ac:dyDescent="0.25">
      <c r="A271" s="84"/>
    </row>
    <row r="272" spans="1:1" ht="13.8" x14ac:dyDescent="0.25">
      <c r="A272" s="84"/>
    </row>
    <row r="273" spans="1:1" ht="13.8" x14ac:dyDescent="0.25">
      <c r="A273" s="84"/>
    </row>
    <row r="274" spans="1:1" ht="13.8" x14ac:dyDescent="0.25">
      <c r="A274" s="84"/>
    </row>
    <row r="275" spans="1:1" ht="13.8" x14ac:dyDescent="0.25">
      <c r="A275" s="84"/>
    </row>
    <row r="276" spans="1:1" ht="13.8" x14ac:dyDescent="0.25">
      <c r="A276" s="84"/>
    </row>
    <row r="277" spans="1:1" ht="13.8" x14ac:dyDescent="0.25">
      <c r="A277" s="84"/>
    </row>
    <row r="278" spans="1:1" ht="13.8" x14ac:dyDescent="0.25">
      <c r="A278" s="84"/>
    </row>
    <row r="279" spans="1:1" ht="13.8" x14ac:dyDescent="0.25">
      <c r="A279" s="84"/>
    </row>
    <row r="280" spans="1:1" ht="13.8" x14ac:dyDescent="0.25">
      <c r="A280" s="84"/>
    </row>
    <row r="281" spans="1:1" ht="13.8" x14ac:dyDescent="0.25">
      <c r="A281" s="84"/>
    </row>
    <row r="282" spans="1:1" ht="13.8" x14ac:dyDescent="0.25">
      <c r="A282" s="84"/>
    </row>
    <row r="283" spans="1:1" ht="13.8" x14ac:dyDescent="0.25">
      <c r="A283" s="84"/>
    </row>
    <row r="284" spans="1:1" ht="13.8" x14ac:dyDescent="0.25">
      <c r="A284" s="84"/>
    </row>
    <row r="285" spans="1:1" ht="13.8" x14ac:dyDescent="0.25">
      <c r="A285" s="84"/>
    </row>
    <row r="286" spans="1:1" ht="13.8" x14ac:dyDescent="0.25">
      <c r="A286" s="84"/>
    </row>
    <row r="287" spans="1:1" ht="13.8" x14ac:dyDescent="0.25">
      <c r="A287" s="84"/>
    </row>
    <row r="288" spans="1:1" ht="13.8" x14ac:dyDescent="0.25">
      <c r="A288" s="84"/>
    </row>
    <row r="289" spans="1:1" ht="13.8" x14ac:dyDescent="0.25">
      <c r="A289" s="84"/>
    </row>
    <row r="290" spans="1:1" ht="13.8" x14ac:dyDescent="0.25">
      <c r="A290" s="84"/>
    </row>
    <row r="291" spans="1:1" ht="13.8" x14ac:dyDescent="0.25">
      <c r="A291" s="84"/>
    </row>
    <row r="292" spans="1:1" ht="13.8" x14ac:dyDescent="0.25">
      <c r="A292" s="84"/>
    </row>
    <row r="293" spans="1:1" ht="13.8" x14ac:dyDescent="0.25">
      <c r="A293" s="84"/>
    </row>
    <row r="294" spans="1:1" ht="13.8" x14ac:dyDescent="0.25">
      <c r="A294" s="84"/>
    </row>
    <row r="295" spans="1:1" ht="13.8" x14ac:dyDescent="0.25">
      <c r="A295" s="84"/>
    </row>
    <row r="296" spans="1:1" ht="13.8" x14ac:dyDescent="0.25">
      <c r="A296" s="84"/>
    </row>
    <row r="297" spans="1:1" ht="13.8" x14ac:dyDescent="0.25">
      <c r="A297" s="84"/>
    </row>
    <row r="298" spans="1:1" ht="13.8" x14ac:dyDescent="0.25">
      <c r="A298" s="84"/>
    </row>
    <row r="299" spans="1:1" ht="13.8" x14ac:dyDescent="0.25">
      <c r="A299" s="84"/>
    </row>
    <row r="300" spans="1:1" ht="13.8" x14ac:dyDescent="0.25">
      <c r="A300" s="84"/>
    </row>
    <row r="301" spans="1:1" ht="13.8" x14ac:dyDescent="0.25">
      <c r="A301" s="84"/>
    </row>
    <row r="302" spans="1:1" ht="13.8" x14ac:dyDescent="0.25">
      <c r="A302" s="84"/>
    </row>
    <row r="303" spans="1:1" ht="13.8" x14ac:dyDescent="0.25">
      <c r="A303" s="84"/>
    </row>
    <row r="304" spans="1:1" ht="13.8" x14ac:dyDescent="0.25">
      <c r="A304" s="84"/>
    </row>
    <row r="305" spans="1:1" ht="13.8" x14ac:dyDescent="0.25">
      <c r="A305" s="84"/>
    </row>
    <row r="306" spans="1:1" ht="13.8" x14ac:dyDescent="0.25">
      <c r="A306" s="84"/>
    </row>
    <row r="307" spans="1:1" ht="13.8" x14ac:dyDescent="0.25">
      <c r="A307" s="84"/>
    </row>
    <row r="308" spans="1:1" ht="13.8" x14ac:dyDescent="0.25">
      <c r="A308" s="84"/>
    </row>
    <row r="309" spans="1:1" ht="13.8" x14ac:dyDescent="0.25">
      <c r="A309" s="84"/>
    </row>
    <row r="310" spans="1:1" ht="13.8" x14ac:dyDescent="0.25">
      <c r="A310" s="84"/>
    </row>
    <row r="311" spans="1:1" ht="13.8" x14ac:dyDescent="0.25">
      <c r="A311" s="84"/>
    </row>
    <row r="312" spans="1:1" ht="13.8" x14ac:dyDescent="0.25">
      <c r="A312" s="84"/>
    </row>
    <row r="313" spans="1:1" ht="13.8" x14ac:dyDescent="0.25">
      <c r="A313" s="84"/>
    </row>
    <row r="314" spans="1:1" ht="13.8" x14ac:dyDescent="0.25">
      <c r="A314" s="84"/>
    </row>
    <row r="315" spans="1:1" ht="13.8" x14ac:dyDescent="0.25">
      <c r="A315" s="84"/>
    </row>
    <row r="316" spans="1:1" ht="13.8" x14ac:dyDescent="0.25">
      <c r="A316" s="84"/>
    </row>
    <row r="317" spans="1:1" ht="13.8" x14ac:dyDescent="0.25">
      <c r="A317" s="84"/>
    </row>
    <row r="318" spans="1:1" ht="13.8" x14ac:dyDescent="0.25">
      <c r="A318" s="84"/>
    </row>
    <row r="319" spans="1:1" ht="13.8" x14ac:dyDescent="0.25">
      <c r="A319" s="84"/>
    </row>
    <row r="320" spans="1:1" ht="13.8" x14ac:dyDescent="0.25">
      <c r="A320" s="84"/>
    </row>
    <row r="321" spans="1:1" ht="13.8" x14ac:dyDescent="0.25">
      <c r="A321" s="84"/>
    </row>
    <row r="322" spans="1:1" ht="13.8" x14ac:dyDescent="0.25">
      <c r="A322" s="84"/>
    </row>
    <row r="323" spans="1:1" ht="13.8" x14ac:dyDescent="0.25">
      <c r="A323" s="84"/>
    </row>
    <row r="324" spans="1:1" ht="13.8" x14ac:dyDescent="0.25">
      <c r="A324" s="84"/>
    </row>
    <row r="325" spans="1:1" ht="13.8" x14ac:dyDescent="0.25">
      <c r="A325" s="84"/>
    </row>
    <row r="326" spans="1:1" ht="13.8" x14ac:dyDescent="0.25">
      <c r="A326" s="84"/>
    </row>
    <row r="327" spans="1:1" ht="13.8" x14ac:dyDescent="0.25">
      <c r="A327" s="84"/>
    </row>
    <row r="328" spans="1:1" ht="13.8" x14ac:dyDescent="0.25">
      <c r="A328" s="84"/>
    </row>
    <row r="329" spans="1:1" ht="13.8" x14ac:dyDescent="0.25">
      <c r="A329" s="84"/>
    </row>
    <row r="330" spans="1:1" ht="13.8" x14ac:dyDescent="0.25">
      <c r="A330" s="84"/>
    </row>
    <row r="331" spans="1:1" ht="13.8" x14ac:dyDescent="0.25">
      <c r="A331" s="84"/>
    </row>
    <row r="332" spans="1:1" ht="13.8" x14ac:dyDescent="0.25">
      <c r="A332" s="84"/>
    </row>
    <row r="333" spans="1:1" ht="13.8" x14ac:dyDescent="0.25">
      <c r="A333" s="84"/>
    </row>
    <row r="334" spans="1:1" ht="13.8" x14ac:dyDescent="0.25">
      <c r="A334" s="84"/>
    </row>
    <row r="335" spans="1:1" ht="13.8" x14ac:dyDescent="0.25">
      <c r="A335" s="84"/>
    </row>
    <row r="336" spans="1:1" ht="13.8" x14ac:dyDescent="0.25">
      <c r="A336" s="84"/>
    </row>
    <row r="337" spans="1:1" ht="13.8" x14ac:dyDescent="0.25">
      <c r="A337" s="84"/>
    </row>
    <row r="338" spans="1:1" ht="13.8" x14ac:dyDescent="0.25">
      <c r="A338" s="84"/>
    </row>
    <row r="339" spans="1:1" ht="13.8" x14ac:dyDescent="0.25">
      <c r="A339" s="84"/>
    </row>
    <row r="340" spans="1:1" ht="13.8" x14ac:dyDescent="0.25">
      <c r="A340" s="84"/>
    </row>
    <row r="341" spans="1:1" ht="13.8" x14ac:dyDescent="0.25">
      <c r="A341" s="84"/>
    </row>
    <row r="342" spans="1:1" ht="13.8" x14ac:dyDescent="0.25">
      <c r="A342" s="84"/>
    </row>
    <row r="343" spans="1:1" ht="13.8" x14ac:dyDescent="0.25">
      <c r="A343" s="84"/>
    </row>
    <row r="344" spans="1:1" ht="13.8" x14ac:dyDescent="0.25">
      <c r="A344" s="84"/>
    </row>
    <row r="345" spans="1:1" ht="13.8" x14ac:dyDescent="0.25">
      <c r="A345" s="84"/>
    </row>
    <row r="346" spans="1:1" ht="13.8" x14ac:dyDescent="0.25">
      <c r="A346" s="84"/>
    </row>
    <row r="347" spans="1:1" ht="13.8" x14ac:dyDescent="0.25">
      <c r="A347" s="84"/>
    </row>
    <row r="348" spans="1:1" ht="13.8" x14ac:dyDescent="0.25">
      <c r="A348" s="84"/>
    </row>
    <row r="349" spans="1:1" ht="13.8" x14ac:dyDescent="0.25">
      <c r="A349" s="84"/>
    </row>
    <row r="350" spans="1:1" ht="13.8" x14ac:dyDescent="0.25">
      <c r="A350" s="84"/>
    </row>
    <row r="351" spans="1:1" ht="13.8" x14ac:dyDescent="0.25">
      <c r="A351" s="84"/>
    </row>
    <row r="352" spans="1:1" ht="13.8" x14ac:dyDescent="0.25">
      <c r="A352" s="84"/>
    </row>
    <row r="353" spans="1:1" ht="13.8" x14ac:dyDescent="0.25">
      <c r="A353" s="84"/>
    </row>
    <row r="354" spans="1:1" ht="13.8" x14ac:dyDescent="0.25">
      <c r="A354" s="84"/>
    </row>
    <row r="355" spans="1:1" ht="13.8" x14ac:dyDescent="0.25">
      <c r="A355" s="84"/>
    </row>
    <row r="356" spans="1:1" ht="13.8" x14ac:dyDescent="0.25">
      <c r="A356" s="84"/>
    </row>
    <row r="357" spans="1:1" ht="13.8" x14ac:dyDescent="0.25">
      <c r="A357" s="84"/>
    </row>
    <row r="358" spans="1:1" ht="13.8" x14ac:dyDescent="0.25">
      <c r="A358" s="84"/>
    </row>
    <row r="359" spans="1:1" ht="13.8" x14ac:dyDescent="0.25">
      <c r="A359" s="84"/>
    </row>
    <row r="360" spans="1:1" ht="13.8" x14ac:dyDescent="0.25">
      <c r="A360" s="84"/>
    </row>
    <row r="361" spans="1:1" ht="13.8" x14ac:dyDescent="0.25">
      <c r="A361" s="84"/>
    </row>
    <row r="362" spans="1:1" ht="13.8" x14ac:dyDescent="0.25">
      <c r="A362" s="84"/>
    </row>
    <row r="363" spans="1:1" ht="13.8" x14ac:dyDescent="0.25">
      <c r="A363" s="84"/>
    </row>
    <row r="364" spans="1:1" ht="13.8" x14ac:dyDescent="0.25">
      <c r="A364" s="84"/>
    </row>
    <row r="365" spans="1:1" ht="13.8" x14ac:dyDescent="0.25">
      <c r="A365" s="84"/>
    </row>
    <row r="366" spans="1:1" ht="13.8" x14ac:dyDescent="0.25">
      <c r="A366" s="84"/>
    </row>
    <row r="367" spans="1:1" ht="13.8" x14ac:dyDescent="0.25">
      <c r="A367" s="84"/>
    </row>
    <row r="368" spans="1:1" ht="13.8" x14ac:dyDescent="0.25">
      <c r="A368" s="84"/>
    </row>
    <row r="369" spans="1:1" ht="13.8" x14ac:dyDescent="0.25">
      <c r="A369" s="84"/>
    </row>
    <row r="370" spans="1:1" ht="13.8" x14ac:dyDescent="0.25">
      <c r="A370" s="84"/>
    </row>
    <row r="371" spans="1:1" ht="13.8" x14ac:dyDescent="0.25">
      <c r="A371" s="84"/>
    </row>
    <row r="372" spans="1:1" ht="13.8" x14ac:dyDescent="0.25">
      <c r="A372" s="84"/>
    </row>
    <row r="373" spans="1:1" ht="13.8" x14ac:dyDescent="0.25">
      <c r="A373" s="84"/>
    </row>
    <row r="374" spans="1:1" ht="13.8" x14ac:dyDescent="0.25">
      <c r="A374" s="84"/>
    </row>
    <row r="375" spans="1:1" ht="13.8" x14ac:dyDescent="0.25">
      <c r="A375" s="84"/>
    </row>
    <row r="376" spans="1:1" ht="13.8" x14ac:dyDescent="0.25">
      <c r="A376" s="84"/>
    </row>
    <row r="377" spans="1:1" ht="13.8" x14ac:dyDescent="0.25">
      <c r="A377" s="84"/>
    </row>
    <row r="378" spans="1:1" ht="13.8" x14ac:dyDescent="0.25">
      <c r="A378" s="84"/>
    </row>
    <row r="379" spans="1:1" ht="13.8" x14ac:dyDescent="0.25">
      <c r="A379" s="84"/>
    </row>
    <row r="380" spans="1:1" ht="13.8" x14ac:dyDescent="0.25">
      <c r="A380" s="84"/>
    </row>
    <row r="381" spans="1:1" ht="13.8" x14ac:dyDescent="0.25">
      <c r="A381" s="84"/>
    </row>
    <row r="382" spans="1:1" ht="13.8" x14ac:dyDescent="0.25">
      <c r="A382" s="84"/>
    </row>
    <row r="383" spans="1:1" ht="13.8" x14ac:dyDescent="0.25">
      <c r="A383" s="84"/>
    </row>
    <row r="384" spans="1:1" ht="13.8" x14ac:dyDescent="0.25">
      <c r="A384" s="84"/>
    </row>
    <row r="385" spans="1:1" ht="13.8" x14ac:dyDescent="0.25">
      <c r="A385" s="84"/>
    </row>
    <row r="386" spans="1:1" ht="13.8" x14ac:dyDescent="0.25">
      <c r="A386" s="84"/>
    </row>
    <row r="387" spans="1:1" ht="13.8" x14ac:dyDescent="0.25">
      <c r="A387" s="84"/>
    </row>
    <row r="388" spans="1:1" ht="13.8" x14ac:dyDescent="0.25">
      <c r="A388" s="84"/>
    </row>
    <row r="389" spans="1:1" ht="13.8" x14ac:dyDescent="0.25">
      <c r="A389" s="84"/>
    </row>
    <row r="390" spans="1:1" ht="13.8" x14ac:dyDescent="0.25">
      <c r="A390" s="84"/>
    </row>
    <row r="391" spans="1:1" ht="13.8" x14ac:dyDescent="0.25">
      <c r="A391" s="84"/>
    </row>
    <row r="392" spans="1:1" ht="13.8" x14ac:dyDescent="0.25">
      <c r="A392" s="84"/>
    </row>
    <row r="393" spans="1:1" ht="13.8" x14ac:dyDescent="0.25">
      <c r="A393" s="84"/>
    </row>
    <row r="394" spans="1:1" ht="13.8" x14ac:dyDescent="0.25">
      <c r="A394" s="84"/>
    </row>
    <row r="395" spans="1:1" ht="13.8" x14ac:dyDescent="0.25">
      <c r="A395" s="84"/>
    </row>
    <row r="396" spans="1:1" ht="13.8" x14ac:dyDescent="0.25">
      <c r="A396" s="84"/>
    </row>
    <row r="397" spans="1:1" ht="13.8" x14ac:dyDescent="0.25">
      <c r="A397" s="84"/>
    </row>
    <row r="398" spans="1:1" ht="13.8" x14ac:dyDescent="0.25">
      <c r="A398" s="84"/>
    </row>
    <row r="399" spans="1:1" ht="13.8" x14ac:dyDescent="0.25">
      <c r="A399" s="84"/>
    </row>
    <row r="400" spans="1:1" ht="13.8" x14ac:dyDescent="0.25">
      <c r="A400" s="84"/>
    </row>
    <row r="401" spans="1:1" ht="13.8" x14ac:dyDescent="0.25">
      <c r="A401" s="84"/>
    </row>
    <row r="402" spans="1:1" ht="13.8" x14ac:dyDescent="0.25">
      <c r="A402" s="84"/>
    </row>
    <row r="403" spans="1:1" ht="13.8" x14ac:dyDescent="0.25">
      <c r="A403" s="84"/>
    </row>
    <row r="404" spans="1:1" ht="13.8" x14ac:dyDescent="0.25">
      <c r="A404" s="84"/>
    </row>
    <row r="405" spans="1:1" ht="13.8" x14ac:dyDescent="0.25">
      <c r="A405" s="84"/>
    </row>
    <row r="406" spans="1:1" ht="13.8" x14ac:dyDescent="0.25">
      <c r="A406" s="84"/>
    </row>
    <row r="407" spans="1:1" ht="13.8" x14ac:dyDescent="0.25">
      <c r="A407" s="84"/>
    </row>
    <row r="408" spans="1:1" ht="13.8" x14ac:dyDescent="0.25">
      <c r="A408" s="84"/>
    </row>
    <row r="409" spans="1:1" ht="13.8" x14ac:dyDescent="0.25">
      <c r="A409" s="84"/>
    </row>
    <row r="410" spans="1:1" ht="13.8" x14ac:dyDescent="0.25">
      <c r="A410" s="84"/>
    </row>
    <row r="411" spans="1:1" ht="13.8" x14ac:dyDescent="0.25">
      <c r="A411" s="84"/>
    </row>
    <row r="412" spans="1:1" ht="13.8" x14ac:dyDescent="0.25">
      <c r="A412" s="84"/>
    </row>
    <row r="413" spans="1:1" ht="13.8" x14ac:dyDescent="0.25">
      <c r="A413" s="84"/>
    </row>
    <row r="414" spans="1:1" ht="13.8" x14ac:dyDescent="0.25">
      <c r="A414" s="84"/>
    </row>
    <row r="415" spans="1:1" ht="13.8" x14ac:dyDescent="0.25">
      <c r="A415" s="84"/>
    </row>
    <row r="416" spans="1:1" ht="13.8" x14ac:dyDescent="0.25">
      <c r="A416" s="84"/>
    </row>
    <row r="417" spans="1:1" ht="13.8" x14ac:dyDescent="0.25">
      <c r="A417" s="84"/>
    </row>
    <row r="418" spans="1:1" ht="13.8" x14ac:dyDescent="0.25">
      <c r="A418" s="84"/>
    </row>
    <row r="419" spans="1:1" ht="13.8" x14ac:dyDescent="0.25">
      <c r="A419" s="84"/>
    </row>
    <row r="420" spans="1:1" ht="13.8" x14ac:dyDescent="0.25">
      <c r="A420" s="84"/>
    </row>
    <row r="421" spans="1:1" ht="13.8" x14ac:dyDescent="0.25">
      <c r="A421" s="84"/>
    </row>
    <row r="422" spans="1:1" ht="13.8" x14ac:dyDescent="0.25">
      <c r="A422" s="84"/>
    </row>
    <row r="423" spans="1:1" ht="13.8" x14ac:dyDescent="0.25">
      <c r="A423" s="84"/>
    </row>
    <row r="424" spans="1:1" ht="13.8" x14ac:dyDescent="0.25">
      <c r="A424" s="84"/>
    </row>
    <row r="425" spans="1:1" ht="13.8" x14ac:dyDescent="0.25">
      <c r="A425" s="84"/>
    </row>
    <row r="426" spans="1:1" ht="13.8" x14ac:dyDescent="0.25">
      <c r="A426" s="84"/>
    </row>
    <row r="427" spans="1:1" ht="13.8" x14ac:dyDescent="0.25">
      <c r="A427" s="84"/>
    </row>
    <row r="428" spans="1:1" ht="13.8" x14ac:dyDescent="0.25">
      <c r="A428" s="84"/>
    </row>
    <row r="429" spans="1:1" ht="13.8" x14ac:dyDescent="0.25">
      <c r="A429" s="84"/>
    </row>
    <row r="430" spans="1:1" ht="13.8" x14ac:dyDescent="0.25">
      <c r="A430" s="84"/>
    </row>
    <row r="431" spans="1:1" ht="13.8" x14ac:dyDescent="0.25">
      <c r="A431" s="84"/>
    </row>
    <row r="432" spans="1:1" ht="13.8" x14ac:dyDescent="0.25">
      <c r="A432" s="84"/>
    </row>
    <row r="433" spans="1:1" ht="13.8" x14ac:dyDescent="0.25">
      <c r="A433" s="84"/>
    </row>
    <row r="434" spans="1:1" ht="13.8" x14ac:dyDescent="0.25">
      <c r="A434" s="84"/>
    </row>
    <row r="435" spans="1:1" ht="13.8" x14ac:dyDescent="0.25">
      <c r="A435" s="84"/>
    </row>
    <row r="436" spans="1:1" ht="13.8" x14ac:dyDescent="0.25">
      <c r="A436" s="84"/>
    </row>
    <row r="437" spans="1:1" ht="13.8" x14ac:dyDescent="0.25">
      <c r="A437" s="84"/>
    </row>
    <row r="438" spans="1:1" ht="13.8" x14ac:dyDescent="0.25">
      <c r="A438" s="84"/>
    </row>
    <row r="439" spans="1:1" ht="13.8" x14ac:dyDescent="0.25">
      <c r="A439" s="84"/>
    </row>
    <row r="440" spans="1:1" ht="13.8" x14ac:dyDescent="0.25">
      <c r="A440" s="84"/>
    </row>
    <row r="441" spans="1:1" ht="13.8" x14ac:dyDescent="0.25">
      <c r="A441" s="84"/>
    </row>
    <row r="442" spans="1:1" ht="13.8" x14ac:dyDescent="0.25">
      <c r="A442" s="84"/>
    </row>
    <row r="443" spans="1:1" ht="13.8" x14ac:dyDescent="0.25">
      <c r="A443" s="84"/>
    </row>
    <row r="444" spans="1:1" ht="13.8" x14ac:dyDescent="0.25">
      <c r="A444" s="84"/>
    </row>
    <row r="445" spans="1:1" ht="13.8" x14ac:dyDescent="0.25">
      <c r="A445" s="84"/>
    </row>
    <row r="446" spans="1:1" ht="13.8" x14ac:dyDescent="0.25">
      <c r="A446" s="84"/>
    </row>
    <row r="447" spans="1:1" ht="13.8" x14ac:dyDescent="0.25">
      <c r="A447" s="84"/>
    </row>
    <row r="448" spans="1:1" ht="13.8" x14ac:dyDescent="0.25">
      <c r="A448" s="84"/>
    </row>
    <row r="449" spans="1:1" ht="13.8" x14ac:dyDescent="0.25">
      <c r="A449" s="84"/>
    </row>
    <row r="450" spans="1:1" ht="13.8" x14ac:dyDescent="0.25">
      <c r="A450" s="84"/>
    </row>
    <row r="451" spans="1:1" ht="13.8" x14ac:dyDescent="0.25">
      <c r="A451" s="84"/>
    </row>
    <row r="452" spans="1:1" ht="13.8" x14ac:dyDescent="0.25">
      <c r="A452" s="84"/>
    </row>
    <row r="453" spans="1:1" ht="13.8" x14ac:dyDescent="0.25">
      <c r="A453" s="84"/>
    </row>
    <row r="454" spans="1:1" ht="13.8" x14ac:dyDescent="0.25">
      <c r="A454" s="84"/>
    </row>
    <row r="455" spans="1:1" ht="13.8" x14ac:dyDescent="0.25">
      <c r="A455" s="84"/>
    </row>
    <row r="456" spans="1:1" ht="13.8" x14ac:dyDescent="0.25">
      <c r="A456" s="84"/>
    </row>
    <row r="457" spans="1:1" ht="13.8" x14ac:dyDescent="0.25">
      <c r="A457" s="84"/>
    </row>
    <row r="458" spans="1:1" ht="13.8" x14ac:dyDescent="0.25">
      <c r="A458" s="84"/>
    </row>
    <row r="459" spans="1:1" ht="13.8" x14ac:dyDescent="0.25">
      <c r="A459" s="84"/>
    </row>
    <row r="460" spans="1:1" ht="13.8" x14ac:dyDescent="0.25">
      <c r="A460" s="84"/>
    </row>
    <row r="461" spans="1:1" ht="13.8" x14ac:dyDescent="0.25">
      <c r="A461" s="84"/>
    </row>
    <row r="462" spans="1:1" ht="13.8" x14ac:dyDescent="0.25">
      <c r="A462" s="84"/>
    </row>
    <row r="463" spans="1:1" ht="13.8" x14ac:dyDescent="0.25">
      <c r="A463" s="84"/>
    </row>
    <row r="464" spans="1:1" ht="13.8" x14ac:dyDescent="0.25">
      <c r="A464" s="84"/>
    </row>
    <row r="465" spans="1:1" ht="13.8" x14ac:dyDescent="0.25">
      <c r="A465" s="84"/>
    </row>
    <row r="466" spans="1:1" ht="13.8" x14ac:dyDescent="0.25">
      <c r="A466" s="84"/>
    </row>
    <row r="467" spans="1:1" ht="13.8" x14ac:dyDescent="0.25">
      <c r="A467" s="84"/>
    </row>
    <row r="468" spans="1:1" ht="13.8" x14ac:dyDescent="0.25">
      <c r="A468" s="84"/>
    </row>
    <row r="469" spans="1:1" ht="13.8" x14ac:dyDescent="0.25">
      <c r="A469" s="84"/>
    </row>
    <row r="470" spans="1:1" ht="13.8" x14ac:dyDescent="0.25">
      <c r="A470" s="84"/>
    </row>
    <row r="471" spans="1:1" ht="13.8" x14ac:dyDescent="0.25">
      <c r="A471" s="84"/>
    </row>
    <row r="472" spans="1:1" ht="13.8" x14ac:dyDescent="0.25">
      <c r="A472" s="84"/>
    </row>
    <row r="473" spans="1:1" ht="13.8" x14ac:dyDescent="0.25">
      <c r="A473" s="84"/>
    </row>
    <row r="474" spans="1:1" ht="13.8" x14ac:dyDescent="0.25">
      <c r="A474" s="84"/>
    </row>
    <row r="475" spans="1:1" ht="13.8" x14ac:dyDescent="0.25">
      <c r="A475" s="84"/>
    </row>
    <row r="476" spans="1:1" ht="13.8" x14ac:dyDescent="0.25">
      <c r="A476" s="84"/>
    </row>
    <row r="477" spans="1:1" ht="13.8" x14ac:dyDescent="0.25">
      <c r="A477" s="84"/>
    </row>
    <row r="478" spans="1:1" ht="13.8" x14ac:dyDescent="0.25">
      <c r="A478" s="84"/>
    </row>
    <row r="479" spans="1:1" ht="13.8" x14ac:dyDescent="0.25">
      <c r="A479" s="84"/>
    </row>
    <row r="480" spans="1:1" ht="13.8" x14ac:dyDescent="0.25">
      <c r="A480" s="84"/>
    </row>
    <row r="481" spans="1:1" ht="13.8" x14ac:dyDescent="0.25">
      <c r="A481" s="84"/>
    </row>
    <row r="482" spans="1:1" ht="13.8" x14ac:dyDescent="0.25">
      <c r="A482" s="84"/>
    </row>
    <row r="483" spans="1:1" ht="13.8" x14ac:dyDescent="0.25">
      <c r="A483" s="84"/>
    </row>
    <row r="484" spans="1:1" ht="13.8" x14ac:dyDescent="0.25">
      <c r="A484" s="84"/>
    </row>
    <row r="485" spans="1:1" ht="13.8" x14ac:dyDescent="0.25">
      <c r="A485" s="84"/>
    </row>
    <row r="486" spans="1:1" ht="13.8" x14ac:dyDescent="0.25">
      <c r="A486" s="84"/>
    </row>
    <row r="487" spans="1:1" ht="13.8" x14ac:dyDescent="0.25">
      <c r="A487" s="84"/>
    </row>
    <row r="488" spans="1:1" ht="13.8" x14ac:dyDescent="0.25">
      <c r="A488" s="84"/>
    </row>
    <row r="489" spans="1:1" ht="13.8" x14ac:dyDescent="0.25">
      <c r="A489" s="84"/>
    </row>
    <row r="490" spans="1:1" ht="13.8" x14ac:dyDescent="0.25">
      <c r="A490" s="84"/>
    </row>
    <row r="491" spans="1:1" ht="13.8" x14ac:dyDescent="0.25">
      <c r="A491" s="84"/>
    </row>
    <row r="492" spans="1:1" ht="13.8" x14ac:dyDescent="0.25">
      <c r="A492" s="84"/>
    </row>
    <row r="493" spans="1:1" ht="13.8" x14ac:dyDescent="0.25">
      <c r="A493" s="84"/>
    </row>
    <row r="494" spans="1:1" ht="13.8" x14ac:dyDescent="0.25">
      <c r="A494" s="84"/>
    </row>
    <row r="495" spans="1:1" ht="13.8" x14ac:dyDescent="0.25">
      <c r="A495" s="84"/>
    </row>
    <row r="496" spans="1:1" ht="13.8" x14ac:dyDescent="0.25">
      <c r="A496" s="84"/>
    </row>
    <row r="497" spans="1:1" ht="13.8" x14ac:dyDescent="0.25">
      <c r="A497" s="84"/>
    </row>
    <row r="498" spans="1:1" ht="13.8" x14ac:dyDescent="0.25">
      <c r="A498" s="84"/>
    </row>
    <row r="499" spans="1:1" ht="13.8" x14ac:dyDescent="0.25">
      <c r="A499" s="84"/>
    </row>
    <row r="500" spans="1:1" ht="13.8" x14ac:dyDescent="0.25">
      <c r="A500" s="84"/>
    </row>
    <row r="501" spans="1:1" ht="13.8" x14ac:dyDescent="0.25">
      <c r="A501" s="84"/>
    </row>
    <row r="502" spans="1:1" ht="13.8" x14ac:dyDescent="0.25">
      <c r="A502" s="84"/>
    </row>
    <row r="503" spans="1:1" ht="13.8" x14ac:dyDescent="0.25">
      <c r="A503" s="84"/>
    </row>
    <row r="504" spans="1:1" ht="13.8" x14ac:dyDescent="0.25">
      <c r="A504" s="84"/>
    </row>
    <row r="505" spans="1:1" ht="13.8" x14ac:dyDescent="0.25">
      <c r="A505" s="84"/>
    </row>
    <row r="506" spans="1:1" ht="13.8" x14ac:dyDescent="0.25">
      <c r="A506" s="84"/>
    </row>
    <row r="507" spans="1:1" ht="13.8" x14ac:dyDescent="0.25">
      <c r="A507" s="84"/>
    </row>
    <row r="508" spans="1:1" ht="13.8" x14ac:dyDescent="0.25">
      <c r="A508" s="84"/>
    </row>
    <row r="509" spans="1:1" ht="13.8" x14ac:dyDescent="0.25">
      <c r="A509" s="84"/>
    </row>
    <row r="510" spans="1:1" ht="13.8" x14ac:dyDescent="0.25">
      <c r="A510" s="84"/>
    </row>
    <row r="511" spans="1:1" ht="13.8" x14ac:dyDescent="0.25">
      <c r="A511" s="84"/>
    </row>
    <row r="512" spans="1:1" ht="13.8" x14ac:dyDescent="0.25">
      <c r="A512" s="84"/>
    </row>
    <row r="513" spans="1:1" ht="13.8" x14ac:dyDescent="0.25">
      <c r="A513" s="84"/>
    </row>
    <row r="514" spans="1:1" ht="13.8" x14ac:dyDescent="0.25">
      <c r="A514" s="84"/>
    </row>
    <row r="515" spans="1:1" ht="13.8" x14ac:dyDescent="0.25">
      <c r="A515" s="84"/>
    </row>
    <row r="516" spans="1:1" ht="13.8" x14ac:dyDescent="0.25">
      <c r="A516" s="84"/>
    </row>
    <row r="517" spans="1:1" ht="13.8" x14ac:dyDescent="0.25">
      <c r="A517" s="84"/>
    </row>
    <row r="518" spans="1:1" ht="13.8" x14ac:dyDescent="0.25">
      <c r="A518" s="84"/>
    </row>
    <row r="519" spans="1:1" ht="13.8" x14ac:dyDescent="0.25">
      <c r="A519" s="84"/>
    </row>
    <row r="520" spans="1:1" ht="13.8" x14ac:dyDescent="0.25">
      <c r="A520" s="84"/>
    </row>
    <row r="521" spans="1:1" ht="13.8" x14ac:dyDescent="0.25">
      <c r="A521" s="84"/>
    </row>
    <row r="522" spans="1:1" ht="13.8" x14ac:dyDescent="0.25">
      <c r="A522" s="84"/>
    </row>
    <row r="523" spans="1:1" ht="13.8" x14ac:dyDescent="0.25">
      <c r="A523" s="84"/>
    </row>
    <row r="524" spans="1:1" ht="13.8" x14ac:dyDescent="0.25">
      <c r="A524" s="84"/>
    </row>
    <row r="525" spans="1:1" ht="13.8" x14ac:dyDescent="0.25">
      <c r="A525" s="84"/>
    </row>
    <row r="526" spans="1:1" ht="13.8" x14ac:dyDescent="0.25">
      <c r="A526" s="84"/>
    </row>
    <row r="527" spans="1:1" ht="13.8" x14ac:dyDescent="0.25">
      <c r="A527" s="84"/>
    </row>
    <row r="528" spans="1:1" ht="13.8" x14ac:dyDescent="0.25">
      <c r="A528" s="84"/>
    </row>
    <row r="529" spans="1:1" ht="13.8" x14ac:dyDescent="0.25">
      <c r="A529" s="84"/>
    </row>
    <row r="530" spans="1:1" ht="13.8" x14ac:dyDescent="0.25">
      <c r="A530" s="84"/>
    </row>
    <row r="531" spans="1:1" ht="13.8" x14ac:dyDescent="0.25">
      <c r="A531" s="84"/>
    </row>
    <row r="532" spans="1:1" ht="13.8" x14ac:dyDescent="0.25">
      <c r="A532" s="84"/>
    </row>
    <row r="533" spans="1:1" ht="13.8" x14ac:dyDescent="0.25">
      <c r="A533" s="84"/>
    </row>
    <row r="534" spans="1:1" ht="13.8" x14ac:dyDescent="0.25">
      <c r="A534" s="84"/>
    </row>
    <row r="535" spans="1:1" ht="13.8" x14ac:dyDescent="0.25">
      <c r="A535" s="84"/>
    </row>
    <row r="536" spans="1:1" ht="13.8" x14ac:dyDescent="0.25">
      <c r="A536" s="84"/>
    </row>
    <row r="537" spans="1:1" ht="13.8" x14ac:dyDescent="0.25">
      <c r="A537" s="84"/>
    </row>
    <row r="538" spans="1:1" ht="13.8" x14ac:dyDescent="0.25">
      <c r="A538" s="84"/>
    </row>
    <row r="539" spans="1:1" ht="13.8" x14ac:dyDescent="0.25">
      <c r="A539" s="84"/>
    </row>
    <row r="540" spans="1:1" ht="13.8" x14ac:dyDescent="0.25">
      <c r="A540" s="84"/>
    </row>
    <row r="541" spans="1:1" ht="13.8" x14ac:dyDescent="0.25">
      <c r="A541" s="84"/>
    </row>
    <row r="542" spans="1:1" ht="13.8" x14ac:dyDescent="0.25">
      <c r="A542" s="84"/>
    </row>
    <row r="543" spans="1:1" ht="13.8" x14ac:dyDescent="0.25">
      <c r="A543" s="84"/>
    </row>
    <row r="544" spans="1:1" ht="13.8" x14ac:dyDescent="0.25">
      <c r="A544" s="84"/>
    </row>
    <row r="545" spans="1:1" ht="13.8" x14ac:dyDescent="0.25">
      <c r="A545" s="84"/>
    </row>
    <row r="546" spans="1:1" ht="13.8" x14ac:dyDescent="0.25">
      <c r="A546" s="84"/>
    </row>
    <row r="547" spans="1:1" ht="13.8" x14ac:dyDescent="0.25">
      <c r="A547" s="84"/>
    </row>
    <row r="548" spans="1:1" ht="13.8" x14ac:dyDescent="0.25">
      <c r="A548" s="84"/>
    </row>
    <row r="549" spans="1:1" ht="13.8" x14ac:dyDescent="0.25">
      <c r="A549" s="84"/>
    </row>
    <row r="550" spans="1:1" ht="13.8" x14ac:dyDescent="0.25">
      <c r="A550" s="84"/>
    </row>
    <row r="551" spans="1:1" ht="13.8" x14ac:dyDescent="0.25">
      <c r="A551" s="84"/>
    </row>
    <row r="552" spans="1:1" ht="13.8" x14ac:dyDescent="0.25">
      <c r="A552" s="84"/>
    </row>
    <row r="553" spans="1:1" ht="13.8" x14ac:dyDescent="0.25">
      <c r="A553" s="84"/>
    </row>
    <row r="554" spans="1:1" ht="13.8" x14ac:dyDescent="0.25">
      <c r="A554" s="84"/>
    </row>
    <row r="555" spans="1:1" ht="13.8" x14ac:dyDescent="0.25">
      <c r="A555" s="84"/>
    </row>
    <row r="556" spans="1:1" ht="13.8" x14ac:dyDescent="0.25">
      <c r="A556" s="84"/>
    </row>
    <row r="557" spans="1:1" ht="13.8" x14ac:dyDescent="0.25">
      <c r="A557" s="84"/>
    </row>
    <row r="558" spans="1:1" ht="13.8" x14ac:dyDescent="0.25">
      <c r="A558" s="84"/>
    </row>
    <row r="559" spans="1:1" ht="13.8" x14ac:dyDescent="0.25">
      <c r="A559" s="84"/>
    </row>
    <row r="560" spans="1:1" ht="13.8" x14ac:dyDescent="0.25">
      <c r="A560" s="84"/>
    </row>
    <row r="561" spans="1:1" ht="13.8" x14ac:dyDescent="0.25">
      <c r="A561" s="84"/>
    </row>
    <row r="562" spans="1:1" ht="13.8" x14ac:dyDescent="0.25">
      <c r="A562" s="84"/>
    </row>
    <row r="563" spans="1:1" ht="13.8" x14ac:dyDescent="0.25">
      <c r="A563" s="84"/>
    </row>
    <row r="564" spans="1:1" ht="13.8" x14ac:dyDescent="0.25">
      <c r="A564" s="84"/>
    </row>
    <row r="565" spans="1:1" ht="13.8" x14ac:dyDescent="0.25">
      <c r="A565" s="84"/>
    </row>
    <row r="566" spans="1:1" ht="13.8" x14ac:dyDescent="0.25">
      <c r="A566" s="84"/>
    </row>
    <row r="567" spans="1:1" ht="13.8" x14ac:dyDescent="0.25">
      <c r="A567" s="84"/>
    </row>
    <row r="568" spans="1:1" ht="13.8" x14ac:dyDescent="0.25">
      <c r="A568" s="84"/>
    </row>
    <row r="569" spans="1:1" ht="13.8" x14ac:dyDescent="0.25">
      <c r="A569" s="84"/>
    </row>
    <row r="570" spans="1:1" ht="13.8" x14ac:dyDescent="0.25">
      <c r="A570" s="84"/>
    </row>
    <row r="571" spans="1:1" ht="13.8" x14ac:dyDescent="0.25">
      <c r="A571" s="84"/>
    </row>
    <row r="572" spans="1:1" ht="13.8" x14ac:dyDescent="0.25">
      <c r="A572" s="84"/>
    </row>
    <row r="573" spans="1:1" ht="13.8" x14ac:dyDescent="0.25">
      <c r="A573" s="84"/>
    </row>
    <row r="574" spans="1:1" ht="13.8" x14ac:dyDescent="0.25">
      <c r="A574" s="84"/>
    </row>
    <row r="575" spans="1:1" ht="13.8" x14ac:dyDescent="0.25">
      <c r="A575" s="84"/>
    </row>
    <row r="576" spans="1:1" ht="13.8" x14ac:dyDescent="0.25">
      <c r="A576" s="84"/>
    </row>
    <row r="577" spans="1:1" ht="13.8" x14ac:dyDescent="0.25">
      <c r="A577" s="84"/>
    </row>
    <row r="578" spans="1:1" ht="13.8" x14ac:dyDescent="0.25">
      <c r="A578" s="84"/>
    </row>
    <row r="579" spans="1:1" ht="13.8" x14ac:dyDescent="0.25">
      <c r="A579" s="84"/>
    </row>
    <row r="580" spans="1:1" ht="13.8" x14ac:dyDescent="0.25">
      <c r="A580" s="84"/>
    </row>
    <row r="581" spans="1:1" ht="13.8" x14ac:dyDescent="0.25">
      <c r="A581" s="84"/>
    </row>
    <row r="582" spans="1:1" ht="13.8" x14ac:dyDescent="0.25">
      <c r="A582" s="84"/>
    </row>
    <row r="583" spans="1:1" ht="13.8" x14ac:dyDescent="0.25">
      <c r="A583" s="84"/>
    </row>
    <row r="584" spans="1:1" ht="13.8" x14ac:dyDescent="0.25">
      <c r="A584" s="84"/>
    </row>
    <row r="585" spans="1:1" ht="13.8" x14ac:dyDescent="0.25">
      <c r="A585" s="84"/>
    </row>
    <row r="586" spans="1:1" ht="13.8" x14ac:dyDescent="0.25">
      <c r="A586" s="84"/>
    </row>
    <row r="587" spans="1:1" ht="13.8" x14ac:dyDescent="0.25">
      <c r="A587" s="84"/>
    </row>
    <row r="588" spans="1:1" ht="13.8" x14ac:dyDescent="0.25">
      <c r="A588" s="84"/>
    </row>
    <row r="589" spans="1:1" ht="13.8" x14ac:dyDescent="0.25">
      <c r="A589" s="84"/>
    </row>
    <row r="590" spans="1:1" ht="13.8" x14ac:dyDescent="0.25">
      <c r="A590" s="84"/>
    </row>
    <row r="591" spans="1:1" ht="13.8" x14ac:dyDescent="0.25">
      <c r="A591" s="84"/>
    </row>
    <row r="592" spans="1:1" ht="13.8" x14ac:dyDescent="0.25">
      <c r="A592" s="84"/>
    </row>
    <row r="593" spans="1:1" ht="13.8" x14ac:dyDescent="0.25">
      <c r="A593" s="84"/>
    </row>
    <row r="594" spans="1:1" ht="13.8" x14ac:dyDescent="0.25">
      <c r="A594" s="84"/>
    </row>
    <row r="595" spans="1:1" ht="13.8" x14ac:dyDescent="0.25">
      <c r="A595" s="84"/>
    </row>
    <row r="596" spans="1:1" ht="13.8" x14ac:dyDescent="0.25">
      <c r="A596" s="84"/>
    </row>
    <row r="597" spans="1:1" ht="13.8" x14ac:dyDescent="0.25">
      <c r="A597" s="84"/>
    </row>
    <row r="598" spans="1:1" ht="13.8" x14ac:dyDescent="0.25">
      <c r="A598" s="84"/>
    </row>
    <row r="599" spans="1:1" ht="13.8" x14ac:dyDescent="0.25">
      <c r="A599" s="84"/>
    </row>
    <row r="600" spans="1:1" ht="13.8" x14ac:dyDescent="0.25">
      <c r="A600" s="84"/>
    </row>
    <row r="601" spans="1:1" ht="13.8" x14ac:dyDescent="0.25">
      <c r="A601" s="84"/>
    </row>
    <row r="602" spans="1:1" ht="13.8" x14ac:dyDescent="0.25">
      <c r="A602" s="84"/>
    </row>
    <row r="603" spans="1:1" ht="13.8" x14ac:dyDescent="0.25">
      <c r="A603" s="84"/>
    </row>
    <row r="604" spans="1:1" ht="13.8" x14ac:dyDescent="0.25">
      <c r="A604" s="84"/>
    </row>
    <row r="605" spans="1:1" ht="13.8" x14ac:dyDescent="0.25">
      <c r="A605" s="84"/>
    </row>
    <row r="606" spans="1:1" ht="13.8" x14ac:dyDescent="0.25">
      <c r="A606" s="84"/>
    </row>
    <row r="607" spans="1:1" ht="13.8" x14ac:dyDescent="0.25">
      <c r="A607" s="84"/>
    </row>
    <row r="608" spans="1:1" ht="13.8" x14ac:dyDescent="0.25">
      <c r="A608" s="84"/>
    </row>
    <row r="609" spans="1:1" ht="13.8" x14ac:dyDescent="0.25">
      <c r="A609" s="84"/>
    </row>
    <row r="610" spans="1:1" ht="13.8" x14ac:dyDescent="0.25">
      <c r="A610" s="84"/>
    </row>
    <row r="611" spans="1:1" ht="13.8" x14ac:dyDescent="0.25">
      <c r="A611" s="84"/>
    </row>
    <row r="612" spans="1:1" ht="13.8" x14ac:dyDescent="0.25">
      <c r="A612" s="84"/>
    </row>
    <row r="613" spans="1:1" ht="13.8" x14ac:dyDescent="0.25">
      <c r="A613" s="84"/>
    </row>
    <row r="614" spans="1:1" ht="13.8" x14ac:dyDescent="0.25">
      <c r="A614" s="84"/>
    </row>
    <row r="615" spans="1:1" ht="13.8" x14ac:dyDescent="0.25">
      <c r="A615" s="84"/>
    </row>
    <row r="616" spans="1:1" ht="13.8" x14ac:dyDescent="0.25">
      <c r="A616" s="84"/>
    </row>
    <row r="617" spans="1:1" ht="13.8" x14ac:dyDescent="0.25">
      <c r="A617" s="84"/>
    </row>
    <row r="618" spans="1:1" ht="13.8" x14ac:dyDescent="0.25">
      <c r="A618" s="84"/>
    </row>
    <row r="619" spans="1:1" ht="13.8" x14ac:dyDescent="0.25">
      <c r="A619" s="84"/>
    </row>
    <row r="620" spans="1:1" ht="13.8" x14ac:dyDescent="0.25">
      <c r="A620" s="84"/>
    </row>
    <row r="621" spans="1:1" ht="13.8" x14ac:dyDescent="0.25">
      <c r="A621" s="84"/>
    </row>
    <row r="622" spans="1:1" ht="13.8" x14ac:dyDescent="0.25">
      <c r="A622" s="84"/>
    </row>
    <row r="623" spans="1:1" ht="13.8" x14ac:dyDescent="0.25">
      <c r="A623" s="84"/>
    </row>
    <row r="624" spans="1:1" ht="13.8" x14ac:dyDescent="0.25">
      <c r="A624" s="84"/>
    </row>
    <row r="625" spans="1:1" ht="13.8" x14ac:dyDescent="0.25">
      <c r="A625" s="84"/>
    </row>
    <row r="626" spans="1:1" ht="13.8" x14ac:dyDescent="0.25">
      <c r="A626" s="84"/>
    </row>
    <row r="627" spans="1:1" ht="13.8" x14ac:dyDescent="0.25">
      <c r="A627" s="84"/>
    </row>
    <row r="628" spans="1:1" ht="13.8" x14ac:dyDescent="0.25">
      <c r="A628" s="84"/>
    </row>
    <row r="629" spans="1:1" ht="13.8" x14ac:dyDescent="0.25">
      <c r="A629" s="84"/>
    </row>
    <row r="630" spans="1:1" ht="13.8" x14ac:dyDescent="0.25">
      <c r="A630" s="84"/>
    </row>
    <row r="631" spans="1:1" ht="13.8" x14ac:dyDescent="0.25">
      <c r="A631" s="84"/>
    </row>
    <row r="632" spans="1:1" ht="13.8" x14ac:dyDescent="0.25">
      <c r="A632" s="84"/>
    </row>
    <row r="633" spans="1:1" ht="13.8" x14ac:dyDescent="0.25">
      <c r="A633" s="84"/>
    </row>
    <row r="634" spans="1:1" ht="13.8" x14ac:dyDescent="0.25">
      <c r="A634" s="84"/>
    </row>
    <row r="635" spans="1:1" ht="13.8" x14ac:dyDescent="0.25">
      <c r="A635" s="84"/>
    </row>
    <row r="636" spans="1:1" ht="13.8" x14ac:dyDescent="0.25">
      <c r="A636" s="84"/>
    </row>
    <row r="637" spans="1:1" ht="13.8" x14ac:dyDescent="0.25">
      <c r="A637" s="84"/>
    </row>
    <row r="638" spans="1:1" ht="13.8" x14ac:dyDescent="0.25">
      <c r="A638" s="84"/>
    </row>
    <row r="639" spans="1:1" ht="13.8" x14ac:dyDescent="0.25">
      <c r="A639" s="84"/>
    </row>
    <row r="640" spans="1:1" ht="13.8" x14ac:dyDescent="0.25">
      <c r="A640" s="84"/>
    </row>
    <row r="641" spans="1:1" ht="13.8" x14ac:dyDescent="0.25">
      <c r="A641" s="84"/>
    </row>
    <row r="642" spans="1:1" ht="13.8" x14ac:dyDescent="0.25">
      <c r="A642" s="84"/>
    </row>
    <row r="643" spans="1:1" ht="13.8" x14ac:dyDescent="0.25">
      <c r="A643" s="84"/>
    </row>
    <row r="644" spans="1:1" ht="13.8" x14ac:dyDescent="0.25">
      <c r="A644" s="84"/>
    </row>
    <row r="645" spans="1:1" ht="13.8" x14ac:dyDescent="0.25">
      <c r="A645" s="84"/>
    </row>
    <row r="646" spans="1:1" ht="13.8" x14ac:dyDescent="0.25">
      <c r="A646" s="84"/>
    </row>
    <row r="647" spans="1:1" ht="13.8" x14ac:dyDescent="0.25">
      <c r="A647" s="84"/>
    </row>
    <row r="648" spans="1:1" ht="13.8" x14ac:dyDescent="0.25">
      <c r="A648" s="84"/>
    </row>
    <row r="649" spans="1:1" ht="13.8" x14ac:dyDescent="0.25">
      <c r="A649" s="84"/>
    </row>
    <row r="650" spans="1:1" ht="13.8" x14ac:dyDescent="0.25">
      <c r="A650" s="84"/>
    </row>
    <row r="651" spans="1:1" ht="13.8" x14ac:dyDescent="0.25">
      <c r="A651" s="84"/>
    </row>
    <row r="652" spans="1:1" ht="13.8" x14ac:dyDescent="0.25">
      <c r="A652" s="84"/>
    </row>
    <row r="653" spans="1:1" ht="13.8" x14ac:dyDescent="0.25">
      <c r="A653" s="84"/>
    </row>
    <row r="654" spans="1:1" ht="13.8" x14ac:dyDescent="0.25">
      <c r="A654" s="84"/>
    </row>
    <row r="655" spans="1:1" ht="13.8" x14ac:dyDescent="0.25">
      <c r="A655" s="84"/>
    </row>
    <row r="656" spans="1:1" ht="13.8" x14ac:dyDescent="0.25">
      <c r="A656" s="84"/>
    </row>
    <row r="657" spans="1:1" ht="13.8" x14ac:dyDescent="0.25">
      <c r="A657" s="84"/>
    </row>
    <row r="658" spans="1:1" ht="13.8" x14ac:dyDescent="0.25">
      <c r="A658" s="84"/>
    </row>
    <row r="659" spans="1:1" ht="13.8" x14ac:dyDescent="0.25">
      <c r="A659" s="84"/>
    </row>
    <row r="660" spans="1:1" ht="13.8" x14ac:dyDescent="0.25">
      <c r="A660" s="84"/>
    </row>
    <row r="661" spans="1:1" ht="13.8" x14ac:dyDescent="0.25">
      <c r="A661" s="84"/>
    </row>
    <row r="662" spans="1:1" ht="13.8" x14ac:dyDescent="0.25">
      <c r="A662" s="84"/>
    </row>
    <row r="663" spans="1:1" ht="13.8" x14ac:dyDescent="0.25">
      <c r="A663" s="84"/>
    </row>
    <row r="664" spans="1:1" ht="13.8" x14ac:dyDescent="0.25">
      <c r="A664" s="84"/>
    </row>
    <row r="665" spans="1:1" ht="13.8" x14ac:dyDescent="0.25">
      <c r="A665" s="84"/>
    </row>
    <row r="666" spans="1:1" ht="13.8" x14ac:dyDescent="0.25">
      <c r="A666" s="84"/>
    </row>
    <row r="667" spans="1:1" ht="13.8" x14ac:dyDescent="0.25">
      <c r="A667" s="84"/>
    </row>
    <row r="668" spans="1:1" ht="13.8" x14ac:dyDescent="0.25">
      <c r="A668" s="84"/>
    </row>
    <row r="669" spans="1:1" ht="13.8" x14ac:dyDescent="0.25">
      <c r="A669" s="84"/>
    </row>
    <row r="670" spans="1:1" ht="13.8" x14ac:dyDescent="0.25">
      <c r="A670" s="84"/>
    </row>
    <row r="671" spans="1:1" ht="13.8" x14ac:dyDescent="0.25">
      <c r="A671" s="84"/>
    </row>
    <row r="672" spans="1:1" ht="13.8" x14ac:dyDescent="0.25">
      <c r="A672" s="84"/>
    </row>
    <row r="673" spans="1:1" ht="13.8" x14ac:dyDescent="0.25">
      <c r="A673" s="84"/>
    </row>
    <row r="674" spans="1:1" ht="13.8" x14ac:dyDescent="0.25">
      <c r="A674" s="84"/>
    </row>
    <row r="675" spans="1:1" ht="13.8" x14ac:dyDescent="0.25">
      <c r="A675" s="84"/>
    </row>
    <row r="676" spans="1:1" ht="13.8" x14ac:dyDescent="0.25">
      <c r="A676" s="84"/>
    </row>
    <row r="677" spans="1:1" ht="13.8" x14ac:dyDescent="0.25">
      <c r="A677" s="84"/>
    </row>
    <row r="678" spans="1:1" ht="13.8" x14ac:dyDescent="0.25">
      <c r="A678" s="84"/>
    </row>
    <row r="679" spans="1:1" ht="13.8" x14ac:dyDescent="0.25">
      <c r="A679" s="84"/>
    </row>
    <row r="680" spans="1:1" ht="13.8" x14ac:dyDescent="0.25">
      <c r="A680" s="84"/>
    </row>
    <row r="681" spans="1:1" ht="13.8" x14ac:dyDescent="0.25">
      <c r="A681" s="84"/>
    </row>
    <row r="682" spans="1:1" ht="13.8" x14ac:dyDescent="0.25">
      <c r="A682" s="84"/>
    </row>
    <row r="683" spans="1:1" ht="13.8" x14ac:dyDescent="0.25">
      <c r="A683" s="84"/>
    </row>
    <row r="684" spans="1:1" ht="13.8" x14ac:dyDescent="0.25">
      <c r="A684" s="84"/>
    </row>
    <row r="685" spans="1:1" ht="13.8" x14ac:dyDescent="0.25">
      <c r="A685" s="84"/>
    </row>
    <row r="686" spans="1:1" ht="13.8" x14ac:dyDescent="0.25">
      <c r="A686" s="84"/>
    </row>
    <row r="687" spans="1:1" ht="13.8" x14ac:dyDescent="0.25">
      <c r="A687" s="84"/>
    </row>
    <row r="688" spans="1:1" ht="13.8" x14ac:dyDescent="0.25">
      <c r="A688" s="84"/>
    </row>
    <row r="689" spans="1:1" ht="13.8" x14ac:dyDescent="0.25">
      <c r="A689" s="84"/>
    </row>
    <row r="690" spans="1:1" ht="13.8" x14ac:dyDescent="0.25">
      <c r="A690" s="84"/>
    </row>
    <row r="691" spans="1:1" ht="13.8" x14ac:dyDescent="0.25">
      <c r="A691" s="84"/>
    </row>
    <row r="692" spans="1:1" ht="13.8" x14ac:dyDescent="0.25">
      <c r="A692" s="84"/>
    </row>
    <row r="693" spans="1:1" ht="13.8" x14ac:dyDescent="0.25">
      <c r="A693" s="84"/>
    </row>
    <row r="694" spans="1:1" ht="13.8" x14ac:dyDescent="0.25">
      <c r="A694" s="84"/>
    </row>
    <row r="695" spans="1:1" ht="13.8" x14ac:dyDescent="0.25">
      <c r="A695" s="84"/>
    </row>
    <row r="696" spans="1:1" ht="13.8" x14ac:dyDescent="0.25">
      <c r="A696" s="84"/>
    </row>
    <row r="697" spans="1:1" ht="13.8" x14ac:dyDescent="0.25">
      <c r="A697" s="84"/>
    </row>
    <row r="698" spans="1:1" ht="13.8" x14ac:dyDescent="0.25">
      <c r="A698" s="84"/>
    </row>
    <row r="699" spans="1:1" ht="13.8" x14ac:dyDescent="0.25">
      <c r="A699" s="84"/>
    </row>
    <row r="700" spans="1:1" ht="13.8" x14ac:dyDescent="0.25">
      <c r="A700" s="84"/>
    </row>
    <row r="701" spans="1:1" ht="13.8" x14ac:dyDescent="0.25">
      <c r="A701" s="84"/>
    </row>
    <row r="702" spans="1:1" ht="13.8" x14ac:dyDescent="0.25">
      <c r="A702" s="84"/>
    </row>
    <row r="703" spans="1:1" ht="13.8" x14ac:dyDescent="0.25">
      <c r="A703" s="84"/>
    </row>
    <row r="704" spans="1:1" ht="13.8" x14ac:dyDescent="0.25">
      <c r="A704" s="84"/>
    </row>
    <row r="705" spans="1:1" ht="13.8" x14ac:dyDescent="0.25">
      <c r="A705" s="84"/>
    </row>
    <row r="706" spans="1:1" ht="13.8" x14ac:dyDescent="0.25">
      <c r="A706" s="84"/>
    </row>
    <row r="707" spans="1:1" ht="13.8" x14ac:dyDescent="0.25">
      <c r="A707" s="84"/>
    </row>
    <row r="708" spans="1:1" ht="13.8" x14ac:dyDescent="0.25">
      <c r="A708" s="84"/>
    </row>
    <row r="709" spans="1:1" ht="13.8" x14ac:dyDescent="0.25">
      <c r="A709" s="84"/>
    </row>
    <row r="710" spans="1:1" ht="13.8" x14ac:dyDescent="0.25">
      <c r="A710" s="84"/>
    </row>
    <row r="711" spans="1:1" ht="13.8" x14ac:dyDescent="0.25">
      <c r="A711" s="84"/>
    </row>
    <row r="712" spans="1:1" ht="13.8" x14ac:dyDescent="0.25">
      <c r="A712" s="84"/>
    </row>
    <row r="713" spans="1:1" ht="13.8" x14ac:dyDescent="0.25">
      <c r="A713" s="84"/>
    </row>
    <row r="714" spans="1:1" ht="13.8" x14ac:dyDescent="0.25">
      <c r="A714" s="84"/>
    </row>
    <row r="715" spans="1:1" ht="13.8" x14ac:dyDescent="0.25">
      <c r="A715" s="84"/>
    </row>
    <row r="716" spans="1:1" ht="13.8" x14ac:dyDescent="0.25">
      <c r="A716" s="84"/>
    </row>
    <row r="717" spans="1:1" ht="13.8" x14ac:dyDescent="0.25">
      <c r="A717" s="84"/>
    </row>
    <row r="718" spans="1:1" ht="13.8" x14ac:dyDescent="0.25">
      <c r="A718" s="84"/>
    </row>
    <row r="719" spans="1:1" ht="13.8" x14ac:dyDescent="0.25">
      <c r="A719" s="84"/>
    </row>
    <row r="720" spans="1:1" ht="13.8" x14ac:dyDescent="0.25">
      <c r="A720" s="84"/>
    </row>
    <row r="721" spans="1:1" ht="13.8" x14ac:dyDescent="0.25">
      <c r="A721" s="84"/>
    </row>
    <row r="722" spans="1:1" ht="13.8" x14ac:dyDescent="0.25">
      <c r="A722" s="84"/>
    </row>
    <row r="723" spans="1:1" ht="13.8" x14ac:dyDescent="0.25">
      <c r="A723" s="84"/>
    </row>
    <row r="724" spans="1:1" ht="13.8" x14ac:dyDescent="0.25">
      <c r="A724" s="84"/>
    </row>
    <row r="725" spans="1:1" ht="13.8" x14ac:dyDescent="0.25">
      <c r="A725" s="84"/>
    </row>
    <row r="726" spans="1:1" ht="13.8" x14ac:dyDescent="0.25">
      <c r="A726" s="84"/>
    </row>
    <row r="727" spans="1:1" ht="13.8" x14ac:dyDescent="0.25">
      <c r="A727" s="84"/>
    </row>
    <row r="728" spans="1:1" ht="13.8" x14ac:dyDescent="0.25">
      <c r="A728" s="84"/>
    </row>
    <row r="729" spans="1:1" ht="13.8" x14ac:dyDescent="0.25">
      <c r="A729" s="84"/>
    </row>
    <row r="730" spans="1:1" ht="13.8" x14ac:dyDescent="0.25">
      <c r="A730" s="84"/>
    </row>
    <row r="731" spans="1:1" ht="13.8" x14ac:dyDescent="0.25">
      <c r="A731" s="84"/>
    </row>
    <row r="732" spans="1:1" ht="13.8" x14ac:dyDescent="0.25">
      <c r="A732" s="84"/>
    </row>
    <row r="733" spans="1:1" ht="13.8" x14ac:dyDescent="0.25">
      <c r="A733" s="84"/>
    </row>
    <row r="734" spans="1:1" ht="13.8" x14ac:dyDescent="0.25">
      <c r="A734" s="84"/>
    </row>
    <row r="735" spans="1:1" ht="13.8" x14ac:dyDescent="0.25">
      <c r="A735" s="84"/>
    </row>
    <row r="736" spans="1:1" ht="13.8" x14ac:dyDescent="0.25">
      <c r="A736" s="84"/>
    </row>
    <row r="737" spans="1:1" ht="13.8" x14ac:dyDescent="0.25">
      <c r="A737" s="84"/>
    </row>
    <row r="738" spans="1:1" ht="13.8" x14ac:dyDescent="0.25">
      <c r="A738" s="84"/>
    </row>
    <row r="739" spans="1:1" ht="13.8" x14ac:dyDescent="0.25">
      <c r="A739" s="84"/>
    </row>
    <row r="740" spans="1:1" ht="13.8" x14ac:dyDescent="0.25">
      <c r="A740" s="84"/>
    </row>
    <row r="741" spans="1:1" ht="13.8" x14ac:dyDescent="0.25">
      <c r="A741" s="84"/>
    </row>
    <row r="742" spans="1:1" ht="13.8" x14ac:dyDescent="0.25">
      <c r="A742" s="84"/>
    </row>
    <row r="743" spans="1:1" ht="13.8" x14ac:dyDescent="0.25">
      <c r="A743" s="84"/>
    </row>
    <row r="744" spans="1:1" ht="13.8" x14ac:dyDescent="0.25">
      <c r="A744" s="84"/>
    </row>
    <row r="745" spans="1:1" ht="13.8" x14ac:dyDescent="0.25">
      <c r="A745" s="84"/>
    </row>
    <row r="746" spans="1:1" ht="13.8" x14ac:dyDescent="0.25">
      <c r="A746" s="84"/>
    </row>
    <row r="747" spans="1:1" ht="13.8" x14ac:dyDescent="0.25">
      <c r="A747" s="84"/>
    </row>
    <row r="748" spans="1:1" ht="13.8" x14ac:dyDescent="0.25">
      <c r="A748" s="84"/>
    </row>
    <row r="749" spans="1:1" ht="13.8" x14ac:dyDescent="0.25">
      <c r="A749" s="84"/>
    </row>
    <row r="750" spans="1:1" ht="13.8" x14ac:dyDescent="0.25">
      <c r="A750" s="84"/>
    </row>
    <row r="751" spans="1:1" ht="13.8" x14ac:dyDescent="0.25">
      <c r="A751" s="84"/>
    </row>
    <row r="752" spans="1:1" ht="13.8" x14ac:dyDescent="0.25">
      <c r="A752" s="84"/>
    </row>
    <row r="753" spans="1:1" ht="13.8" x14ac:dyDescent="0.25">
      <c r="A753" s="84"/>
    </row>
    <row r="754" spans="1:1" ht="13.8" x14ac:dyDescent="0.25">
      <c r="A754" s="84"/>
    </row>
    <row r="755" spans="1:1" ht="13.8" x14ac:dyDescent="0.25">
      <c r="A755" s="84"/>
    </row>
    <row r="756" spans="1:1" ht="13.8" x14ac:dyDescent="0.25">
      <c r="A756" s="84"/>
    </row>
    <row r="757" spans="1:1" ht="13.8" x14ac:dyDescent="0.25">
      <c r="A757" s="84"/>
    </row>
    <row r="758" spans="1:1" ht="13.8" x14ac:dyDescent="0.25">
      <c r="A758" s="84"/>
    </row>
    <row r="759" spans="1:1" ht="13.8" x14ac:dyDescent="0.25">
      <c r="A759" s="84"/>
    </row>
    <row r="760" spans="1:1" ht="13.8" x14ac:dyDescent="0.25">
      <c r="A760" s="84"/>
    </row>
    <row r="761" spans="1:1" ht="13.8" x14ac:dyDescent="0.25">
      <c r="A761" s="84"/>
    </row>
    <row r="762" spans="1:1" ht="13.8" x14ac:dyDescent="0.25">
      <c r="A762" s="84"/>
    </row>
    <row r="763" spans="1:1" ht="13.8" x14ac:dyDescent="0.25">
      <c r="A763" s="84"/>
    </row>
    <row r="764" spans="1:1" ht="13.8" x14ac:dyDescent="0.25">
      <c r="A764" s="84"/>
    </row>
    <row r="765" spans="1:1" ht="13.8" x14ac:dyDescent="0.25">
      <c r="A765" s="84"/>
    </row>
    <row r="766" spans="1:1" ht="13.8" x14ac:dyDescent="0.25">
      <c r="A766" s="84"/>
    </row>
    <row r="767" spans="1:1" ht="13.8" x14ac:dyDescent="0.25">
      <c r="A767" s="84"/>
    </row>
    <row r="768" spans="1:1" ht="13.8" x14ac:dyDescent="0.25">
      <c r="A768" s="84"/>
    </row>
    <row r="769" spans="1:1" ht="13.8" x14ac:dyDescent="0.25">
      <c r="A769" s="84"/>
    </row>
    <row r="770" spans="1:1" ht="13.8" x14ac:dyDescent="0.25">
      <c r="A770" s="84"/>
    </row>
    <row r="771" spans="1:1" ht="13.8" x14ac:dyDescent="0.25">
      <c r="A771" s="84"/>
    </row>
    <row r="772" spans="1:1" ht="13.8" x14ac:dyDescent="0.25">
      <c r="A772" s="84"/>
    </row>
    <row r="773" spans="1:1" ht="13.8" x14ac:dyDescent="0.25">
      <c r="A773" s="84"/>
    </row>
    <row r="774" spans="1:1" ht="13.8" x14ac:dyDescent="0.25">
      <c r="A774" s="84"/>
    </row>
    <row r="775" spans="1:1" ht="13.8" x14ac:dyDescent="0.25">
      <c r="A775" s="84"/>
    </row>
    <row r="776" spans="1:1" ht="13.8" x14ac:dyDescent="0.25">
      <c r="A776" s="84"/>
    </row>
    <row r="777" spans="1:1" ht="13.8" x14ac:dyDescent="0.25">
      <c r="A777" s="84"/>
    </row>
    <row r="778" spans="1:1" ht="13.8" x14ac:dyDescent="0.25">
      <c r="A778" s="84"/>
    </row>
    <row r="779" spans="1:1" ht="13.8" x14ac:dyDescent="0.25">
      <c r="A779" s="84"/>
    </row>
    <row r="780" spans="1:1" ht="13.8" x14ac:dyDescent="0.25">
      <c r="A780" s="84"/>
    </row>
    <row r="781" spans="1:1" ht="13.8" x14ac:dyDescent="0.25">
      <c r="A781" s="84"/>
    </row>
    <row r="782" spans="1:1" ht="13.8" x14ac:dyDescent="0.25">
      <c r="A782" s="84"/>
    </row>
    <row r="783" spans="1:1" ht="13.8" x14ac:dyDescent="0.25">
      <c r="A783" s="84"/>
    </row>
    <row r="784" spans="1:1" ht="13.8" x14ac:dyDescent="0.25">
      <c r="A784" s="84"/>
    </row>
    <row r="785" spans="1:1" ht="13.8" x14ac:dyDescent="0.25">
      <c r="A785" s="84"/>
    </row>
    <row r="786" spans="1:1" ht="13.8" x14ac:dyDescent="0.25">
      <c r="A786" s="84"/>
    </row>
    <row r="787" spans="1:1" ht="13.8" x14ac:dyDescent="0.25">
      <c r="A787" s="84"/>
    </row>
    <row r="788" spans="1:1" ht="13.8" x14ac:dyDescent="0.25">
      <c r="A788" s="84"/>
    </row>
    <row r="789" spans="1:1" ht="13.8" x14ac:dyDescent="0.25">
      <c r="A789" s="84"/>
    </row>
    <row r="790" spans="1:1" ht="13.8" x14ac:dyDescent="0.25">
      <c r="A790" s="84"/>
    </row>
    <row r="791" spans="1:1" ht="13.8" x14ac:dyDescent="0.25">
      <c r="A791" s="84"/>
    </row>
    <row r="792" spans="1:1" ht="13.8" x14ac:dyDescent="0.25">
      <c r="A792" s="84"/>
    </row>
    <row r="793" spans="1:1" ht="13.8" x14ac:dyDescent="0.25">
      <c r="A793" s="84"/>
    </row>
    <row r="794" spans="1:1" ht="13.8" x14ac:dyDescent="0.25">
      <c r="A794" s="84"/>
    </row>
    <row r="795" spans="1:1" ht="13.8" x14ac:dyDescent="0.25">
      <c r="A795" s="84"/>
    </row>
    <row r="796" spans="1:1" ht="13.8" x14ac:dyDescent="0.25">
      <c r="A796" s="84"/>
    </row>
    <row r="797" spans="1:1" ht="13.8" x14ac:dyDescent="0.25">
      <c r="A797" s="84"/>
    </row>
    <row r="798" spans="1:1" ht="13.8" x14ac:dyDescent="0.25">
      <c r="A798" s="84"/>
    </row>
    <row r="799" spans="1:1" ht="13.8" x14ac:dyDescent="0.25">
      <c r="A799" s="84"/>
    </row>
    <row r="800" spans="1:1" ht="13.8" x14ac:dyDescent="0.25">
      <c r="A800" s="84"/>
    </row>
    <row r="801" spans="1:1" ht="13.8" x14ac:dyDescent="0.25">
      <c r="A801" s="84"/>
    </row>
    <row r="802" spans="1:1" ht="13.8" x14ac:dyDescent="0.25">
      <c r="A802" s="84"/>
    </row>
    <row r="803" spans="1:1" ht="13.8" x14ac:dyDescent="0.25">
      <c r="A803" s="84"/>
    </row>
    <row r="804" spans="1:1" ht="13.8" x14ac:dyDescent="0.25">
      <c r="A804" s="84"/>
    </row>
    <row r="805" spans="1:1" ht="13.8" x14ac:dyDescent="0.25">
      <c r="A805" s="84"/>
    </row>
    <row r="806" spans="1:1" ht="13.8" x14ac:dyDescent="0.25">
      <c r="A806" s="84"/>
    </row>
    <row r="807" spans="1:1" ht="13.8" x14ac:dyDescent="0.25">
      <c r="A807" s="84"/>
    </row>
    <row r="808" spans="1:1" ht="13.8" x14ac:dyDescent="0.25">
      <c r="A808" s="84"/>
    </row>
    <row r="809" spans="1:1" ht="13.8" x14ac:dyDescent="0.25">
      <c r="A809" s="84"/>
    </row>
    <row r="810" spans="1:1" ht="13.8" x14ac:dyDescent="0.25">
      <c r="A810" s="84"/>
    </row>
    <row r="811" spans="1:1" ht="13.8" x14ac:dyDescent="0.25">
      <c r="A811" s="84"/>
    </row>
    <row r="812" spans="1:1" ht="13.8" x14ac:dyDescent="0.25">
      <c r="A812" s="84"/>
    </row>
    <row r="813" spans="1:1" ht="13.8" x14ac:dyDescent="0.25">
      <c r="A813" s="84"/>
    </row>
    <row r="814" spans="1:1" ht="13.8" x14ac:dyDescent="0.25">
      <c r="A814" s="84"/>
    </row>
    <row r="815" spans="1:1" ht="13.8" x14ac:dyDescent="0.25">
      <c r="A815" s="84"/>
    </row>
    <row r="816" spans="1:1" ht="13.8" x14ac:dyDescent="0.25">
      <c r="A816" s="84"/>
    </row>
    <row r="817" spans="1:1" ht="13.8" x14ac:dyDescent="0.25">
      <c r="A817" s="84"/>
    </row>
    <row r="818" spans="1:1" ht="13.8" x14ac:dyDescent="0.25">
      <c r="A818" s="84"/>
    </row>
    <row r="819" spans="1:1" ht="13.8" x14ac:dyDescent="0.25">
      <c r="A819" s="84"/>
    </row>
    <row r="820" spans="1:1" ht="13.8" x14ac:dyDescent="0.25">
      <c r="A820" s="84"/>
    </row>
    <row r="821" spans="1:1" ht="13.8" x14ac:dyDescent="0.25">
      <c r="A821" s="84"/>
    </row>
    <row r="822" spans="1:1" ht="13.8" x14ac:dyDescent="0.25">
      <c r="A822" s="84"/>
    </row>
    <row r="823" spans="1:1" ht="13.8" x14ac:dyDescent="0.25">
      <c r="A823" s="84"/>
    </row>
    <row r="824" spans="1:1" ht="13.8" x14ac:dyDescent="0.25">
      <c r="A824" s="84"/>
    </row>
    <row r="825" spans="1:1" ht="13.8" x14ac:dyDescent="0.25">
      <c r="A825" s="84"/>
    </row>
    <row r="826" spans="1:1" ht="13.8" x14ac:dyDescent="0.25">
      <c r="A826" s="84"/>
    </row>
    <row r="827" spans="1:1" ht="13.8" x14ac:dyDescent="0.25">
      <c r="A827" s="84"/>
    </row>
    <row r="828" spans="1:1" ht="13.8" x14ac:dyDescent="0.25">
      <c r="A828" s="84"/>
    </row>
    <row r="829" spans="1:1" ht="13.8" x14ac:dyDescent="0.25">
      <c r="A829" s="84"/>
    </row>
    <row r="830" spans="1:1" ht="13.8" x14ac:dyDescent="0.25">
      <c r="A830" s="84"/>
    </row>
    <row r="831" spans="1:1" ht="13.8" x14ac:dyDescent="0.25">
      <c r="A831" s="84"/>
    </row>
    <row r="832" spans="1:1" ht="13.8" x14ac:dyDescent="0.25">
      <c r="A832" s="84"/>
    </row>
    <row r="833" spans="1:1" ht="13.8" x14ac:dyDescent="0.25">
      <c r="A833" s="84"/>
    </row>
    <row r="834" spans="1:1" ht="13.8" x14ac:dyDescent="0.25">
      <c r="A834" s="84"/>
    </row>
    <row r="835" spans="1:1" ht="13.8" x14ac:dyDescent="0.25">
      <c r="A835" s="84"/>
    </row>
    <row r="836" spans="1:1" ht="13.8" x14ac:dyDescent="0.25">
      <c r="A836" s="84"/>
    </row>
    <row r="837" spans="1:1" ht="13.8" x14ac:dyDescent="0.25">
      <c r="A837" s="84"/>
    </row>
    <row r="838" spans="1:1" ht="13.8" x14ac:dyDescent="0.25">
      <c r="A838" s="84"/>
    </row>
    <row r="839" spans="1:1" ht="13.8" x14ac:dyDescent="0.25">
      <c r="A839" s="84"/>
    </row>
    <row r="840" spans="1:1" ht="13.8" x14ac:dyDescent="0.25">
      <c r="A840" s="84"/>
    </row>
    <row r="841" spans="1:1" ht="13.8" x14ac:dyDescent="0.25">
      <c r="A841" s="84"/>
    </row>
    <row r="842" spans="1:1" ht="13.8" x14ac:dyDescent="0.25">
      <c r="A842" s="84"/>
    </row>
    <row r="843" spans="1:1" ht="13.8" x14ac:dyDescent="0.25">
      <c r="A843" s="84"/>
    </row>
    <row r="844" spans="1:1" ht="13.8" x14ac:dyDescent="0.25">
      <c r="A844" s="84"/>
    </row>
    <row r="845" spans="1:1" ht="13.8" x14ac:dyDescent="0.25">
      <c r="A845" s="84"/>
    </row>
    <row r="846" spans="1:1" ht="13.8" x14ac:dyDescent="0.25">
      <c r="A846" s="84"/>
    </row>
    <row r="847" spans="1:1" ht="13.8" x14ac:dyDescent="0.25">
      <c r="A847" s="84"/>
    </row>
    <row r="848" spans="1:1" ht="13.8" x14ac:dyDescent="0.25">
      <c r="A848" s="84"/>
    </row>
    <row r="849" spans="1:1" ht="13.8" x14ac:dyDescent="0.25">
      <c r="A849" s="84"/>
    </row>
    <row r="850" spans="1:1" ht="13.8" x14ac:dyDescent="0.25">
      <c r="A850" s="84"/>
    </row>
    <row r="851" spans="1:1" ht="13.8" x14ac:dyDescent="0.25">
      <c r="A851" s="84"/>
    </row>
    <row r="852" spans="1:1" ht="13.8" x14ac:dyDescent="0.25">
      <c r="A852" s="84"/>
    </row>
    <row r="853" spans="1:1" ht="13.8" x14ac:dyDescent="0.25">
      <c r="A853" s="84"/>
    </row>
    <row r="854" spans="1:1" ht="13.8" x14ac:dyDescent="0.25">
      <c r="A854" s="84"/>
    </row>
    <row r="855" spans="1:1" ht="13.8" x14ac:dyDescent="0.25">
      <c r="A855" s="84"/>
    </row>
    <row r="856" spans="1:1" ht="13.8" x14ac:dyDescent="0.25">
      <c r="A856" s="84"/>
    </row>
    <row r="857" spans="1:1" ht="13.8" x14ac:dyDescent="0.25">
      <c r="A857" s="84"/>
    </row>
    <row r="858" spans="1:1" ht="13.8" x14ac:dyDescent="0.25">
      <c r="A858" s="84"/>
    </row>
    <row r="859" spans="1:1" ht="13.8" x14ac:dyDescent="0.25">
      <c r="A859" s="84"/>
    </row>
    <row r="860" spans="1:1" ht="13.8" x14ac:dyDescent="0.25">
      <c r="A860" s="84"/>
    </row>
    <row r="861" spans="1:1" ht="13.8" x14ac:dyDescent="0.25">
      <c r="A861" s="84"/>
    </row>
    <row r="862" spans="1:1" ht="13.8" x14ac:dyDescent="0.25">
      <c r="A862" s="84"/>
    </row>
    <row r="863" spans="1:1" ht="13.8" x14ac:dyDescent="0.25">
      <c r="A863" s="84"/>
    </row>
    <row r="864" spans="1:1" ht="13.8" x14ac:dyDescent="0.25">
      <c r="A864" s="84"/>
    </row>
    <row r="865" spans="1:1" ht="13.8" x14ac:dyDescent="0.25">
      <c r="A865" s="84"/>
    </row>
    <row r="866" spans="1:1" ht="13.8" x14ac:dyDescent="0.25">
      <c r="A866" s="84"/>
    </row>
    <row r="867" spans="1:1" ht="13.8" x14ac:dyDescent="0.25">
      <c r="A867" s="84"/>
    </row>
    <row r="868" spans="1:1" ht="13.8" x14ac:dyDescent="0.25">
      <c r="A868" s="84"/>
    </row>
    <row r="869" spans="1:1" ht="13.8" x14ac:dyDescent="0.25">
      <c r="A869" s="84"/>
    </row>
    <row r="870" spans="1:1" ht="13.8" x14ac:dyDescent="0.25">
      <c r="A870" s="84"/>
    </row>
    <row r="871" spans="1:1" ht="13.8" x14ac:dyDescent="0.25">
      <c r="A871" s="84"/>
    </row>
    <row r="872" spans="1:1" ht="13.8" x14ac:dyDescent="0.25">
      <c r="A872" s="84"/>
    </row>
    <row r="873" spans="1:1" ht="13.8" x14ac:dyDescent="0.25">
      <c r="A873" s="84"/>
    </row>
    <row r="874" spans="1:1" ht="13.8" x14ac:dyDescent="0.25">
      <c r="A874" s="84"/>
    </row>
    <row r="875" spans="1:1" ht="13.8" x14ac:dyDescent="0.25">
      <c r="A875" s="84"/>
    </row>
    <row r="876" spans="1:1" ht="13.8" x14ac:dyDescent="0.25">
      <c r="A876" s="84"/>
    </row>
    <row r="877" spans="1:1" ht="13.8" x14ac:dyDescent="0.25">
      <c r="A877" s="84"/>
    </row>
    <row r="878" spans="1:1" ht="13.8" x14ac:dyDescent="0.25">
      <c r="A878" s="84"/>
    </row>
    <row r="879" spans="1:1" ht="13.8" x14ac:dyDescent="0.25">
      <c r="A879" s="84"/>
    </row>
    <row r="880" spans="1:1" ht="13.8" x14ac:dyDescent="0.25">
      <c r="A880" s="84"/>
    </row>
    <row r="881" spans="1:1" ht="13.8" x14ac:dyDescent="0.25">
      <c r="A881" s="84"/>
    </row>
    <row r="882" spans="1:1" ht="13.8" x14ac:dyDescent="0.25">
      <c r="A882" s="84"/>
    </row>
    <row r="883" spans="1:1" ht="13.8" x14ac:dyDescent="0.25">
      <c r="A883" s="84"/>
    </row>
    <row r="884" spans="1:1" ht="13.8" x14ac:dyDescent="0.25">
      <c r="A884" s="84"/>
    </row>
    <row r="885" spans="1:1" ht="13.8" x14ac:dyDescent="0.25">
      <c r="A885" s="84"/>
    </row>
    <row r="886" spans="1:1" ht="13.8" x14ac:dyDescent="0.25">
      <c r="A886" s="84"/>
    </row>
    <row r="887" spans="1:1" ht="13.8" x14ac:dyDescent="0.25">
      <c r="A887" s="84"/>
    </row>
    <row r="888" spans="1:1" ht="13.8" x14ac:dyDescent="0.25">
      <c r="A888" s="84"/>
    </row>
    <row r="889" spans="1:1" ht="13.8" x14ac:dyDescent="0.25">
      <c r="A889" s="84"/>
    </row>
    <row r="890" spans="1:1" ht="13.8" x14ac:dyDescent="0.25">
      <c r="A890" s="84"/>
    </row>
    <row r="891" spans="1:1" ht="13.8" x14ac:dyDescent="0.25">
      <c r="A891" s="84"/>
    </row>
    <row r="892" spans="1:1" ht="13.8" x14ac:dyDescent="0.25">
      <c r="A892" s="84"/>
    </row>
    <row r="893" spans="1:1" ht="13.8" x14ac:dyDescent="0.25">
      <c r="A893" s="84"/>
    </row>
    <row r="894" spans="1:1" ht="13.8" x14ac:dyDescent="0.25">
      <c r="A894" s="84"/>
    </row>
    <row r="895" spans="1:1" ht="13.8" x14ac:dyDescent="0.25">
      <c r="A895" s="84"/>
    </row>
    <row r="896" spans="1:1" ht="13.8" x14ac:dyDescent="0.25">
      <c r="A896" s="84"/>
    </row>
    <row r="897" spans="1:1" ht="13.8" x14ac:dyDescent="0.25">
      <c r="A897" s="84"/>
    </row>
    <row r="898" spans="1:1" ht="13.8" x14ac:dyDescent="0.25">
      <c r="A898" s="84"/>
    </row>
    <row r="899" spans="1:1" ht="13.8" x14ac:dyDescent="0.25">
      <c r="A899" s="84"/>
    </row>
    <row r="900" spans="1:1" ht="13.8" x14ac:dyDescent="0.25">
      <c r="A900" s="84"/>
    </row>
    <row r="901" spans="1:1" ht="13.8" x14ac:dyDescent="0.25">
      <c r="A901" s="84"/>
    </row>
    <row r="902" spans="1:1" ht="13.8" x14ac:dyDescent="0.25">
      <c r="A902" s="84"/>
    </row>
    <row r="903" spans="1:1" ht="13.8" x14ac:dyDescent="0.25">
      <c r="A903" s="84"/>
    </row>
    <row r="904" spans="1:1" ht="13.8" x14ac:dyDescent="0.25">
      <c r="A904" s="84"/>
    </row>
    <row r="905" spans="1:1" ht="13.8" x14ac:dyDescent="0.25">
      <c r="A905" s="84"/>
    </row>
    <row r="906" spans="1:1" ht="13.8" x14ac:dyDescent="0.25">
      <c r="A906" s="84"/>
    </row>
    <row r="907" spans="1:1" ht="13.8" x14ac:dyDescent="0.25">
      <c r="A907" s="84"/>
    </row>
    <row r="908" spans="1:1" ht="13.8" x14ac:dyDescent="0.25">
      <c r="A908" s="84"/>
    </row>
    <row r="909" spans="1:1" ht="13.8" x14ac:dyDescent="0.25">
      <c r="A909" s="84"/>
    </row>
    <row r="910" spans="1:1" ht="13.8" x14ac:dyDescent="0.25">
      <c r="A910" s="84"/>
    </row>
    <row r="911" spans="1:1" ht="13.8" x14ac:dyDescent="0.25">
      <c r="A911" s="84"/>
    </row>
    <row r="912" spans="1:1" ht="13.8" x14ac:dyDescent="0.25">
      <c r="A912" s="84"/>
    </row>
    <row r="913" spans="1:1" ht="13.8" x14ac:dyDescent="0.25">
      <c r="A913" s="84"/>
    </row>
    <row r="914" spans="1:1" ht="13.8" x14ac:dyDescent="0.25">
      <c r="A914" s="84"/>
    </row>
    <row r="915" spans="1:1" ht="13.8" x14ac:dyDescent="0.25">
      <c r="A915" s="84"/>
    </row>
    <row r="916" spans="1:1" ht="13.8" x14ac:dyDescent="0.25">
      <c r="A916" s="84"/>
    </row>
    <row r="917" spans="1:1" ht="13.8" x14ac:dyDescent="0.25">
      <c r="A917" s="84"/>
    </row>
    <row r="918" spans="1:1" ht="13.8" x14ac:dyDescent="0.25">
      <c r="A918" s="84"/>
    </row>
    <row r="919" spans="1:1" ht="13.8" x14ac:dyDescent="0.25">
      <c r="A919" s="84"/>
    </row>
    <row r="920" spans="1:1" ht="13.8" x14ac:dyDescent="0.25">
      <c r="A920" s="84"/>
    </row>
    <row r="921" spans="1:1" ht="13.8" x14ac:dyDescent="0.25">
      <c r="A921" s="84"/>
    </row>
    <row r="922" spans="1:1" ht="13.8" x14ac:dyDescent="0.25">
      <c r="A922" s="84"/>
    </row>
    <row r="923" spans="1:1" ht="13.8" x14ac:dyDescent="0.25">
      <c r="A923" s="84"/>
    </row>
    <row r="924" spans="1:1" ht="13.8" x14ac:dyDescent="0.25">
      <c r="A924" s="84"/>
    </row>
    <row r="925" spans="1:1" ht="13.8" x14ac:dyDescent="0.25">
      <c r="A925" s="84"/>
    </row>
    <row r="926" spans="1:1" ht="13.8" x14ac:dyDescent="0.25">
      <c r="A926" s="84"/>
    </row>
    <row r="927" spans="1:1" ht="13.8" x14ac:dyDescent="0.25">
      <c r="A927" s="84"/>
    </row>
    <row r="928" spans="1:1" ht="13.8" x14ac:dyDescent="0.25">
      <c r="A928" s="84"/>
    </row>
    <row r="929" spans="1:1" ht="13.8" x14ac:dyDescent="0.25">
      <c r="A929" s="84"/>
    </row>
    <row r="930" spans="1:1" ht="13.8" x14ac:dyDescent="0.25">
      <c r="A930" s="84"/>
    </row>
    <row r="931" spans="1:1" ht="13.8" x14ac:dyDescent="0.25">
      <c r="A931" s="84"/>
    </row>
    <row r="932" spans="1:1" ht="13.8" x14ac:dyDescent="0.25">
      <c r="A932" s="84"/>
    </row>
    <row r="933" spans="1:1" ht="13.8" x14ac:dyDescent="0.25">
      <c r="A933" s="84"/>
    </row>
    <row r="934" spans="1:1" ht="13.8" x14ac:dyDescent="0.25">
      <c r="A934" s="84"/>
    </row>
    <row r="935" spans="1:1" ht="13.8" x14ac:dyDescent="0.25">
      <c r="A935" s="84"/>
    </row>
    <row r="936" spans="1:1" ht="13.8" x14ac:dyDescent="0.25">
      <c r="A936" s="84"/>
    </row>
    <row r="937" spans="1:1" ht="13.8" x14ac:dyDescent="0.25">
      <c r="A937" s="84"/>
    </row>
    <row r="938" spans="1:1" ht="13.8" x14ac:dyDescent="0.25">
      <c r="A938" s="84"/>
    </row>
    <row r="939" spans="1:1" ht="13.8" x14ac:dyDescent="0.25">
      <c r="A939" s="84"/>
    </row>
    <row r="940" spans="1:1" ht="13.8" x14ac:dyDescent="0.25">
      <c r="A940" s="84"/>
    </row>
    <row r="941" spans="1:1" ht="13.8" x14ac:dyDescent="0.25">
      <c r="A941" s="84"/>
    </row>
    <row r="942" spans="1:1" ht="13.8" x14ac:dyDescent="0.25">
      <c r="A942" s="84"/>
    </row>
    <row r="943" spans="1:1" ht="13.8" x14ac:dyDescent="0.25">
      <c r="A943" s="84"/>
    </row>
    <row r="944" spans="1:1" ht="13.8" x14ac:dyDescent="0.25">
      <c r="A944" s="84"/>
    </row>
    <row r="945" spans="1:1" ht="13.8" x14ac:dyDescent="0.25">
      <c r="A945" s="84"/>
    </row>
    <row r="946" spans="1:1" ht="13.8" x14ac:dyDescent="0.25">
      <c r="A946" s="84"/>
    </row>
    <row r="947" spans="1:1" ht="13.8" x14ac:dyDescent="0.25">
      <c r="A947" s="84"/>
    </row>
    <row r="948" spans="1:1" ht="13.8" x14ac:dyDescent="0.25">
      <c r="A948" s="84"/>
    </row>
    <row r="949" spans="1:1" ht="13.8" x14ac:dyDescent="0.25">
      <c r="A949" s="84"/>
    </row>
    <row r="950" spans="1:1" ht="13.8" x14ac:dyDescent="0.25">
      <c r="A950" s="84"/>
    </row>
    <row r="951" spans="1:1" ht="13.8" x14ac:dyDescent="0.25">
      <c r="A951" s="84"/>
    </row>
    <row r="952" spans="1:1" ht="13.8" x14ac:dyDescent="0.25">
      <c r="A952" s="84"/>
    </row>
    <row r="953" spans="1:1" ht="13.8" x14ac:dyDescent="0.25">
      <c r="A953" s="84"/>
    </row>
    <row r="954" spans="1:1" ht="13.8" x14ac:dyDescent="0.25">
      <c r="A954" s="84"/>
    </row>
    <row r="955" spans="1:1" ht="13.8" x14ac:dyDescent="0.25">
      <c r="A955" s="84"/>
    </row>
    <row r="956" spans="1:1" ht="13.8" x14ac:dyDescent="0.25">
      <c r="A956" s="84"/>
    </row>
    <row r="957" spans="1:1" ht="13.8" x14ac:dyDescent="0.25">
      <c r="A957" s="84"/>
    </row>
    <row r="958" spans="1:1" ht="13.8" x14ac:dyDescent="0.25">
      <c r="A958" s="84"/>
    </row>
    <row r="959" spans="1:1" ht="13.8" x14ac:dyDescent="0.25">
      <c r="A959" s="84"/>
    </row>
    <row r="960" spans="1:1" ht="13.8" x14ac:dyDescent="0.25">
      <c r="A960" s="84"/>
    </row>
    <row r="961" spans="1:1" ht="13.8" x14ac:dyDescent="0.25">
      <c r="A961" s="84"/>
    </row>
    <row r="962" spans="1:1" ht="13.8" x14ac:dyDescent="0.25">
      <c r="A962" s="84"/>
    </row>
    <row r="963" spans="1:1" ht="13.8" x14ac:dyDescent="0.25">
      <c r="A963" s="84"/>
    </row>
    <row r="964" spans="1:1" ht="13.8" x14ac:dyDescent="0.25">
      <c r="A964" s="84"/>
    </row>
    <row r="965" spans="1:1" ht="13.8" x14ac:dyDescent="0.25">
      <c r="A965" s="84"/>
    </row>
    <row r="966" spans="1:1" ht="13.8" x14ac:dyDescent="0.25">
      <c r="A966" s="84"/>
    </row>
    <row r="967" spans="1:1" ht="13.8" x14ac:dyDescent="0.25">
      <c r="A967" s="84"/>
    </row>
    <row r="968" spans="1:1" ht="13.8" x14ac:dyDescent="0.25">
      <c r="A968" s="84"/>
    </row>
    <row r="969" spans="1:1" ht="13.8" x14ac:dyDescent="0.25">
      <c r="A969" s="84"/>
    </row>
    <row r="970" spans="1:1" ht="13.8" x14ac:dyDescent="0.25">
      <c r="A970" s="84"/>
    </row>
    <row r="971" spans="1:1" ht="13.8" x14ac:dyDescent="0.25">
      <c r="A971" s="84"/>
    </row>
    <row r="972" spans="1:1" ht="13.8" x14ac:dyDescent="0.25">
      <c r="A972" s="84"/>
    </row>
    <row r="973" spans="1:1" ht="13.8" x14ac:dyDescent="0.25">
      <c r="A973" s="84"/>
    </row>
    <row r="974" spans="1:1" ht="13.8" x14ac:dyDescent="0.25">
      <c r="A974" s="84"/>
    </row>
    <row r="975" spans="1:1" ht="13.8" x14ac:dyDescent="0.25">
      <c r="A975" s="84"/>
    </row>
    <row r="976" spans="1:1" ht="13.8" x14ac:dyDescent="0.25">
      <c r="A976" s="84"/>
    </row>
    <row r="977" spans="1:1" ht="13.8" x14ac:dyDescent="0.25">
      <c r="A977" s="84"/>
    </row>
    <row r="978" spans="1:1" ht="13.8" x14ac:dyDescent="0.25">
      <c r="A978" s="84"/>
    </row>
    <row r="979" spans="1:1" ht="13.8" x14ac:dyDescent="0.25">
      <c r="A979" s="84"/>
    </row>
    <row r="980" spans="1:1" ht="13.8" x14ac:dyDescent="0.25">
      <c r="A980" s="84"/>
    </row>
    <row r="981" spans="1:1" ht="13.8" x14ac:dyDescent="0.25">
      <c r="A981" s="84"/>
    </row>
    <row r="982" spans="1:1" ht="13.8" x14ac:dyDescent="0.25">
      <c r="A982" s="84"/>
    </row>
    <row r="983" spans="1:1" ht="13.8" x14ac:dyDescent="0.25">
      <c r="A983" s="84"/>
    </row>
    <row r="984" spans="1:1" ht="13.8" x14ac:dyDescent="0.25">
      <c r="A984" s="84"/>
    </row>
    <row r="985" spans="1:1" ht="13.8" x14ac:dyDescent="0.25">
      <c r="A985" s="84"/>
    </row>
    <row r="986" spans="1:1" ht="13.8" x14ac:dyDescent="0.25">
      <c r="A986" s="84"/>
    </row>
    <row r="987" spans="1:1" ht="13.8" x14ac:dyDescent="0.25">
      <c r="A987" s="84"/>
    </row>
    <row r="988" spans="1:1" ht="13.8" x14ac:dyDescent="0.25">
      <c r="A988" s="84"/>
    </row>
    <row r="989" spans="1:1" ht="13.8" x14ac:dyDescent="0.25">
      <c r="A989" s="84"/>
    </row>
    <row r="990" spans="1:1" ht="13.8" x14ac:dyDescent="0.25">
      <c r="A990" s="84"/>
    </row>
  </sheetData>
  <mergeCells count="12">
    <mergeCell ref="P62:P66"/>
    <mergeCell ref="K82:K83"/>
    <mergeCell ref="L82:L83"/>
    <mergeCell ref="M82:M83"/>
    <mergeCell ref="N82:N83"/>
    <mergeCell ref="O82:O83"/>
    <mergeCell ref="P82:P83"/>
    <mergeCell ref="K62:K66"/>
    <mergeCell ref="L62:L66"/>
    <mergeCell ref="M62:M66"/>
    <mergeCell ref="N62:N66"/>
    <mergeCell ref="O62:O6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J277"/>
  <sheetViews>
    <sheetView tabSelected="1" zoomScale="102" zoomScaleNormal="102" workbookViewId="0">
      <selection activeCell="A149" sqref="A149"/>
    </sheetView>
  </sheetViews>
  <sheetFormatPr defaultColWidth="12.6640625" defaultRowHeight="15.75" customHeight="1" x14ac:dyDescent="0.25"/>
  <cols>
    <col min="1" max="1" width="3" style="7" bestFit="1" customWidth="1"/>
    <col min="2" max="2" width="31.109375" style="1" customWidth="1"/>
    <col min="3" max="3" width="25.5546875" style="1" customWidth="1"/>
    <col min="4" max="4" width="23" style="1" bestFit="1" customWidth="1"/>
    <col min="5" max="5" width="19.33203125" style="1" bestFit="1" customWidth="1"/>
    <col min="6" max="16384" width="12.6640625" style="1"/>
  </cols>
  <sheetData>
    <row r="2" spans="1:10" ht="15.75" customHeight="1" x14ac:dyDescent="0.35">
      <c r="A2" s="128" t="s">
        <v>156</v>
      </c>
      <c r="B2" s="128"/>
      <c r="C2" s="128"/>
    </row>
    <row r="3" spans="1:10" ht="15.75" customHeight="1" x14ac:dyDescent="0.25">
      <c r="A3" s="12">
        <v>1</v>
      </c>
      <c r="B3" s="13" t="s">
        <v>122</v>
      </c>
      <c r="C3" s="3" t="s">
        <v>123</v>
      </c>
    </row>
    <row r="4" spans="1:10" ht="15.75" customHeight="1" x14ac:dyDescent="0.25">
      <c r="A4" s="12">
        <v>2</v>
      </c>
      <c r="B4" s="13" t="s">
        <v>124</v>
      </c>
      <c r="C4" s="5" t="s">
        <v>125</v>
      </c>
    </row>
    <row r="5" spans="1:10" ht="15.75" customHeight="1" x14ac:dyDescent="0.25">
      <c r="A5" s="12">
        <v>3</v>
      </c>
      <c r="B5" s="13" t="s">
        <v>126</v>
      </c>
      <c r="C5" s="4" t="s">
        <v>125</v>
      </c>
    </row>
    <row r="7" spans="1:10" ht="9.6" customHeight="1" x14ac:dyDescent="0.25"/>
    <row r="8" spans="1:10" ht="15.75" customHeight="1" x14ac:dyDescent="0.35">
      <c r="A8" s="129" t="s">
        <v>200</v>
      </c>
      <c r="B8" s="129"/>
      <c r="C8" s="129"/>
      <c r="D8" s="129"/>
      <c r="E8" s="129"/>
      <c r="F8" s="129"/>
      <c r="G8" s="129"/>
      <c r="H8" s="129"/>
      <c r="I8" s="129"/>
      <c r="J8" s="129"/>
    </row>
    <row r="9" spans="1:10" ht="15.75" customHeight="1" x14ac:dyDescent="0.25">
      <c r="A9" s="12">
        <v>1</v>
      </c>
      <c r="B9" s="13" t="s">
        <v>137</v>
      </c>
      <c r="C9" s="98" t="s">
        <v>129</v>
      </c>
      <c r="D9" s="98"/>
      <c r="E9" s="98"/>
      <c r="F9" s="98"/>
      <c r="G9" s="98"/>
      <c r="H9" s="98"/>
      <c r="I9" s="98"/>
      <c r="J9" s="98"/>
    </row>
    <row r="10" spans="1:10" ht="15.75" customHeight="1" x14ac:dyDescent="0.25">
      <c r="A10" s="105">
        <v>2</v>
      </c>
      <c r="B10" s="98" t="s">
        <v>138</v>
      </c>
      <c r="C10" s="103" t="s">
        <v>143</v>
      </c>
      <c r="D10" s="103"/>
      <c r="E10" s="103"/>
      <c r="F10" s="103"/>
      <c r="G10" s="103"/>
      <c r="H10" s="103"/>
      <c r="I10" s="103"/>
      <c r="J10" s="103"/>
    </row>
    <row r="11" spans="1:10" ht="15.75" customHeight="1" x14ac:dyDescent="0.25">
      <c r="A11" s="105"/>
      <c r="B11" s="98"/>
      <c r="C11" s="103"/>
      <c r="D11" s="103"/>
      <c r="E11" s="103"/>
      <c r="F11" s="103"/>
      <c r="G11" s="103"/>
      <c r="H11" s="103"/>
      <c r="I11" s="103"/>
      <c r="J11" s="103"/>
    </row>
    <row r="12" spans="1:10" ht="15.75" customHeight="1" x14ac:dyDescent="0.25">
      <c r="A12" s="12">
        <v>3</v>
      </c>
      <c r="B12" s="15" t="s">
        <v>91</v>
      </c>
      <c r="C12" s="98" t="s">
        <v>130</v>
      </c>
      <c r="D12" s="98"/>
      <c r="E12" s="98"/>
      <c r="F12" s="98"/>
      <c r="G12" s="98"/>
      <c r="H12" s="98"/>
      <c r="I12" s="98"/>
      <c r="J12" s="98"/>
    </row>
    <row r="13" spans="1:10" ht="15.75" customHeight="1" x14ac:dyDescent="0.25">
      <c r="A13" s="12">
        <v>4</v>
      </c>
      <c r="B13" s="15" t="s">
        <v>15</v>
      </c>
      <c r="C13" s="98" t="s">
        <v>131</v>
      </c>
      <c r="D13" s="98"/>
      <c r="E13" s="98"/>
      <c r="F13" s="98"/>
      <c r="G13" s="98"/>
      <c r="H13" s="98"/>
      <c r="I13" s="98"/>
      <c r="J13" s="98"/>
    </row>
    <row r="14" spans="1:10" ht="15.75" customHeight="1" x14ac:dyDescent="0.25">
      <c r="A14" s="12">
        <v>5</v>
      </c>
      <c r="B14" s="15" t="s">
        <v>17</v>
      </c>
      <c r="C14" s="98" t="s">
        <v>96</v>
      </c>
      <c r="D14" s="98"/>
      <c r="E14" s="98"/>
      <c r="F14" s="98"/>
      <c r="G14" s="98"/>
      <c r="H14" s="98"/>
      <c r="I14" s="98"/>
      <c r="J14" s="98"/>
    </row>
    <row r="15" spans="1:10" ht="15.75" customHeight="1" x14ac:dyDescent="0.25">
      <c r="A15" s="12">
        <v>6</v>
      </c>
      <c r="B15" s="15" t="s">
        <v>95</v>
      </c>
      <c r="C15" s="98" t="s">
        <v>132</v>
      </c>
      <c r="D15" s="98"/>
      <c r="E15" s="98"/>
      <c r="F15" s="98"/>
      <c r="G15" s="98"/>
      <c r="H15" s="98"/>
      <c r="I15" s="98"/>
      <c r="J15" s="98"/>
    </row>
    <row r="16" spans="1:10" ht="15.75" customHeight="1" x14ac:dyDescent="0.25">
      <c r="A16" s="12">
        <v>7</v>
      </c>
      <c r="B16" s="15" t="s">
        <v>139</v>
      </c>
      <c r="C16" s="98" t="s">
        <v>128</v>
      </c>
      <c r="D16" s="98"/>
      <c r="E16" s="98"/>
      <c r="F16" s="98"/>
      <c r="G16" s="98"/>
      <c r="H16" s="98"/>
      <c r="I16" s="98"/>
      <c r="J16" s="98"/>
    </row>
    <row r="17" spans="1:10" ht="15.75" customHeight="1" x14ac:dyDescent="0.25">
      <c r="A17" s="12">
        <v>8</v>
      </c>
      <c r="B17" s="15" t="s">
        <v>27</v>
      </c>
      <c r="C17" s="98" t="s">
        <v>98</v>
      </c>
      <c r="D17" s="118"/>
      <c r="E17" s="118"/>
      <c r="F17" s="118"/>
      <c r="G17" s="118"/>
      <c r="H17" s="118"/>
      <c r="I17" s="118"/>
      <c r="J17" s="118"/>
    </row>
    <row r="18" spans="1:10" ht="15.75" customHeight="1" x14ac:dyDescent="0.25">
      <c r="A18" s="113">
        <v>9</v>
      </c>
      <c r="B18" s="103" t="s">
        <v>140</v>
      </c>
      <c r="C18" s="103" t="s">
        <v>144</v>
      </c>
      <c r="D18" s="103"/>
      <c r="E18" s="103"/>
      <c r="F18" s="103"/>
      <c r="G18" s="103"/>
      <c r="H18" s="112"/>
      <c r="I18" s="112"/>
      <c r="J18" s="112"/>
    </row>
    <row r="19" spans="1:10" ht="15.75" customHeight="1" x14ac:dyDescent="0.25">
      <c r="A19" s="115"/>
      <c r="B19" s="103"/>
      <c r="C19" s="103"/>
      <c r="D19" s="103"/>
      <c r="E19" s="103"/>
      <c r="F19" s="103"/>
      <c r="G19" s="103"/>
      <c r="H19" s="112"/>
      <c r="I19" s="112"/>
      <c r="J19" s="112"/>
    </row>
    <row r="20" spans="1:10" ht="15.75" customHeight="1" x14ac:dyDescent="0.25">
      <c r="A20" s="12">
        <v>11</v>
      </c>
      <c r="B20" s="15" t="s">
        <v>133</v>
      </c>
      <c r="C20" s="98" t="s">
        <v>134</v>
      </c>
      <c r="D20" s="118"/>
      <c r="E20" s="118"/>
      <c r="F20" s="118"/>
      <c r="G20" s="118"/>
      <c r="H20" s="118"/>
      <c r="I20" s="118"/>
      <c r="J20" s="118"/>
    </row>
    <row r="21" spans="1:10" ht="15.75" customHeight="1" x14ac:dyDescent="0.25">
      <c r="A21" s="12">
        <v>12</v>
      </c>
      <c r="B21" s="15" t="s">
        <v>135</v>
      </c>
      <c r="C21" s="98" t="s">
        <v>129</v>
      </c>
      <c r="D21" s="118"/>
      <c r="E21" s="118"/>
      <c r="F21" s="118"/>
      <c r="G21" s="118"/>
      <c r="H21" s="118"/>
      <c r="I21" s="118"/>
      <c r="J21" s="118"/>
    </row>
    <row r="22" spans="1:10" ht="15.75" customHeight="1" x14ac:dyDescent="0.25">
      <c r="A22" s="12">
        <v>13</v>
      </c>
      <c r="B22" s="98" t="s">
        <v>136</v>
      </c>
      <c r="C22" s="118"/>
      <c r="D22" s="118"/>
      <c r="E22" s="118"/>
      <c r="F22" s="118"/>
      <c r="G22" s="118"/>
      <c r="H22" s="118"/>
      <c r="I22" s="118"/>
      <c r="J22" s="118"/>
    </row>
    <row r="23" spans="1:10" ht="15.75" customHeight="1" x14ac:dyDescent="0.25">
      <c r="A23" s="113">
        <v>14</v>
      </c>
      <c r="B23" s="98" t="s">
        <v>94</v>
      </c>
      <c r="C23" s="103" t="s">
        <v>120</v>
      </c>
      <c r="D23" s="103"/>
      <c r="E23" s="103"/>
      <c r="F23" s="103"/>
      <c r="G23" s="103"/>
      <c r="H23" s="103"/>
      <c r="I23" s="103"/>
      <c r="J23" s="103"/>
    </row>
    <row r="24" spans="1:10" ht="15.75" customHeight="1" x14ac:dyDescent="0.25">
      <c r="A24" s="115"/>
      <c r="B24" s="98"/>
      <c r="C24" s="103"/>
      <c r="D24" s="103"/>
      <c r="E24" s="103"/>
      <c r="F24" s="103"/>
      <c r="G24" s="103"/>
      <c r="H24" s="103"/>
      <c r="I24" s="103"/>
      <c r="J24" s="103"/>
    </row>
    <row r="25" spans="1:10" ht="15.75" customHeight="1" x14ac:dyDescent="0.25">
      <c r="A25" s="12">
        <v>15</v>
      </c>
      <c r="B25" s="15" t="s">
        <v>141</v>
      </c>
      <c r="C25" s="103" t="s">
        <v>93</v>
      </c>
      <c r="D25" s="112"/>
      <c r="E25" s="112"/>
      <c r="F25" s="112"/>
      <c r="G25" s="112"/>
      <c r="H25" s="112"/>
      <c r="I25" s="112"/>
      <c r="J25" s="112"/>
    </row>
    <row r="26" spans="1:10" ht="15.75" customHeight="1" x14ac:dyDescent="0.25">
      <c r="A26" s="12">
        <v>16</v>
      </c>
      <c r="B26" s="15" t="s">
        <v>142</v>
      </c>
      <c r="C26" s="103" t="s">
        <v>93</v>
      </c>
      <c r="D26" s="112"/>
      <c r="E26" s="112"/>
      <c r="F26" s="112"/>
      <c r="G26" s="112"/>
      <c r="H26" s="112"/>
      <c r="I26" s="112"/>
      <c r="J26" s="112"/>
    </row>
    <row r="27" spans="1:10" ht="15.75" customHeight="1" x14ac:dyDescent="0.25">
      <c r="A27" s="12">
        <v>17</v>
      </c>
      <c r="B27" s="15" t="s">
        <v>204</v>
      </c>
      <c r="C27" s="103" t="s">
        <v>93</v>
      </c>
      <c r="D27" s="112"/>
      <c r="E27" s="112"/>
      <c r="F27" s="112"/>
      <c r="G27" s="112"/>
      <c r="H27" s="112"/>
      <c r="I27" s="112"/>
      <c r="J27" s="112"/>
    </row>
    <row r="28" spans="1:10" ht="15.75" customHeight="1" x14ac:dyDescent="0.25">
      <c r="A28" s="113">
        <v>18</v>
      </c>
      <c r="B28" s="98" t="s">
        <v>145</v>
      </c>
      <c r="C28" s="103" t="s">
        <v>143</v>
      </c>
      <c r="D28" s="103"/>
      <c r="E28" s="103"/>
      <c r="F28" s="103"/>
      <c r="G28" s="103"/>
      <c r="H28" s="112"/>
      <c r="I28" s="112"/>
      <c r="J28" s="112"/>
    </row>
    <row r="29" spans="1:10" ht="15.75" customHeight="1" x14ac:dyDescent="0.25">
      <c r="A29" s="115"/>
      <c r="B29" s="98"/>
      <c r="C29" s="103"/>
      <c r="D29" s="103"/>
      <c r="E29" s="103"/>
      <c r="F29" s="103"/>
      <c r="G29" s="103"/>
      <c r="H29" s="112"/>
      <c r="I29" s="112"/>
      <c r="J29" s="112"/>
    </row>
    <row r="30" spans="1:10" ht="15.75" customHeight="1" x14ac:dyDescent="0.25">
      <c r="A30" s="12">
        <v>19</v>
      </c>
      <c r="B30" s="100" t="s">
        <v>127</v>
      </c>
      <c r="C30" s="108"/>
      <c r="D30" s="108"/>
      <c r="E30" s="108"/>
      <c r="F30" s="108"/>
      <c r="G30" s="108"/>
      <c r="H30" s="108"/>
      <c r="I30" s="108"/>
      <c r="J30" s="109"/>
    </row>
    <row r="31" spans="1:10" ht="15.75" customHeight="1" x14ac:dyDescent="0.25">
      <c r="A31" s="113">
        <v>20</v>
      </c>
      <c r="B31" s="98" t="s">
        <v>146</v>
      </c>
      <c r="C31" s="103" t="s">
        <v>144</v>
      </c>
      <c r="D31" s="103"/>
      <c r="E31" s="103"/>
      <c r="F31" s="103"/>
      <c r="G31" s="103"/>
      <c r="H31" s="112"/>
      <c r="I31" s="112"/>
      <c r="J31" s="112"/>
    </row>
    <row r="32" spans="1:10" ht="15.75" customHeight="1" x14ac:dyDescent="0.25">
      <c r="A32" s="115"/>
      <c r="B32" s="98"/>
      <c r="C32" s="103"/>
      <c r="D32" s="103"/>
      <c r="E32" s="103"/>
      <c r="F32" s="103"/>
      <c r="G32" s="103"/>
      <c r="H32" s="112"/>
      <c r="I32" s="112"/>
      <c r="J32" s="112"/>
    </row>
    <row r="33" spans="1:10" ht="15.75" customHeight="1" x14ac:dyDescent="0.25">
      <c r="A33" s="12">
        <v>21</v>
      </c>
      <c r="B33" s="103" t="s">
        <v>118</v>
      </c>
      <c r="C33" s="112"/>
      <c r="D33" s="112"/>
      <c r="E33" s="112"/>
      <c r="F33" s="112"/>
      <c r="G33" s="112"/>
      <c r="H33" s="112"/>
      <c r="I33" s="112"/>
      <c r="J33" s="112"/>
    </row>
    <row r="34" spans="1:10" ht="15.75" customHeight="1" x14ac:dyDescent="0.25">
      <c r="A34" s="12">
        <v>22</v>
      </c>
      <c r="B34" s="15" t="s">
        <v>147</v>
      </c>
      <c r="C34" s="103" t="s">
        <v>149</v>
      </c>
      <c r="D34" s="112"/>
      <c r="E34" s="112"/>
      <c r="F34" s="112"/>
      <c r="G34" s="112"/>
      <c r="H34" s="112"/>
      <c r="I34" s="112"/>
      <c r="J34" s="112"/>
    </row>
    <row r="35" spans="1:10" ht="15.75" customHeight="1" x14ac:dyDescent="0.25">
      <c r="A35" s="12">
        <v>23</v>
      </c>
      <c r="B35" s="15" t="s">
        <v>91</v>
      </c>
      <c r="C35" s="103" t="s">
        <v>130</v>
      </c>
      <c r="D35" s="112"/>
      <c r="E35" s="112"/>
      <c r="F35" s="112"/>
      <c r="G35" s="112"/>
      <c r="H35" s="112"/>
      <c r="I35" s="112"/>
      <c r="J35" s="112"/>
    </row>
    <row r="36" spans="1:10" ht="15.75" customHeight="1" x14ac:dyDescent="0.25">
      <c r="A36" s="12">
        <v>24</v>
      </c>
      <c r="B36" s="15" t="s">
        <v>108</v>
      </c>
      <c r="C36" s="103" t="s">
        <v>150</v>
      </c>
      <c r="D36" s="112"/>
      <c r="E36" s="112"/>
      <c r="F36" s="112"/>
      <c r="G36" s="112"/>
      <c r="H36" s="112"/>
      <c r="I36" s="112"/>
      <c r="J36" s="112"/>
    </row>
    <row r="37" spans="1:10" ht="15.75" customHeight="1" x14ac:dyDescent="0.25">
      <c r="A37" s="12">
        <v>25</v>
      </c>
      <c r="B37" s="15" t="s">
        <v>151</v>
      </c>
      <c r="C37" s="103" t="s">
        <v>205</v>
      </c>
      <c r="D37" s="112"/>
      <c r="E37" s="112"/>
      <c r="F37" s="112"/>
      <c r="G37" s="112"/>
      <c r="H37" s="112"/>
      <c r="I37" s="112"/>
      <c r="J37" s="112"/>
    </row>
    <row r="38" spans="1:10" ht="15.75" customHeight="1" x14ac:dyDescent="0.25">
      <c r="A38" s="12">
        <v>26</v>
      </c>
      <c r="B38" s="15" t="s">
        <v>111</v>
      </c>
      <c r="C38" s="103" t="s">
        <v>152</v>
      </c>
      <c r="D38" s="112"/>
      <c r="E38" s="112"/>
      <c r="F38" s="112"/>
      <c r="G38" s="112"/>
      <c r="H38" s="112"/>
      <c r="I38" s="112"/>
      <c r="J38" s="112"/>
    </row>
    <row r="39" spans="1:10" ht="15.75" customHeight="1" x14ac:dyDescent="0.25">
      <c r="A39" s="12">
        <v>27</v>
      </c>
      <c r="B39" s="15" t="s">
        <v>121</v>
      </c>
      <c r="C39" s="103" t="s">
        <v>153</v>
      </c>
      <c r="D39" s="112"/>
      <c r="E39" s="112"/>
      <c r="F39" s="112"/>
      <c r="G39" s="112"/>
      <c r="H39" s="112"/>
      <c r="I39" s="112"/>
      <c r="J39" s="112"/>
    </row>
    <row r="40" spans="1:10" ht="15.75" customHeight="1" x14ac:dyDescent="0.25">
      <c r="A40" s="12">
        <v>28</v>
      </c>
      <c r="B40" s="98" t="s">
        <v>206</v>
      </c>
      <c r="C40" s="98"/>
      <c r="D40" s="98"/>
      <c r="E40" s="98"/>
      <c r="F40" s="98"/>
      <c r="G40" s="98"/>
      <c r="H40" s="98"/>
      <c r="I40" s="98"/>
      <c r="J40" s="98"/>
    </row>
    <row r="75" spans="1:9" ht="15.75" customHeight="1" x14ac:dyDescent="0.3">
      <c r="A75" s="107" t="s">
        <v>203</v>
      </c>
      <c r="B75" s="107"/>
      <c r="C75" s="107"/>
      <c r="D75" s="107"/>
      <c r="E75" s="107"/>
      <c r="F75" s="107"/>
      <c r="G75" s="107"/>
      <c r="H75" s="107"/>
      <c r="I75" s="107"/>
    </row>
    <row r="76" spans="1:9" ht="15.75" customHeight="1" x14ac:dyDescent="0.25">
      <c r="A76" s="113">
        <v>1</v>
      </c>
      <c r="B76" s="105" t="s">
        <v>162</v>
      </c>
      <c r="C76" s="103" t="s">
        <v>158</v>
      </c>
      <c r="D76" s="103"/>
      <c r="E76" s="103"/>
      <c r="F76" s="103"/>
      <c r="G76" s="103"/>
      <c r="H76" s="103"/>
      <c r="I76" s="103"/>
    </row>
    <row r="77" spans="1:9" ht="15.75" customHeight="1" x14ac:dyDescent="0.25">
      <c r="A77" s="114"/>
      <c r="B77" s="105"/>
      <c r="C77" s="103"/>
      <c r="D77" s="103"/>
      <c r="E77" s="103"/>
      <c r="F77" s="103"/>
      <c r="G77" s="103"/>
      <c r="H77" s="103"/>
      <c r="I77" s="103"/>
    </row>
    <row r="78" spans="1:9" ht="15.75" customHeight="1" x14ac:dyDescent="0.25">
      <c r="A78" s="114"/>
      <c r="B78" s="105"/>
      <c r="C78" s="103"/>
      <c r="D78" s="103"/>
      <c r="E78" s="103"/>
      <c r="F78" s="103"/>
      <c r="G78" s="103"/>
      <c r="H78" s="103"/>
      <c r="I78" s="103"/>
    </row>
    <row r="79" spans="1:9" ht="15.75" customHeight="1" x14ac:dyDescent="0.25">
      <c r="A79" s="115"/>
      <c r="B79" s="105"/>
      <c r="C79" s="103"/>
      <c r="D79" s="103"/>
      <c r="E79" s="103"/>
      <c r="F79" s="103"/>
      <c r="G79" s="103"/>
      <c r="H79" s="103"/>
      <c r="I79" s="103"/>
    </row>
    <row r="80" spans="1:9" ht="15.75" customHeight="1" x14ac:dyDescent="0.25">
      <c r="A80" s="113">
        <v>2</v>
      </c>
      <c r="B80" s="105" t="s">
        <v>163</v>
      </c>
      <c r="C80" s="103" t="s">
        <v>159</v>
      </c>
      <c r="D80" s="103"/>
      <c r="E80" s="103"/>
      <c r="F80" s="103"/>
      <c r="G80" s="103"/>
      <c r="H80" s="103"/>
      <c r="I80" s="103"/>
    </row>
    <row r="81" spans="1:9" ht="15.75" customHeight="1" x14ac:dyDescent="0.25">
      <c r="A81" s="114"/>
      <c r="B81" s="105"/>
      <c r="C81" s="103"/>
      <c r="D81" s="103"/>
      <c r="E81" s="103"/>
      <c r="F81" s="103"/>
      <c r="G81" s="103"/>
      <c r="H81" s="103"/>
      <c r="I81" s="103"/>
    </row>
    <row r="82" spans="1:9" ht="15.75" customHeight="1" x14ac:dyDescent="0.25">
      <c r="A82" s="114"/>
      <c r="B82" s="105"/>
      <c r="C82" s="103"/>
      <c r="D82" s="103"/>
      <c r="E82" s="103"/>
      <c r="F82" s="103"/>
      <c r="G82" s="103"/>
      <c r="H82" s="103"/>
      <c r="I82" s="103"/>
    </row>
    <row r="83" spans="1:9" ht="15.75" customHeight="1" x14ac:dyDescent="0.25">
      <c r="A83" s="114"/>
      <c r="B83" s="105"/>
      <c r="C83" s="103"/>
      <c r="D83" s="103"/>
      <c r="E83" s="103"/>
      <c r="F83" s="103"/>
      <c r="G83" s="103"/>
      <c r="H83" s="103"/>
      <c r="I83" s="103"/>
    </row>
    <row r="84" spans="1:9" ht="15.75" customHeight="1" x14ac:dyDescent="0.25">
      <c r="A84" s="115"/>
      <c r="B84" s="105"/>
      <c r="C84" s="103"/>
      <c r="D84" s="103"/>
      <c r="E84" s="103"/>
      <c r="F84" s="103"/>
      <c r="G84" s="103"/>
      <c r="H84" s="103"/>
      <c r="I84" s="103"/>
    </row>
    <row r="85" spans="1:9" ht="15.75" customHeight="1" x14ac:dyDescent="0.25">
      <c r="A85" s="113">
        <v>3</v>
      </c>
      <c r="B85" s="105" t="s">
        <v>161</v>
      </c>
      <c r="C85" s="103" t="s">
        <v>160</v>
      </c>
      <c r="D85" s="103"/>
      <c r="E85" s="103"/>
      <c r="F85" s="103"/>
      <c r="G85" s="103"/>
      <c r="H85" s="103"/>
      <c r="I85" s="103"/>
    </row>
    <row r="86" spans="1:9" ht="15.75" customHeight="1" x14ac:dyDescent="0.25">
      <c r="A86" s="114"/>
      <c r="B86" s="105"/>
      <c r="C86" s="103"/>
      <c r="D86" s="103"/>
      <c r="E86" s="103"/>
      <c r="F86" s="103"/>
      <c r="G86" s="103"/>
      <c r="H86" s="103"/>
      <c r="I86" s="103"/>
    </row>
    <row r="87" spans="1:9" ht="15.75" customHeight="1" x14ac:dyDescent="0.25">
      <c r="A87" s="115"/>
      <c r="B87" s="105"/>
      <c r="C87" s="103"/>
      <c r="D87" s="103"/>
      <c r="E87" s="103"/>
      <c r="F87" s="103"/>
      <c r="G87" s="103"/>
      <c r="H87" s="103"/>
      <c r="I87" s="103"/>
    </row>
    <row r="88" spans="1:9" ht="15.75" customHeight="1" x14ac:dyDescent="0.25">
      <c r="A88" s="113">
        <v>4</v>
      </c>
      <c r="B88" s="117" t="s">
        <v>184</v>
      </c>
      <c r="C88" s="103" t="s">
        <v>165</v>
      </c>
      <c r="D88" s="103"/>
      <c r="E88" s="103"/>
      <c r="F88" s="103"/>
      <c r="G88" s="103"/>
      <c r="H88" s="103"/>
      <c r="I88" s="103"/>
    </row>
    <row r="89" spans="1:9" ht="15.75" customHeight="1" x14ac:dyDescent="0.25">
      <c r="A89" s="114"/>
      <c r="B89" s="117"/>
      <c r="C89" s="103"/>
      <c r="D89" s="103"/>
      <c r="E89" s="103"/>
      <c r="F89" s="103"/>
      <c r="G89" s="103"/>
      <c r="H89" s="103"/>
      <c r="I89" s="103"/>
    </row>
    <row r="90" spans="1:9" ht="15.75" customHeight="1" x14ac:dyDescent="0.25">
      <c r="A90" s="114"/>
      <c r="B90" s="117"/>
      <c r="C90" s="103"/>
      <c r="D90" s="103"/>
      <c r="E90" s="103"/>
      <c r="F90" s="103"/>
      <c r="G90" s="103"/>
      <c r="H90" s="103"/>
      <c r="I90" s="103"/>
    </row>
    <row r="91" spans="1:9" ht="15.75" customHeight="1" x14ac:dyDescent="0.25">
      <c r="A91" s="114"/>
      <c r="B91" s="117"/>
      <c r="C91" s="103"/>
      <c r="D91" s="103"/>
      <c r="E91" s="103"/>
      <c r="F91" s="103"/>
      <c r="G91" s="103"/>
      <c r="H91" s="103"/>
      <c r="I91" s="103"/>
    </row>
    <row r="92" spans="1:9" ht="15.75" customHeight="1" x14ac:dyDescent="0.25">
      <c r="A92" s="115"/>
      <c r="B92" s="117"/>
      <c r="C92" s="103"/>
      <c r="D92" s="103"/>
      <c r="E92" s="103"/>
      <c r="F92" s="103"/>
      <c r="G92" s="103"/>
      <c r="H92" s="103"/>
      <c r="I92" s="103"/>
    </row>
    <row r="93" spans="1:9" ht="15.75" customHeight="1" x14ac:dyDescent="0.25">
      <c r="A93" s="113">
        <v>5</v>
      </c>
      <c r="B93" s="117" t="s">
        <v>183</v>
      </c>
      <c r="C93" s="103" t="s">
        <v>182</v>
      </c>
      <c r="D93" s="103"/>
      <c r="E93" s="103"/>
      <c r="F93" s="103"/>
      <c r="G93" s="103"/>
      <c r="H93" s="103"/>
      <c r="I93" s="103"/>
    </row>
    <row r="94" spans="1:9" ht="15.75" customHeight="1" x14ac:dyDescent="0.25">
      <c r="A94" s="114"/>
      <c r="B94" s="117"/>
      <c r="C94" s="103"/>
      <c r="D94" s="103"/>
      <c r="E94" s="103"/>
      <c r="F94" s="103"/>
      <c r="G94" s="103"/>
      <c r="H94" s="103"/>
      <c r="I94" s="103"/>
    </row>
    <row r="95" spans="1:9" ht="15.75" customHeight="1" x14ac:dyDescent="0.25">
      <c r="A95" s="114"/>
      <c r="B95" s="117"/>
      <c r="C95" s="103"/>
      <c r="D95" s="103"/>
      <c r="E95" s="103"/>
      <c r="F95" s="103"/>
      <c r="G95" s="103"/>
      <c r="H95" s="103"/>
      <c r="I95" s="103"/>
    </row>
    <row r="96" spans="1:9" ht="15.75" customHeight="1" x14ac:dyDescent="0.25">
      <c r="A96" s="114"/>
      <c r="B96" s="117"/>
      <c r="C96" s="103"/>
      <c r="D96" s="103"/>
      <c r="E96" s="103"/>
      <c r="F96" s="103"/>
      <c r="G96" s="103"/>
      <c r="H96" s="103"/>
      <c r="I96" s="103"/>
    </row>
    <row r="97" spans="1:9" ht="15.75" customHeight="1" x14ac:dyDescent="0.25">
      <c r="A97" s="114"/>
      <c r="B97" s="117"/>
      <c r="C97" s="103"/>
      <c r="D97" s="103"/>
      <c r="E97" s="103"/>
      <c r="F97" s="103"/>
      <c r="G97" s="103"/>
      <c r="H97" s="103"/>
      <c r="I97" s="103"/>
    </row>
    <row r="98" spans="1:9" ht="15.75" customHeight="1" x14ac:dyDescent="0.25">
      <c r="A98" s="114"/>
      <c r="B98" s="117"/>
      <c r="C98" s="103"/>
      <c r="D98" s="103"/>
      <c r="E98" s="103"/>
      <c r="F98" s="103"/>
      <c r="G98" s="103"/>
      <c r="H98" s="103"/>
      <c r="I98" s="103"/>
    </row>
    <row r="99" spans="1:9" ht="15.75" customHeight="1" x14ac:dyDescent="0.25">
      <c r="A99" s="114"/>
      <c r="B99" s="117"/>
      <c r="C99" s="103"/>
      <c r="D99" s="103"/>
      <c r="E99" s="103"/>
      <c r="F99" s="103"/>
      <c r="G99" s="103"/>
      <c r="H99" s="103"/>
      <c r="I99" s="103"/>
    </row>
    <row r="100" spans="1:9" ht="15.75" customHeight="1" x14ac:dyDescent="0.25">
      <c r="A100" s="115"/>
      <c r="B100" s="117"/>
      <c r="C100" s="103"/>
      <c r="D100" s="103"/>
      <c r="E100" s="103"/>
      <c r="F100" s="103"/>
      <c r="G100" s="103"/>
      <c r="H100" s="103"/>
      <c r="I100" s="103"/>
    </row>
    <row r="101" spans="1:9" ht="15.75" customHeight="1" x14ac:dyDescent="0.25">
      <c r="A101" s="113">
        <v>6</v>
      </c>
      <c r="B101" s="116" t="s">
        <v>186</v>
      </c>
      <c r="C101" s="103" t="s">
        <v>185</v>
      </c>
      <c r="D101" s="103"/>
      <c r="E101" s="103"/>
      <c r="F101" s="103"/>
      <c r="G101" s="103"/>
      <c r="H101" s="103"/>
      <c r="I101" s="103"/>
    </row>
    <row r="102" spans="1:9" ht="15.75" customHeight="1" x14ac:dyDescent="0.25">
      <c r="A102" s="114"/>
      <c r="B102" s="116"/>
      <c r="C102" s="103"/>
      <c r="D102" s="103"/>
      <c r="E102" s="103"/>
      <c r="F102" s="103"/>
      <c r="G102" s="103"/>
      <c r="H102" s="103"/>
      <c r="I102" s="103"/>
    </row>
    <row r="103" spans="1:9" ht="15.75" customHeight="1" x14ac:dyDescent="0.25">
      <c r="A103" s="114"/>
      <c r="B103" s="116"/>
      <c r="C103" s="103"/>
      <c r="D103" s="103"/>
      <c r="E103" s="103"/>
      <c r="F103" s="103"/>
      <c r="G103" s="103"/>
      <c r="H103" s="103"/>
      <c r="I103" s="103"/>
    </row>
    <row r="104" spans="1:9" ht="15.75" customHeight="1" x14ac:dyDescent="0.25">
      <c r="A104" s="114"/>
      <c r="B104" s="116"/>
      <c r="C104" s="103"/>
      <c r="D104" s="103"/>
      <c r="E104" s="103"/>
      <c r="F104" s="103"/>
      <c r="G104" s="103"/>
      <c r="H104" s="103"/>
      <c r="I104" s="103"/>
    </row>
    <row r="105" spans="1:9" ht="15.75" customHeight="1" x14ac:dyDescent="0.25">
      <c r="A105" s="115"/>
      <c r="B105" s="116"/>
      <c r="C105" s="103"/>
      <c r="D105" s="103"/>
      <c r="E105" s="103"/>
      <c r="F105" s="103"/>
      <c r="G105" s="103"/>
      <c r="H105" s="103"/>
      <c r="I105" s="103"/>
    </row>
    <row r="106" spans="1:9" ht="15.75" customHeight="1" x14ac:dyDescent="0.25">
      <c r="A106" s="113">
        <v>7</v>
      </c>
      <c r="B106" s="117" t="s">
        <v>188</v>
      </c>
      <c r="C106" s="103" t="s">
        <v>187</v>
      </c>
      <c r="D106" s="103"/>
      <c r="E106" s="103"/>
      <c r="F106" s="103"/>
      <c r="G106" s="103"/>
      <c r="H106" s="103"/>
      <c r="I106" s="103"/>
    </row>
    <row r="107" spans="1:9" ht="15.75" customHeight="1" x14ac:dyDescent="0.25">
      <c r="A107" s="114"/>
      <c r="B107" s="117"/>
      <c r="C107" s="103"/>
      <c r="D107" s="103"/>
      <c r="E107" s="103"/>
      <c r="F107" s="103"/>
      <c r="G107" s="103"/>
      <c r="H107" s="103"/>
      <c r="I107" s="103"/>
    </row>
    <row r="108" spans="1:9" ht="15.75" customHeight="1" x14ac:dyDescent="0.25">
      <c r="A108" s="114"/>
      <c r="B108" s="117"/>
      <c r="C108" s="103"/>
      <c r="D108" s="103"/>
      <c r="E108" s="103"/>
      <c r="F108" s="103"/>
      <c r="G108" s="103"/>
      <c r="H108" s="103"/>
      <c r="I108" s="103"/>
    </row>
    <row r="109" spans="1:9" ht="15.75" customHeight="1" x14ac:dyDescent="0.25">
      <c r="A109" s="114"/>
      <c r="B109" s="117"/>
      <c r="C109" s="103"/>
      <c r="D109" s="103"/>
      <c r="E109" s="103"/>
      <c r="F109" s="103"/>
      <c r="G109" s="103"/>
      <c r="H109" s="103"/>
      <c r="I109" s="103"/>
    </row>
    <row r="110" spans="1:9" ht="15.75" customHeight="1" x14ac:dyDescent="0.25">
      <c r="A110" s="114"/>
      <c r="B110" s="117"/>
      <c r="C110" s="103"/>
      <c r="D110" s="103"/>
      <c r="E110" s="103"/>
      <c r="F110" s="103"/>
      <c r="G110" s="103"/>
      <c r="H110" s="103"/>
      <c r="I110" s="103"/>
    </row>
    <row r="111" spans="1:9" ht="15.75" customHeight="1" x14ac:dyDescent="0.25">
      <c r="A111" s="114"/>
      <c r="B111" s="117"/>
      <c r="C111" s="103"/>
      <c r="D111" s="103"/>
      <c r="E111" s="103"/>
      <c r="F111" s="103"/>
      <c r="G111" s="103"/>
      <c r="H111" s="103"/>
      <c r="I111" s="103"/>
    </row>
    <row r="112" spans="1:9" ht="15.75" customHeight="1" x14ac:dyDescent="0.25">
      <c r="A112" s="115"/>
      <c r="B112" s="117"/>
      <c r="C112" s="103"/>
      <c r="D112" s="103"/>
      <c r="E112" s="103"/>
      <c r="F112" s="103"/>
      <c r="G112" s="103"/>
      <c r="H112" s="103"/>
      <c r="I112" s="103"/>
    </row>
    <row r="113" spans="1:9" ht="15.75" customHeight="1" x14ac:dyDescent="0.25">
      <c r="A113" s="113">
        <v>8</v>
      </c>
      <c r="B113" s="117" t="s">
        <v>190</v>
      </c>
      <c r="C113" s="103" t="s">
        <v>189</v>
      </c>
      <c r="D113" s="103"/>
      <c r="E113" s="103"/>
      <c r="F113" s="103"/>
      <c r="G113" s="103"/>
      <c r="H113" s="103"/>
      <c r="I113" s="103"/>
    </row>
    <row r="114" spans="1:9" ht="15.75" customHeight="1" x14ac:dyDescent="0.25">
      <c r="A114" s="114"/>
      <c r="B114" s="117"/>
      <c r="C114" s="103"/>
      <c r="D114" s="103"/>
      <c r="E114" s="103"/>
      <c r="F114" s="103"/>
      <c r="G114" s="103"/>
      <c r="H114" s="103"/>
      <c r="I114" s="103"/>
    </row>
    <row r="115" spans="1:9" ht="15.75" customHeight="1" x14ac:dyDescent="0.25">
      <c r="A115" s="114"/>
      <c r="B115" s="117"/>
      <c r="C115" s="103"/>
      <c r="D115" s="103"/>
      <c r="E115" s="103"/>
      <c r="F115" s="103"/>
      <c r="G115" s="103"/>
      <c r="H115" s="103"/>
      <c r="I115" s="103"/>
    </row>
    <row r="116" spans="1:9" ht="15.75" customHeight="1" x14ac:dyDescent="0.25">
      <c r="A116" s="115"/>
      <c r="B116" s="117"/>
      <c r="C116" s="103"/>
      <c r="D116" s="103"/>
      <c r="E116" s="103"/>
      <c r="F116" s="103"/>
      <c r="G116" s="103"/>
      <c r="H116" s="103"/>
      <c r="I116" s="103"/>
    </row>
    <row r="118" spans="1:9" ht="15.75" customHeight="1" x14ac:dyDescent="0.3">
      <c r="A118" s="107" t="s">
        <v>181</v>
      </c>
      <c r="B118" s="107"/>
      <c r="C118" s="107"/>
      <c r="D118" s="107"/>
      <c r="E118" s="107"/>
      <c r="F118" s="107"/>
      <c r="G118" s="107"/>
      <c r="H118" s="107"/>
      <c r="I118" s="107"/>
    </row>
    <row r="119" spans="1:9" ht="15.75" customHeight="1" x14ac:dyDescent="0.25">
      <c r="A119" s="105">
        <v>1</v>
      </c>
      <c r="B119" s="110" t="s">
        <v>170</v>
      </c>
      <c r="C119" s="100" t="s">
        <v>209</v>
      </c>
      <c r="D119" s="108"/>
      <c r="E119" s="108"/>
      <c r="F119" s="108"/>
      <c r="G119" s="108"/>
      <c r="H119" s="108"/>
      <c r="I119" s="109"/>
    </row>
    <row r="120" spans="1:9" ht="15.75" customHeight="1" x14ac:dyDescent="0.25">
      <c r="A120" s="105"/>
      <c r="B120" s="110"/>
      <c r="C120" s="100" t="s">
        <v>166</v>
      </c>
      <c r="D120" s="101"/>
      <c r="E120" s="101"/>
      <c r="F120" s="101"/>
      <c r="G120" s="101"/>
      <c r="H120" s="101"/>
      <c r="I120" s="102"/>
    </row>
    <row r="121" spans="1:9" ht="15.75" customHeight="1" x14ac:dyDescent="0.25">
      <c r="A121" s="105"/>
      <c r="B121" s="110"/>
      <c r="C121" s="100" t="s">
        <v>167</v>
      </c>
      <c r="D121" s="101"/>
      <c r="E121" s="101"/>
      <c r="F121" s="101"/>
      <c r="G121" s="101"/>
      <c r="H121" s="101"/>
      <c r="I121" s="102"/>
    </row>
    <row r="122" spans="1:9" ht="15.75" customHeight="1" x14ac:dyDescent="0.25">
      <c r="A122" s="105"/>
      <c r="B122" s="110"/>
      <c r="C122" s="100" t="s">
        <v>210</v>
      </c>
      <c r="D122" s="101"/>
      <c r="E122" s="101"/>
      <c r="F122" s="101"/>
      <c r="G122" s="101"/>
      <c r="H122" s="101"/>
      <c r="I122" s="102"/>
    </row>
    <row r="123" spans="1:9" ht="15.75" customHeight="1" x14ac:dyDescent="0.25">
      <c r="A123" s="105"/>
      <c r="B123" s="110"/>
      <c r="C123" s="100" t="s">
        <v>211</v>
      </c>
      <c r="D123" s="101"/>
      <c r="E123" s="101"/>
      <c r="F123" s="101"/>
      <c r="G123" s="101"/>
      <c r="H123" s="101"/>
      <c r="I123" s="102"/>
    </row>
    <row r="124" spans="1:9" ht="15.75" customHeight="1" x14ac:dyDescent="0.25">
      <c r="A124" s="105"/>
      <c r="B124" s="110"/>
      <c r="C124" s="100" t="s">
        <v>169</v>
      </c>
      <c r="D124" s="101"/>
      <c r="E124" s="101"/>
      <c r="F124" s="101"/>
      <c r="G124" s="101"/>
      <c r="H124" s="101"/>
      <c r="I124" s="102"/>
    </row>
    <row r="125" spans="1:9" ht="15.75" customHeight="1" x14ac:dyDescent="0.25">
      <c r="A125" s="105"/>
      <c r="B125" s="110"/>
      <c r="C125" s="100" t="s">
        <v>168</v>
      </c>
      <c r="D125" s="101"/>
      <c r="E125" s="101"/>
      <c r="F125" s="101"/>
      <c r="G125" s="101"/>
      <c r="H125" s="101"/>
      <c r="I125" s="102"/>
    </row>
    <row r="126" spans="1:9" ht="15.75" customHeight="1" x14ac:dyDescent="0.25">
      <c r="A126" s="105"/>
      <c r="B126" s="110"/>
      <c r="C126" s="100" t="s">
        <v>212</v>
      </c>
      <c r="D126" s="101"/>
      <c r="E126" s="101"/>
      <c r="F126" s="101"/>
      <c r="G126" s="101"/>
      <c r="H126" s="101"/>
      <c r="I126" s="102"/>
    </row>
    <row r="127" spans="1:9" ht="15.75" customHeight="1" x14ac:dyDescent="0.25">
      <c r="A127" s="105">
        <v>2</v>
      </c>
      <c r="B127" s="110" t="s">
        <v>175</v>
      </c>
      <c r="C127" s="100" t="s">
        <v>213</v>
      </c>
      <c r="D127" s="101"/>
      <c r="E127" s="101"/>
      <c r="F127" s="101"/>
      <c r="G127" s="101"/>
      <c r="H127" s="101"/>
      <c r="I127" s="102"/>
    </row>
    <row r="128" spans="1:9" ht="15.75" customHeight="1" x14ac:dyDescent="0.25">
      <c r="A128" s="105"/>
      <c r="B128" s="110"/>
      <c r="C128" s="100" t="s">
        <v>171</v>
      </c>
      <c r="D128" s="101"/>
      <c r="E128" s="101"/>
      <c r="F128" s="101"/>
      <c r="G128" s="101"/>
      <c r="H128" s="101"/>
      <c r="I128" s="102"/>
    </row>
    <row r="129" spans="1:9" ht="15.75" customHeight="1" x14ac:dyDescent="0.25">
      <c r="A129" s="105"/>
      <c r="B129" s="110"/>
      <c r="C129" s="100" t="s">
        <v>172</v>
      </c>
      <c r="D129" s="101"/>
      <c r="E129" s="101"/>
      <c r="F129" s="101"/>
      <c r="G129" s="101"/>
      <c r="H129" s="101"/>
      <c r="I129" s="102"/>
    </row>
    <row r="130" spans="1:9" ht="15.75" customHeight="1" x14ac:dyDescent="0.25">
      <c r="A130" s="105"/>
      <c r="B130" s="110"/>
      <c r="C130" s="100" t="s">
        <v>173</v>
      </c>
      <c r="D130" s="101"/>
      <c r="E130" s="101"/>
      <c r="F130" s="101"/>
      <c r="G130" s="101"/>
      <c r="H130" s="101"/>
      <c r="I130" s="102"/>
    </row>
    <row r="131" spans="1:9" ht="15.75" customHeight="1" x14ac:dyDescent="0.25">
      <c r="A131" s="105"/>
      <c r="B131" s="110"/>
      <c r="C131" s="100" t="s">
        <v>214</v>
      </c>
      <c r="D131" s="101"/>
      <c r="E131" s="101"/>
      <c r="F131" s="101"/>
      <c r="G131" s="101"/>
      <c r="H131" s="101"/>
      <c r="I131" s="102"/>
    </row>
    <row r="132" spans="1:9" ht="15.75" customHeight="1" x14ac:dyDescent="0.25">
      <c r="A132" s="105"/>
      <c r="B132" s="110"/>
      <c r="C132" s="100" t="s">
        <v>215</v>
      </c>
      <c r="D132" s="101"/>
      <c r="E132" s="101"/>
      <c r="F132" s="101"/>
      <c r="G132" s="101"/>
      <c r="H132" s="101"/>
      <c r="I132" s="102"/>
    </row>
    <row r="133" spans="1:9" ht="15.75" customHeight="1" x14ac:dyDescent="0.25">
      <c r="A133" s="105"/>
      <c r="B133" s="110"/>
      <c r="C133" s="100" t="s">
        <v>216</v>
      </c>
      <c r="D133" s="101"/>
      <c r="E133" s="101"/>
      <c r="F133" s="101"/>
      <c r="G133" s="101"/>
      <c r="H133" s="101"/>
      <c r="I133" s="102"/>
    </row>
    <row r="134" spans="1:9" ht="15.75" customHeight="1" x14ac:dyDescent="0.25">
      <c r="A134" s="105"/>
      <c r="B134" s="110"/>
      <c r="C134" s="100" t="s">
        <v>174</v>
      </c>
      <c r="D134" s="101"/>
      <c r="E134" s="101"/>
      <c r="F134" s="101"/>
      <c r="G134" s="101"/>
      <c r="H134" s="101"/>
      <c r="I134" s="102"/>
    </row>
    <row r="135" spans="1:9" ht="15.75" customHeight="1" x14ac:dyDescent="0.25">
      <c r="A135" s="105"/>
      <c r="B135" s="110"/>
      <c r="C135" s="111" t="s">
        <v>207</v>
      </c>
      <c r="D135" s="101"/>
      <c r="E135" s="101"/>
      <c r="F135" s="101"/>
      <c r="G135" s="101"/>
      <c r="H135" s="101"/>
      <c r="I135" s="102"/>
    </row>
    <row r="136" spans="1:9" ht="15.75" customHeight="1" x14ac:dyDescent="0.25">
      <c r="A136" s="105">
        <v>3</v>
      </c>
      <c r="B136" s="110" t="s">
        <v>180</v>
      </c>
      <c r="C136" s="111" t="s">
        <v>217</v>
      </c>
      <c r="D136" s="101"/>
      <c r="E136" s="101"/>
      <c r="F136" s="101"/>
      <c r="G136" s="101"/>
      <c r="H136" s="101"/>
      <c r="I136" s="102"/>
    </row>
    <row r="137" spans="1:9" ht="15.75" customHeight="1" x14ac:dyDescent="0.25">
      <c r="A137" s="105"/>
      <c r="B137" s="110"/>
      <c r="C137" s="100" t="s">
        <v>176</v>
      </c>
      <c r="D137" s="101"/>
      <c r="E137" s="101"/>
      <c r="F137" s="101"/>
      <c r="G137" s="101"/>
      <c r="H137" s="101"/>
      <c r="I137" s="102"/>
    </row>
    <row r="138" spans="1:9" ht="15.75" customHeight="1" x14ac:dyDescent="0.25">
      <c r="A138" s="105"/>
      <c r="B138" s="110"/>
      <c r="C138" s="100" t="s">
        <v>177</v>
      </c>
      <c r="D138" s="101"/>
      <c r="E138" s="101"/>
      <c r="F138" s="101"/>
      <c r="G138" s="101"/>
      <c r="H138" s="101"/>
      <c r="I138" s="102"/>
    </row>
    <row r="139" spans="1:9" ht="15.75" customHeight="1" x14ac:dyDescent="0.25">
      <c r="A139" s="105"/>
      <c r="B139" s="110"/>
      <c r="C139" s="100" t="s">
        <v>178</v>
      </c>
      <c r="D139" s="101"/>
      <c r="E139" s="101"/>
      <c r="F139" s="101"/>
      <c r="G139" s="101"/>
      <c r="H139" s="101"/>
      <c r="I139" s="102"/>
    </row>
    <row r="140" spans="1:9" ht="15.75" customHeight="1" x14ac:dyDescent="0.25">
      <c r="A140" s="105"/>
      <c r="B140" s="110"/>
      <c r="C140" s="100" t="s">
        <v>218</v>
      </c>
      <c r="D140" s="101"/>
      <c r="E140" s="101"/>
      <c r="F140" s="101"/>
      <c r="G140" s="101"/>
      <c r="H140" s="101"/>
      <c r="I140" s="102"/>
    </row>
    <row r="141" spans="1:9" ht="15.75" customHeight="1" x14ac:dyDescent="0.25">
      <c r="A141" s="105"/>
      <c r="B141" s="110"/>
      <c r="C141" s="100" t="s">
        <v>219</v>
      </c>
      <c r="D141" s="101"/>
      <c r="E141" s="101"/>
      <c r="F141" s="101"/>
      <c r="G141" s="101"/>
      <c r="H141" s="101"/>
      <c r="I141" s="102"/>
    </row>
    <row r="142" spans="1:9" ht="15.75" customHeight="1" x14ac:dyDescent="0.25">
      <c r="A142" s="105"/>
      <c r="B142" s="110"/>
      <c r="C142" s="100" t="s">
        <v>220</v>
      </c>
      <c r="D142" s="101"/>
      <c r="E142" s="101"/>
      <c r="F142" s="101"/>
      <c r="G142" s="101"/>
      <c r="H142" s="101"/>
      <c r="I142" s="102"/>
    </row>
    <row r="143" spans="1:9" ht="15.75" customHeight="1" x14ac:dyDescent="0.25">
      <c r="A143" s="105"/>
      <c r="B143" s="110"/>
      <c r="C143" s="100" t="s">
        <v>179</v>
      </c>
      <c r="D143" s="101"/>
      <c r="E143" s="101"/>
      <c r="F143" s="101"/>
      <c r="G143" s="101"/>
      <c r="H143" s="101"/>
      <c r="I143" s="102"/>
    </row>
    <row r="144" spans="1:9" ht="15.75" customHeight="1" x14ac:dyDescent="0.25">
      <c r="A144" s="105"/>
      <c r="B144" s="110"/>
      <c r="C144" s="111" t="s">
        <v>208</v>
      </c>
      <c r="D144" s="101"/>
      <c r="E144" s="101"/>
      <c r="F144" s="101"/>
      <c r="G144" s="101"/>
      <c r="H144" s="101"/>
      <c r="I144" s="102"/>
    </row>
    <row r="145" spans="1:9" ht="15.75" customHeight="1" x14ac:dyDescent="0.25">
      <c r="B145" s="7"/>
      <c r="C145" s="16"/>
      <c r="D145" s="17"/>
      <c r="E145" s="17"/>
      <c r="F145" s="17"/>
      <c r="G145" s="17"/>
      <c r="H145" s="17"/>
      <c r="I145" s="17"/>
    </row>
    <row r="146" spans="1:9" ht="15.75" customHeight="1" x14ac:dyDescent="0.25">
      <c r="A146" s="99" t="s">
        <v>228</v>
      </c>
      <c r="B146" s="99"/>
      <c r="C146" s="99"/>
      <c r="D146" s="99"/>
      <c r="E146" s="99"/>
      <c r="F146" s="99"/>
      <c r="G146" s="99"/>
      <c r="H146" s="99"/>
      <c r="I146" s="99"/>
    </row>
    <row r="147" spans="1:9" ht="15.75" customHeight="1" x14ac:dyDescent="0.25">
      <c r="A147" s="99"/>
      <c r="B147" s="99"/>
      <c r="C147" s="99"/>
      <c r="D147" s="99"/>
      <c r="E147" s="99"/>
      <c r="F147" s="99"/>
      <c r="G147" s="99"/>
      <c r="H147" s="99"/>
      <c r="I147" s="99"/>
    </row>
    <row r="148" spans="1:9" ht="15.75" customHeight="1" x14ac:dyDescent="0.25">
      <c r="A148" s="99"/>
      <c r="B148" s="99"/>
      <c r="C148" s="99"/>
      <c r="D148" s="99"/>
      <c r="E148" s="99"/>
      <c r="F148" s="99"/>
      <c r="G148" s="99"/>
      <c r="H148" s="99"/>
      <c r="I148" s="99"/>
    </row>
    <row r="149" spans="1:9" ht="15.75" customHeight="1" x14ac:dyDescent="0.25">
      <c r="B149" s="19" t="s">
        <v>191</v>
      </c>
      <c r="C149" s="19" t="s">
        <v>223</v>
      </c>
      <c r="D149" s="19" t="s">
        <v>224</v>
      </c>
    </row>
    <row r="150" spans="1:9" ht="15.75" customHeight="1" x14ac:dyDescent="0.25">
      <c r="B150" s="105" t="s">
        <v>192</v>
      </c>
      <c r="C150" s="105">
        <v>23</v>
      </c>
      <c r="D150" s="105">
        <v>10.4</v>
      </c>
    </row>
    <row r="151" spans="1:9" ht="15.75" customHeight="1" x14ac:dyDescent="0.25">
      <c r="B151" s="105"/>
      <c r="C151" s="105"/>
      <c r="D151" s="105"/>
    </row>
    <row r="152" spans="1:9" ht="15.75" customHeight="1" x14ac:dyDescent="0.25">
      <c r="B152" s="105"/>
      <c r="C152" s="105"/>
      <c r="D152" s="105"/>
    </row>
    <row r="153" spans="1:9" ht="15.75" customHeight="1" x14ac:dyDescent="0.25">
      <c r="B153" s="105" t="s">
        <v>193</v>
      </c>
      <c r="C153" s="105">
        <v>29.5</v>
      </c>
      <c r="D153" s="105">
        <v>11.4</v>
      </c>
    </row>
    <row r="154" spans="1:9" ht="15.75" customHeight="1" x14ac:dyDescent="0.25">
      <c r="B154" s="105"/>
      <c r="C154" s="105"/>
      <c r="D154" s="105"/>
    </row>
    <row r="155" spans="1:9" ht="15.75" customHeight="1" x14ac:dyDescent="0.25">
      <c r="B155" s="6" t="s">
        <v>194</v>
      </c>
      <c r="C155" s="12">
        <v>62</v>
      </c>
      <c r="D155" s="12">
        <v>11.6</v>
      </c>
    </row>
    <row r="156" spans="1:9" ht="15.75" customHeight="1" x14ac:dyDescent="0.25">
      <c r="B156" s="6" t="s">
        <v>195</v>
      </c>
      <c r="C156" s="12">
        <v>36.200000000000003</v>
      </c>
      <c r="D156" s="12">
        <v>13.5</v>
      </c>
    </row>
    <row r="157" spans="1:9" ht="15.75" customHeight="1" x14ac:dyDescent="0.25">
      <c r="B157" s="18"/>
    </row>
    <row r="158" spans="1:9" ht="15.75" customHeight="1" x14ac:dyDescent="0.25">
      <c r="B158" s="106" t="s">
        <v>196</v>
      </c>
      <c r="C158" s="106"/>
      <c r="D158" s="106"/>
      <c r="E158" s="106"/>
      <c r="F158" s="106"/>
    </row>
    <row r="159" spans="1:9" ht="15.75" customHeight="1" x14ac:dyDescent="0.25">
      <c r="B159" s="103" t="s">
        <v>225</v>
      </c>
      <c r="C159" s="103"/>
      <c r="D159" s="103"/>
      <c r="E159" s="103"/>
      <c r="F159" s="103"/>
    </row>
    <row r="160" spans="1:9" ht="15.75" customHeight="1" x14ac:dyDescent="0.25">
      <c r="B160" s="103"/>
      <c r="C160" s="103"/>
      <c r="D160" s="103"/>
      <c r="E160" s="103"/>
      <c r="F160" s="103"/>
    </row>
    <row r="161" spans="2:9" ht="15.75" customHeight="1" x14ac:dyDescent="0.25">
      <c r="B161" s="103"/>
      <c r="C161" s="103"/>
      <c r="D161" s="103"/>
      <c r="E161" s="103"/>
      <c r="F161" s="103"/>
    </row>
    <row r="162" spans="2:9" ht="15.75" customHeight="1" x14ac:dyDescent="0.25">
      <c r="B162" s="103" t="s">
        <v>197</v>
      </c>
      <c r="C162" s="103"/>
      <c r="D162" s="103"/>
      <c r="E162" s="103"/>
      <c r="F162" s="103"/>
    </row>
    <row r="163" spans="2:9" ht="15.75" customHeight="1" x14ac:dyDescent="0.25">
      <c r="B163" s="103"/>
      <c r="C163" s="103"/>
      <c r="D163" s="103"/>
      <c r="E163" s="103"/>
      <c r="F163" s="103"/>
    </row>
    <row r="164" spans="2:9" ht="15.75" customHeight="1" x14ac:dyDescent="0.25">
      <c r="B164" s="98" t="s">
        <v>198</v>
      </c>
      <c r="C164" s="98"/>
      <c r="D164" s="98"/>
      <c r="E164" s="98"/>
      <c r="F164" s="98"/>
    </row>
    <row r="165" spans="2:9" ht="15.75" customHeight="1" x14ac:dyDescent="0.25">
      <c r="B165" s="98" t="s">
        <v>199</v>
      </c>
      <c r="C165" s="98"/>
      <c r="D165" s="98"/>
      <c r="E165" s="98"/>
      <c r="F165" s="98"/>
    </row>
    <row r="166" spans="2:9" ht="15.75" customHeight="1" x14ac:dyDescent="0.25">
      <c r="B166" s="18"/>
    </row>
    <row r="167" spans="2:9" ht="15.75" customHeight="1" x14ac:dyDescent="0.25">
      <c r="B167" s="125" t="s">
        <v>201</v>
      </c>
      <c r="C167" s="103" t="s">
        <v>226</v>
      </c>
      <c r="D167" s="103"/>
      <c r="E167" s="103"/>
      <c r="F167" s="103"/>
      <c r="G167" s="103"/>
      <c r="H167" s="103"/>
      <c r="I167" s="103"/>
    </row>
    <row r="168" spans="2:9" ht="15.75" customHeight="1" x14ac:dyDescent="0.25">
      <c r="B168" s="126"/>
      <c r="C168" s="103"/>
      <c r="D168" s="103"/>
      <c r="E168" s="103"/>
      <c r="F168" s="103"/>
      <c r="G168" s="103"/>
      <c r="H168" s="103"/>
      <c r="I168" s="103"/>
    </row>
    <row r="169" spans="2:9" ht="15.75" customHeight="1" x14ac:dyDescent="0.25">
      <c r="B169" s="126"/>
      <c r="C169" s="119" t="s">
        <v>227</v>
      </c>
      <c r="D169" s="120"/>
      <c r="E169" s="120"/>
      <c r="F169" s="120"/>
      <c r="G169" s="120"/>
      <c r="H169" s="120"/>
      <c r="I169" s="121"/>
    </row>
    <row r="170" spans="2:9" ht="15.75" customHeight="1" x14ac:dyDescent="0.25">
      <c r="B170" s="127"/>
      <c r="C170" s="122"/>
      <c r="D170" s="123"/>
      <c r="E170" s="123"/>
      <c r="F170" s="123"/>
      <c r="G170" s="123"/>
      <c r="H170" s="123"/>
      <c r="I170" s="124"/>
    </row>
    <row r="171" spans="2:9" ht="15.75" customHeight="1" x14ac:dyDescent="0.25">
      <c r="B171" s="104" t="s">
        <v>202</v>
      </c>
      <c r="C171" s="103" t="s">
        <v>221</v>
      </c>
      <c r="D171" s="103"/>
      <c r="E171" s="103"/>
      <c r="F171" s="103"/>
      <c r="G171" s="103"/>
      <c r="H171" s="103"/>
      <c r="I171" s="103"/>
    </row>
    <row r="172" spans="2:9" ht="15.75" customHeight="1" x14ac:dyDescent="0.25">
      <c r="B172" s="104"/>
      <c r="C172" s="103"/>
      <c r="D172" s="103"/>
      <c r="E172" s="103"/>
      <c r="F172" s="103"/>
      <c r="G172" s="103"/>
      <c r="H172" s="103"/>
      <c r="I172" s="103"/>
    </row>
    <row r="173" spans="2:9" ht="15.75" customHeight="1" x14ac:dyDescent="0.25">
      <c r="B173" s="104"/>
      <c r="C173" s="103" t="s">
        <v>222</v>
      </c>
      <c r="D173" s="103"/>
      <c r="E173" s="103"/>
      <c r="F173" s="103"/>
      <c r="G173" s="103"/>
      <c r="H173" s="103"/>
      <c r="I173" s="103"/>
    </row>
    <row r="174" spans="2:9" ht="15.75" customHeight="1" x14ac:dyDescent="0.25">
      <c r="B174" s="104"/>
      <c r="C174" s="103"/>
      <c r="D174" s="103"/>
      <c r="E174" s="103"/>
      <c r="F174" s="103"/>
      <c r="G174" s="103"/>
      <c r="H174" s="103"/>
      <c r="I174" s="103"/>
    </row>
    <row r="175" spans="2:9" ht="15.75" customHeight="1" x14ac:dyDescent="0.25">
      <c r="B175" s="104"/>
      <c r="C175" s="103"/>
      <c r="D175" s="103"/>
      <c r="E175" s="103"/>
      <c r="F175" s="103"/>
      <c r="G175" s="103"/>
      <c r="H175" s="103"/>
      <c r="I175" s="103"/>
    </row>
    <row r="176" spans="2:9" ht="15.75" customHeight="1" x14ac:dyDescent="0.25">
      <c r="B176" s="104"/>
      <c r="C176" s="103"/>
      <c r="D176" s="103"/>
      <c r="E176" s="103"/>
      <c r="F176" s="103"/>
      <c r="G176" s="103"/>
      <c r="H176" s="103"/>
      <c r="I176" s="103"/>
    </row>
    <row r="177" spans="2:8" ht="15.75" customHeight="1" x14ac:dyDescent="0.25">
      <c r="C177" s="14"/>
      <c r="D177" s="14"/>
      <c r="E177" s="14"/>
      <c r="F177" s="14"/>
      <c r="G177" s="14"/>
      <c r="H177" s="14"/>
    </row>
    <row r="192" spans="2:8" ht="15.75" customHeight="1" x14ac:dyDescent="0.25">
      <c r="B192" s="8"/>
    </row>
    <row r="194" spans="2:2" ht="15.75" customHeight="1" x14ac:dyDescent="0.25">
      <c r="B194" s="9"/>
    </row>
    <row r="195" spans="2:2" ht="15.75" customHeight="1" x14ac:dyDescent="0.25">
      <c r="B195" s="11"/>
    </row>
    <row r="196" spans="2:2" ht="15.75" customHeight="1" x14ac:dyDescent="0.25">
      <c r="B196" s="10"/>
    </row>
    <row r="197" spans="2:2" ht="15.75" customHeight="1" x14ac:dyDescent="0.25">
      <c r="B197" s="10"/>
    </row>
    <row r="198" spans="2:2" ht="15.75" customHeight="1" x14ac:dyDescent="0.25">
      <c r="B198" s="10"/>
    </row>
    <row r="200" spans="2:2" ht="15.75" customHeight="1" x14ac:dyDescent="0.25">
      <c r="B200" s="2"/>
    </row>
    <row r="204" spans="2:2" ht="15.75" customHeight="1" x14ac:dyDescent="0.25">
      <c r="B204" s="9"/>
    </row>
    <row r="205" spans="2:2" ht="15.75" customHeight="1" x14ac:dyDescent="0.25">
      <c r="B205" s="11"/>
    </row>
    <row r="206" spans="2:2" ht="15.75" customHeight="1" x14ac:dyDescent="0.25">
      <c r="B206" s="10"/>
    </row>
    <row r="207" spans="2:2" ht="15.75" customHeight="1" x14ac:dyDescent="0.25">
      <c r="B207" s="10"/>
    </row>
    <row r="208" spans="2:2" ht="15.75" customHeight="1" x14ac:dyDescent="0.25">
      <c r="B208" s="10"/>
    </row>
    <row r="209" spans="2:2" ht="15.75" customHeight="1" x14ac:dyDescent="0.25">
      <c r="B209" s="10"/>
    </row>
    <row r="211" spans="2:2" ht="15.75" customHeight="1" x14ac:dyDescent="0.25">
      <c r="B211" s="2"/>
    </row>
    <row r="215" spans="2:2" ht="15.75" customHeight="1" x14ac:dyDescent="0.25">
      <c r="B215" s="9"/>
    </row>
    <row r="216" spans="2:2" ht="15.75" customHeight="1" x14ac:dyDescent="0.25">
      <c r="B216" s="11"/>
    </row>
    <row r="217" spans="2:2" ht="15.75" customHeight="1" x14ac:dyDescent="0.25">
      <c r="B217" s="10"/>
    </row>
    <row r="218" spans="2:2" ht="15.75" customHeight="1" x14ac:dyDescent="0.25">
      <c r="B218" s="10"/>
    </row>
    <row r="219" spans="2:2" ht="15.75" customHeight="1" x14ac:dyDescent="0.25">
      <c r="B219" s="10"/>
    </row>
    <row r="220" spans="2:2" ht="15.75" customHeight="1" x14ac:dyDescent="0.25">
      <c r="B220" s="10"/>
    </row>
    <row r="222" spans="2:2" ht="15.75" customHeight="1" x14ac:dyDescent="0.25">
      <c r="B222" s="2"/>
    </row>
    <row r="226" spans="2:2" ht="15.75" customHeight="1" x14ac:dyDescent="0.25">
      <c r="B226" s="9"/>
    </row>
    <row r="227" spans="2:2" ht="15.75" customHeight="1" x14ac:dyDescent="0.25">
      <c r="B227" s="11"/>
    </row>
    <row r="228" spans="2:2" ht="15.75" customHeight="1" x14ac:dyDescent="0.25">
      <c r="B228" s="10"/>
    </row>
    <row r="229" spans="2:2" ht="15.75" customHeight="1" x14ac:dyDescent="0.25">
      <c r="B229" s="10"/>
    </row>
    <row r="230" spans="2:2" ht="15.75" customHeight="1" x14ac:dyDescent="0.25">
      <c r="B230" s="10"/>
    </row>
    <row r="231" spans="2:2" ht="15.75" customHeight="1" x14ac:dyDescent="0.25">
      <c r="B231" s="10"/>
    </row>
    <row r="233" spans="2:2" ht="15.75" customHeight="1" x14ac:dyDescent="0.25">
      <c r="B233" s="2"/>
    </row>
    <row r="237" spans="2:2" ht="15.75" customHeight="1" x14ac:dyDescent="0.25">
      <c r="B237" s="9"/>
    </row>
    <row r="238" spans="2:2" ht="15.75" customHeight="1" x14ac:dyDescent="0.25">
      <c r="B238" s="11"/>
    </row>
    <row r="239" spans="2:2" ht="15.75" customHeight="1" x14ac:dyDescent="0.25">
      <c r="B239" s="10"/>
    </row>
    <row r="240" spans="2:2" ht="15.75" customHeight="1" x14ac:dyDescent="0.25">
      <c r="B240" s="10"/>
    </row>
    <row r="241" spans="2:2" ht="15.75" customHeight="1" x14ac:dyDescent="0.25">
      <c r="B241" s="10"/>
    </row>
    <row r="242" spans="2:2" ht="15.75" customHeight="1" x14ac:dyDescent="0.25">
      <c r="B242" s="10"/>
    </row>
    <row r="244" spans="2:2" ht="15.75" customHeight="1" x14ac:dyDescent="0.25">
      <c r="B244" s="2"/>
    </row>
    <row r="248" spans="2:2" ht="15.75" customHeight="1" x14ac:dyDescent="0.25">
      <c r="B248" s="9"/>
    </row>
    <row r="249" spans="2:2" ht="15.75" customHeight="1" x14ac:dyDescent="0.25">
      <c r="B249" s="11"/>
    </row>
    <row r="250" spans="2:2" ht="15.75" customHeight="1" x14ac:dyDescent="0.25">
      <c r="B250" s="10"/>
    </row>
    <row r="251" spans="2:2" ht="15.75" customHeight="1" x14ac:dyDescent="0.25">
      <c r="B251" s="10"/>
    </row>
    <row r="252" spans="2:2" ht="15.75" customHeight="1" x14ac:dyDescent="0.25">
      <c r="B252" s="10"/>
    </row>
    <row r="253" spans="2:2" ht="15.75" customHeight="1" x14ac:dyDescent="0.25">
      <c r="B253" s="10"/>
    </row>
    <row r="255" spans="2:2" ht="15.75" customHeight="1" x14ac:dyDescent="0.25">
      <c r="B255" s="2"/>
    </row>
    <row r="259" spans="2:2" ht="15.75" customHeight="1" x14ac:dyDescent="0.25">
      <c r="B259" s="9"/>
    </row>
    <row r="260" spans="2:2" ht="15.75" customHeight="1" x14ac:dyDescent="0.25">
      <c r="B260" s="11"/>
    </row>
    <row r="261" spans="2:2" ht="15.75" customHeight="1" x14ac:dyDescent="0.25">
      <c r="B261" s="10"/>
    </row>
    <row r="262" spans="2:2" ht="15.75" customHeight="1" x14ac:dyDescent="0.25">
      <c r="B262" s="10"/>
    </row>
    <row r="263" spans="2:2" ht="15.75" customHeight="1" x14ac:dyDescent="0.25">
      <c r="B263" s="10"/>
    </row>
    <row r="264" spans="2:2" ht="15.75" customHeight="1" x14ac:dyDescent="0.25">
      <c r="B264" s="10"/>
    </row>
    <row r="266" spans="2:2" ht="15.75" customHeight="1" x14ac:dyDescent="0.25">
      <c r="B266" s="2"/>
    </row>
    <row r="270" spans="2:2" ht="15.75" customHeight="1" x14ac:dyDescent="0.25">
      <c r="B270" s="8"/>
    </row>
    <row r="273" spans="2:2" ht="15.75" customHeight="1" x14ac:dyDescent="0.25">
      <c r="B273" s="11"/>
    </row>
    <row r="274" spans="2:2" ht="15.75" customHeight="1" x14ac:dyDescent="0.25">
      <c r="B274" s="11"/>
    </row>
    <row r="275" spans="2:2" ht="15.75" customHeight="1" x14ac:dyDescent="0.25">
      <c r="B275" s="11"/>
    </row>
    <row r="276" spans="2:2" ht="15.75" customHeight="1" x14ac:dyDescent="0.25">
      <c r="B276" s="11"/>
    </row>
    <row r="277" spans="2:2" ht="15.75" customHeight="1" x14ac:dyDescent="0.25">
      <c r="B277" s="11"/>
    </row>
  </sheetData>
  <mergeCells count="115">
    <mergeCell ref="B10:B11"/>
    <mergeCell ref="B18:B19"/>
    <mergeCell ref="C88:I92"/>
    <mergeCell ref="B88:B92"/>
    <mergeCell ref="C169:I170"/>
    <mergeCell ref="B167:B170"/>
    <mergeCell ref="A2:C2"/>
    <mergeCell ref="A10:A11"/>
    <mergeCell ref="C16:J16"/>
    <mergeCell ref="C17:J17"/>
    <mergeCell ref="C18:J19"/>
    <mergeCell ref="A8:J8"/>
    <mergeCell ref="C9:J9"/>
    <mergeCell ref="C10:J11"/>
    <mergeCell ref="C12:J12"/>
    <mergeCell ref="C13:J13"/>
    <mergeCell ref="C14:J14"/>
    <mergeCell ref="C15:J15"/>
    <mergeCell ref="B40:J40"/>
    <mergeCell ref="A18:A19"/>
    <mergeCell ref="A23:A24"/>
    <mergeCell ref="A28:A29"/>
    <mergeCell ref="A31:A32"/>
    <mergeCell ref="B30:J30"/>
    <mergeCell ref="C27:J27"/>
    <mergeCell ref="C28:J29"/>
    <mergeCell ref="C31:J32"/>
    <mergeCell ref="C34:J34"/>
    <mergeCell ref="C35:J35"/>
    <mergeCell ref="B33:J33"/>
    <mergeCell ref="C20:J20"/>
    <mergeCell ref="C21:J21"/>
    <mergeCell ref="B22:J22"/>
    <mergeCell ref="C23:J24"/>
    <mergeCell ref="C25:J25"/>
    <mergeCell ref="C26:J26"/>
    <mergeCell ref="B31:B32"/>
    <mergeCell ref="B28:B29"/>
    <mergeCell ref="B23:B24"/>
    <mergeCell ref="C36:J36"/>
    <mergeCell ref="C37:J37"/>
    <mergeCell ref="C38:J38"/>
    <mergeCell ref="C39:J39"/>
    <mergeCell ref="A93:A100"/>
    <mergeCell ref="A101:A105"/>
    <mergeCell ref="A106:A112"/>
    <mergeCell ref="A113:A116"/>
    <mergeCell ref="A119:A126"/>
    <mergeCell ref="A75:I75"/>
    <mergeCell ref="A76:A79"/>
    <mergeCell ref="A80:A84"/>
    <mergeCell ref="A85:A87"/>
    <mergeCell ref="A88:A92"/>
    <mergeCell ref="C101:I105"/>
    <mergeCell ref="B101:B105"/>
    <mergeCell ref="C106:I112"/>
    <mergeCell ref="B106:B112"/>
    <mergeCell ref="C113:I116"/>
    <mergeCell ref="B113:B116"/>
    <mergeCell ref="C93:I100"/>
    <mergeCell ref="B93:B100"/>
    <mergeCell ref="C85:I87"/>
    <mergeCell ref="B85:B87"/>
    <mergeCell ref="C76:I79"/>
    <mergeCell ref="B76:B79"/>
    <mergeCell ref="C80:I84"/>
    <mergeCell ref="B80:B84"/>
    <mergeCell ref="C132:I132"/>
    <mergeCell ref="C133:I133"/>
    <mergeCell ref="C134:I134"/>
    <mergeCell ref="C135:I135"/>
    <mergeCell ref="C136:I136"/>
    <mergeCell ref="A127:A135"/>
    <mergeCell ref="A136:A144"/>
    <mergeCell ref="A118:I118"/>
    <mergeCell ref="C119:I119"/>
    <mergeCell ref="C120:I120"/>
    <mergeCell ref="C121:I121"/>
    <mergeCell ref="C122:I122"/>
    <mergeCell ref="C123:I123"/>
    <mergeCell ref="C124:I124"/>
    <mergeCell ref="C125:I125"/>
    <mergeCell ref="C126:I126"/>
    <mergeCell ref="C127:I127"/>
    <mergeCell ref="C128:I128"/>
    <mergeCell ref="C129:I129"/>
    <mergeCell ref="C130:I130"/>
    <mergeCell ref="C131:I131"/>
    <mergeCell ref="B119:B126"/>
    <mergeCell ref="B127:B135"/>
    <mergeCell ref="B136:B144"/>
    <mergeCell ref="C142:I142"/>
    <mergeCell ref="C143:I143"/>
    <mergeCell ref="C144:I144"/>
    <mergeCell ref="C171:I172"/>
    <mergeCell ref="C173:I176"/>
    <mergeCell ref="B171:B176"/>
    <mergeCell ref="D153:D154"/>
    <mergeCell ref="C153:C154"/>
    <mergeCell ref="B153:B154"/>
    <mergeCell ref="D150:D152"/>
    <mergeCell ref="C150:C152"/>
    <mergeCell ref="B150:B152"/>
    <mergeCell ref="B158:F158"/>
    <mergeCell ref="B159:F161"/>
    <mergeCell ref="B162:F163"/>
    <mergeCell ref="B164:F164"/>
    <mergeCell ref="B165:F165"/>
    <mergeCell ref="A146:I148"/>
    <mergeCell ref="C137:I137"/>
    <mergeCell ref="C138:I138"/>
    <mergeCell ref="C139:I139"/>
    <mergeCell ref="C140:I140"/>
    <mergeCell ref="C141:I141"/>
    <mergeCell ref="C167:I16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Model</vt:lpstr>
      <vt:lpstr>Notes and 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Rashmi Kumari</dc:creator>
  <cp:lastModifiedBy>Rashmi Kumari</cp:lastModifiedBy>
  <dcterms:created xsi:type="dcterms:W3CDTF">2025-11-09T15:27:33Z</dcterms:created>
  <dcterms:modified xsi:type="dcterms:W3CDTF">2026-01-14T06:16:25Z</dcterms:modified>
</cp:coreProperties>
</file>